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spiece" sheetId="1" state="visible" r:id="rId3"/>
    <sheet name="Cantos" sheetId="2" state="visible" r:id="rId4"/>
    <sheet name="Compras" sheetId="3" state="visible" r:id="rId5"/>
    <sheet name="Revisión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<sst xmlns="http://schemas.openxmlformats.org/spreadsheetml/2006/main" count="438" uniqueCount="255">
  <si>
    <t xml:space="preserve">Clóset definitivo: opción 2</t>
  </si>
  <si>
    <t xml:space="preserve">75 piezas RH15. Diseño aprobado; E/F son medidas terminadas. Cantos y refuerzos incluidos; mecanizados sujetos a plantilla.</t>
  </si>
  <si>
    <t xml:space="preserve">Hueco medido 2900 × 2400. Estructura 2860 × 2380; base incluida. Fondo cerrado 495 mm. I/J = cantos paralelos a E; K/L = paralelos a F. 2 = rígido 2 mm; 0.45 = flexible; — = sin canto.</t>
  </si>
  <si>
    <t xml:space="preserve">ID</t>
  </si>
  <si>
    <t xml:space="preserve">Grupo</t>
  </si>
  <si>
    <t xml:space="preserve">Pieza</t>
  </si>
  <si>
    <t xml:space="preserve">Cant.</t>
  </si>
  <si>
    <t xml:space="preserve">Largo veta terminado (mm)</t>
  </si>
  <si>
    <t xml:space="preserve">Ancho terminado (mm)</t>
  </si>
  <si>
    <t xml:space="preserve">Espesor mm</t>
  </si>
  <si>
    <t xml:space="preserve">Área m²</t>
  </si>
  <si>
    <t xml:space="preserve">Canto L1</t>
  </si>
  <si>
    <t xml:space="preserve">Canto L2</t>
  </si>
  <si>
    <t xml:space="preserve">Canto A1</t>
  </si>
  <si>
    <t xml:space="preserve">Canto A2</t>
  </si>
  <si>
    <t xml:space="preserve">Largo corte teórico (mm)</t>
  </si>
  <si>
    <t xml:space="preserve">Ancho corte teórico (mm)</t>
  </si>
  <si>
    <t xml:space="preserve">Corte</t>
  </si>
  <si>
    <t xml:space="preserve">Fabricación</t>
  </si>
  <si>
    <t xml:space="preserve">C2-001</t>
  </si>
  <si>
    <t xml:space="preserve">EST</t>
  </si>
  <si>
    <t xml:space="preserve">Lateral / divisor</t>
  </si>
  <si>
    <t xml:space="preserve">2</t>
  </si>
  <si>
    <t xml:space="preserve">0.45</t>
  </si>
  <si>
    <t xml:space="preserve">Por preparar</t>
  </si>
  <si>
    <t xml:space="preserve">2280 mm desde base a cota 2380. Canto rígido en el frente. Los dos laterales exteriores se fijan a las paredes (hoja Revisión).</t>
  </si>
  <si>
    <t xml:space="preserve">C2-002</t>
  </si>
  <si>
    <t xml:space="preserve">B1/B3</t>
  </si>
  <si>
    <t xml:space="preserve">Piso sobre base</t>
  </si>
  <si>
    <t xml:space="preserve">Apoya en el marco de base (zócalo frontal y travesaño trasero).</t>
  </si>
  <si>
    <t xml:space="preserve">C2-003</t>
  </si>
  <si>
    <t xml:space="preserve">MAL</t>
  </si>
  <si>
    <t xml:space="preserve">Tapa superior</t>
  </si>
  <si>
    <t xml:space="preserve">Tapa superior: recibe peso propio y esfuerzos de bisagras del maletero. Unir a ambos laterales; prever dos apoyos metálicos por extremo (4 por tapa). Fijación final según herraje y RH15.</t>
  </si>
  <si>
    <t xml:space="preserve">C2-004</t>
  </si>
  <si>
    <t xml:space="preserve">Piso de maletero</t>
  </si>
  <si>
    <t xml:space="preserve">Lleva listón frontal (80 mm) debajo del borde delantero y travesaño trasero (100 mm). Solo carga liviana.</t>
  </si>
  <si>
    <t xml:space="preserve">C2-005</t>
  </si>
  <si>
    <t xml:space="preserve">Travesaño trasero</t>
  </si>
  <si>
    <t xml:space="preserve">De canto, 100 mm de alto: arriba, abajo y bajo el piso del maletero. Uniones a laterales por dimensionar.</t>
  </si>
  <si>
    <t xml:space="preserve">C2-006</t>
  </si>
  <si>
    <t xml:space="preserve">Repisa inferior</t>
  </si>
  <si>
    <t xml:space="preserve">Llevan dos listones de refuerzo de 60 mm (delantero y trasero) debajo.</t>
  </si>
  <si>
    <t xml:space="preserve">C2-007</t>
  </si>
  <si>
    <t xml:space="preserve">B2</t>
  </si>
  <si>
    <t xml:space="preserve">Apoya en el marco de base.</t>
  </si>
  <si>
    <t xml:space="preserve">C2-008</t>
  </si>
  <si>
    <t xml:space="preserve">Tapa superior: recibe peso propio y esfuerzos de las bisagras del maletero. Cuatro apoyos metálicos previstos por tapa, con fijación compatible con RH15.</t>
  </si>
  <si>
    <t xml:space="preserve">C2-009</t>
  </si>
  <si>
    <t xml:space="preserve">Lleva listón frontal (80 mm) y travesaño trasero (100 mm).</t>
  </si>
  <si>
    <t xml:space="preserve">C2-010</t>
  </si>
  <si>
    <t xml:space="preserve">De canto, 100 mm de alto: arriba, abajo y bajo el piso del maletero.</t>
  </si>
  <si>
    <t xml:space="preserve">C2-011</t>
  </si>
  <si>
    <t xml:space="preserve">Frente de cajón</t>
  </si>
  <si>
    <t xml:space="preserve">Tres frentes de 210 mm, separados 30 mm para agarre sin manijas. No fresar el frente ni agregar tiradores.</t>
  </si>
  <si>
    <t xml:space="preserve">C2-012</t>
  </si>
  <si>
    <t xml:space="preserve">Costado de cajón</t>
  </si>
  <si>
    <t xml:space="preserve">Caja exterior 793 × 400 mm. Base debajo de paredes. Vano 820 − 27 confirmado HRE320-40.</t>
  </si>
  <si>
    <t xml:space="preserve">C2-013</t>
  </si>
  <si>
    <t xml:space="preserve">Base aplicada de cajón</t>
  </si>
  <si>
    <t xml:space="preserve">Lleva refuerzo central de 30 mm debajo.</t>
  </si>
  <si>
    <t xml:space="preserve">C2-014</t>
  </si>
  <si>
    <t xml:space="preserve">Frente / trasero interior de cajón</t>
  </si>
  <si>
    <t xml:space="preserve">Caja exterior 793 × 400 mm.</t>
  </si>
  <si>
    <t xml:space="preserve">C2-015</t>
  </si>
  <si>
    <t xml:space="preserve">Refuerzo central bajo base de cajón</t>
  </si>
  <si>
    <t xml:space="preserve">Refuerzo de canto bajo la base, con 12 mm de holgura sobre el piso en el cajón inferior. Unión mecánica y adhesivo compatible por definir; no pegar directamente sobre canto decorativo como unión estructural.</t>
  </si>
  <si>
    <t xml:space="preserve">C2-016</t>
  </si>
  <si>
    <t xml:space="preserve">BASE</t>
  </si>
  <si>
    <t xml:space="preserve">Zócalo frontal</t>
  </si>
  <si>
    <t xml:space="preserve">Base nominal 100 mm con apoyos de 20 mm. Nivelación y uniones por definir.</t>
  </si>
  <si>
    <t xml:space="preserve">C2-017</t>
  </si>
  <si>
    <t xml:space="preserve">Travesaño trasero de base</t>
  </si>
  <si>
    <t xml:space="preserve">Base nominal 100 mm con apoyos de 20 mm.</t>
  </si>
  <si>
    <t xml:space="preserve">C2-018</t>
  </si>
  <si>
    <t xml:space="preserve">Travesaño transversal de base</t>
  </si>
  <si>
    <t xml:space="preserve">Uno bajo cada lateral/divisor.</t>
  </si>
  <si>
    <t xml:space="preserve">C2-019</t>
  </si>
  <si>
    <t xml:space="preserve">Puerta abatible</t>
  </si>
  <si>
    <t xml:space="preserve">Cota terminada. Taladros con plantilla del herraje, no por la animación.</t>
  </si>
  <si>
    <t xml:space="preserve">C2-020</t>
  </si>
  <si>
    <t xml:space="preserve">Cota terminada. Taladros con plantilla del herraje.</t>
  </si>
  <si>
    <t xml:space="preserve">C2-021</t>
  </si>
  <si>
    <t xml:space="preserve">Puerta maletero abatible superior</t>
  </si>
  <si>
    <t xml:space="preserve">Cubre el canto de la tapa superior (recubrimiento total). Bisagra de cazoleta parche arriba y dos brazos de gas.</t>
  </si>
  <si>
    <t xml:space="preserve">C2-022</t>
  </si>
  <si>
    <t xml:space="preserve">Cubre el canto de la tapa superior. Bisagra de cazoleta parche arriba y dos brazos de gas.</t>
  </si>
  <si>
    <t xml:space="preserve">C2-023</t>
  </si>
  <si>
    <t xml:space="preserve">Listón frontal de refuerzo (de canto)</t>
  </si>
  <si>
    <t xml:space="preserve">Refuerzo de canto bajo el piso de maletero. Definir unión mecánica y superficies de encolado; un canto decorativo no se considera unión estructural por sí solo.</t>
  </si>
  <si>
    <t xml:space="preserve">C2-024</t>
  </si>
  <si>
    <t xml:space="preserve">Refuerzo central de maletero. Mismo criterio de unión mecánica y encolado compatible; mecanizado de bordes según taller.</t>
  </si>
  <si>
    <t xml:space="preserve">C2-025</t>
  </si>
  <si>
    <t xml:space="preserve">Listón de refuerzo de repisa (de canto)</t>
  </si>
  <si>
    <t xml:space="preserve">Dos por repisa. Apoyar y fijar los extremos a los laterales según montaje. El cálculo de flecha no certifica adhesivo, tornillos ni apoyos.</t>
  </si>
  <si>
    <t xml:space="preserve">TOTAL RH15</t>
  </si>
  <si>
    <t xml:space="preserve">Área neta</t>
  </si>
  <si>
    <t xml:space="preserve">E/F: medidas terminadas. La veta sigue E en la propuesta de corte; confirmar continuidad visual. Plantillas y uniones se cierran antes de mecanizar.</t>
  </si>
  <si>
    <t xml:space="preserve">Clóset 2: resumen de canto 19 mm (tablero de 15 mm)</t>
  </si>
  <si>
    <t xml:space="preserve">Reserva por borde (m)</t>
  </si>
  <si>
    <t xml:space="preserve">Mismo criterio de la cocina: rígido ≈2 mm en caras vistas; flexible ≈0,45 mm en bordes ocultos. No retirar cantos por estar ocultos.</t>
  </si>
  <si>
    <t xml:space="preserve">Neto calculado con dimensiones terminadas. Los 5 cm por borde son una reserva editable (I2); confirmar con la canteadora, formato, espesor 19 × 2 / 19 × 0,45 y color.</t>
  </si>
  <si>
    <t xml:space="preserve">Tipo</t>
  </si>
  <si>
    <t xml:space="preserve">Dónde va</t>
  </si>
  <si>
    <t xml:space="preserve">Metros netos</t>
  </si>
  <si>
    <t xml:space="preserve">Bordes</t>
  </si>
  <si>
    <t xml:space="preserve">Reserva de máquina (supuesto)</t>
  </si>
  <si>
    <t xml:space="preserve">Metros a pedir</t>
  </si>
  <si>
    <t xml:space="preserve">m por rollo</t>
  </si>
  <si>
    <t xml:space="preserve">Rollos</t>
  </si>
  <si>
    <t xml:space="preserve">Rígido (≈2 mm)</t>
  </si>
  <si>
    <t xml:space="preserve">Frentes de cajón, puertas y tapas de maletero en sus 4 lados; borde frontal de laterales, divisores, pisos, tapas y repisas</t>
  </si>
  <si>
    <t xml:space="preserve">Flexible (≈0,45 mm)</t>
  </si>
  <si>
    <t xml:space="preserve">Bordes ocultos: traseros, travesaños, listones, cajas de cajón, zócalo y base</t>
  </si>
  <si>
    <t xml:space="preserve">Atención</t>
  </si>
  <si>
    <t xml:space="preserve">Piezas estrechas (30, 60 y 80 mm de ancho): validar con el proveedor si se pueden canteadar a máquina; si no, canto a mano con plancha o pieza sin canto oculta.</t>
  </si>
  <si>
    <t xml:space="preserve">Rollos de referencia de la cocina (Cartagena, $531.600 rígido de 100 m y $285.600 flexible de 200 m). Validar que el color y el SKU coincidan con el tablero elegido para el clóset.</t>
  </si>
  <si>
    <t xml:space="preserve">Clóset definitivo: compras</t>
  </si>
  <si>
    <t xml:space="preserve">Subtotal parcial. Conserva precios y cantidades previstos; los importes por cotizar no se consideran cero.</t>
  </si>
  <si>
    <t xml:space="preserve">Diseño aprobado. Confirmar bisagras, fuerza de brazos, uniones y anclajes antes de comprar y perforar.</t>
  </si>
  <si>
    <t xml:space="preserve">Referencia</t>
  </si>
  <si>
    <t xml:space="preserve">Uso</t>
  </si>
  <si>
    <t xml:space="preserve">Cantidad</t>
  </si>
  <si>
    <t xml:space="preserve">Unidad</t>
  </si>
  <si>
    <t xml:space="preserve">Precio COP</t>
  </si>
  <si>
    <t xml:space="preserve">Importe COP</t>
  </si>
  <si>
    <t xml:space="preserve">Estado</t>
  </si>
  <si>
    <t xml:space="preserve">Detalle</t>
  </si>
  <si>
    <t xml:space="preserve">Fuente y fecha</t>
  </si>
  <si>
    <t xml:space="preserve">HRE320-40</t>
  </si>
  <si>
    <t xml:space="preserve">Corredera zincada 400 mm</t>
  </si>
  <si>
    <t xml:space="preserve">par</t>
  </si>
  <si>
    <t xml:space="preserve">Confirmado</t>
  </si>
  <si>
    <t xml:space="preserve">45 kg. Descuento total 27 mm: vano 820 menos 27 = caja 793. Altura 45 mm. Montaje al centro del costado. Incluye 12 tornillos por par, 12 mm de longitud, rosca 4 mm. No comprar los 36 tornillos aparte.</t>
  </si>
  <si>
    <t xml:space="preserve">Usuario: ficha rev.15/05/25 y precio $9.999 aportados 26/10/2026.</t>
  </si>
  <si>
    <t xml:space="preserve">HBM897-02</t>
  </si>
  <si>
    <t xml:space="preserve">Bisagra semiparche clip-on · 6 hojas bajas</t>
  </si>
  <si>
    <t xml:space="preserve">Candidata</t>
  </si>
  <si>
    <t xml:space="preserve">32 bisagras físicas previstas: 6 por hoja alta y 4 por hoja corta. Cierre lento, semiparche y cazoleta 35 × 11,8 mm. Carga: 4 kg por par; con 10,05 kg/m² la hoja alta pesa 8,83 kg, y 6 bisagras quedan por encima de las ~5 estimadas. Recubrimiento: la ficha pide mínimo 8 mm (fórmula 7 + A − C, tabla 8–12 mm) y el diseño usa 6,5 mm sobre un divisor de 15 mm: comprar un par y probar antes de pedir las 32. La capacidad nominal de 4 kg/par no se suma linealmente para certificar una hoja.</t>
  </si>
  <si>
    <t xml:space="preserve">https://madecentro.com/products/bisagra-parche-cierre-lento-clip-on-acero-inoxidable-201-35mm (27/10/2026). Confirmar el SKU -02.</t>
  </si>
  <si>
    <t xml:space="preserve">HBM306-01 (variante parche)</t>
  </si>
  <si>
    <t xml:space="preserve">Bisagra de cazoleta para las 3 tapas del maletero</t>
  </si>
  <si>
    <t xml:space="preserve">12 bisagras físicas previstas, 4 por tapa. HBM306-01 parche, cierre común y cazoleta 35 × 11,8 mm. Recubrimiento: la ficha da 15 + A − C = 18–22 mm con la base estándar y las tapas cubren el canto de 15 mm: pedir una base de plato más alta (≈3 mm) o probar una tapa antes de perforar. No figura en la lista de compatibles con brazos, pero es del mismo tipo que HBM427/HBM554 (que sí lo son); el brazo limita la apertura a 90°. Perforación: cazoleta a 3–7 mm del borde; tornillos de plato a 37 mm del frente y 32 mm entre sí. Datos de Madecentro aportados por el usuario, 27/10/2026.</t>
  </si>
  <si>
    <t xml:space="preserve">https://madecentro.com/collections/herrajes-bisagras-bisagras-mueble-cazoleta/products/bisagra-de-cazoleta-para-mueble-high-quality-cierre-comun-de-110-clip-on-de-montaje-facil (27/10/2026).</t>
  </si>
  <si>
    <t xml:space="preserve">Familia HEC…-03</t>
  </si>
  <si>
    <t xml:space="preserve">Brazo neumático gris · maletero</t>
  </si>
  <si>
    <t xml:space="preserve">unidad</t>
  </si>
  <si>
    <t xml:space="preserve">Problema abierto</t>
  </si>
  <si>
    <t xml:space="preserve">PROBLEMA ABIERTO: dos brazos por tapa NO alcanzan. Según la ficha aportada (brazo de 90°, puerta ≤600 mm, a unos 500 mm de alto) un brazo de 150 N sostiene 2,1 kg y uno de 120 N 1,9 kg; dos de 150 N suman 4,2 kg. Con 10,05 kg/m² las tapas pesan 5,22 kg (laterales) y 4,34 kg (central): superan ese límite. Caminos: (a) 3 brazos de 150 N por tapa (6,3 kg; no está en la ficha: preguntar a Madecentro), (b) partir cada tapa en dos de ~2,6 kg, con dos brazos cada una (6 tapas en vez de 3), (c) pedir un brazo de mayor fuerza. Montaje según el usuario: platina 265–280 mm bajo la tapa superior y 21,5–39 mm del frente; fondo útil ≥150 mm. HEC150-03 gris $9.126; HEC150-04 negro $9.710. No pude verificar la tabla en la página del producto.</t>
  </si>
  <si>
    <t xml:space="preserve">https://madecentro.com/products/hec060-03-brazo-neumatico-cierre-lento-60n; precios y tabla de fuerzas aportados por el usuario 26–27/10/2026. Fuerza aún no seleccionada.</t>
  </si>
  <si>
    <t xml:space="preserve">Por elegir</t>
  </si>
  <si>
    <t xml:space="preserve">Tirador o jaladera</t>
  </si>
  <si>
    <t xml:space="preserve">Nueve agarres por elegir: seis puertas inferiores y tres tapas del maletero. Los tres cajones se abren por la separación de 30 mm entre frentes, sin manijas y sin sistema push. Confirmar el agarre de puertas y tapas antes de fijar los taladros.</t>
  </si>
  <si>
    <t xml:space="preserve">Decisión pendiente.</t>
  </si>
  <si>
    <t xml:space="preserve">Barra de colgar lateral</t>
  </si>
  <si>
    <t xml:space="preserve">tramo</t>
  </si>
  <si>
    <t xml:space="preserve">Cotizar</t>
  </si>
  <si>
    <t xml:space="preserve">Longitud ilustrada 988 mm, dos tramos. Sección, carga y descuento por soportes deben corresponder a una referencia real; no son datos confirmados de suministro.</t>
  </si>
  <si>
    <t xml:space="preserve">Geometría opción 2; verificar con producto real.</t>
  </si>
  <si>
    <t xml:space="preserve">Barra de colgar central</t>
  </si>
  <si>
    <t xml:space="preserve">Longitud ilustrada 818 mm. Descuento de soportes y sección por elegir.</t>
  </si>
  <si>
    <t xml:space="preserve">Soportes de barra</t>
  </si>
  <si>
    <t xml:space="preserve">Dos por barra. Verificar fijación y carga en RH15.</t>
  </si>
  <si>
    <t xml:space="preserve">Previsión para 3 barras.</t>
  </si>
  <si>
    <t xml:space="preserve">Por dimensionar</t>
  </si>
  <si>
    <t xml:space="preserve">Apoyos de base</t>
  </si>
  <si>
    <t xml:space="preserve">Dos bajo cada lateral/divisor. El modelo dibuja 20 mm de apoyo y base total 100 mm. No implica patas regulables seleccionadas.</t>
  </si>
  <si>
    <t xml:space="preserve">Geometría y decisión de montaje pendiente.</t>
  </si>
  <si>
    <t xml:space="preserve">Anclajes y calzos</t>
  </si>
  <si>
    <t xml:space="preserve">lote</t>
  </si>
  <si>
    <t xml:space="preserve">Previsión de montaje</t>
  </si>
  <si>
    <t xml:space="preserve">Anclaje lateral previsto en cuatro niveles y dos puntos por nivel (16 fijaciones). Calzos ajustados a la separación real, sin forzar el tablero. Chazo, tornillo y capacidad dependen del muro. Divisores trabados por pisos, tapas y travesaños. Sin carga en cielo falso.</t>
  </si>
  <si>
    <t xml:space="preserve">Preferencia usuario 26/10–27/10/2026. Fijaciones por definir con el muro real.</t>
  </si>
  <si>
    <t xml:space="preserve">RH15 (referencia: Cartagena de la cocina)</t>
  </si>
  <si>
    <t xml:space="preserve">Tablero melamina RH 15 mm, 2,15 × 2,44</t>
  </si>
  <si>
    <t xml:space="preserve">lámina</t>
  </si>
  <si>
    <t xml:space="preserve">Referencia de precio</t>
  </si>
  <si>
    <t xml:space="preserve">Cantidad estimada con el auditor (herramientas/auditar_closet.py): guillotina sin rotar, sierra 4 mm, refilado 10 mm. Usar el plano de corte del proveedor. El acabado del clóset no está elegido; el precio es el de la cocina (Madecentro).</t>
  </si>
  <si>
    <t xml:space="preserve">Madecentro; hoja Compras de despiece-280.xlsx.</t>
  </si>
  <si>
    <t xml:space="preserve">Canto rígido 19 × 2 mm · rollo 100 m</t>
  </si>
  <si>
    <t xml:space="preserve">Cantos vistos</t>
  </si>
  <si>
    <t xml:space="preserve">rollo</t>
  </si>
  <si>
    <t xml:space="preserve">Metros y rollos vinculados a Cantos. Validar color y SKU.</t>
  </si>
  <si>
    <t xml:space="preserve">Precio de la nueva versión de la cocina.</t>
  </si>
  <si>
    <t xml:space="preserve">Canto flexible 19 × 0,45 mm · rollo 200 m</t>
  </si>
  <si>
    <t xml:space="preserve">Cantos ocultos</t>
  </si>
  <si>
    <t xml:space="preserve">Uniones y soportes de repisa</t>
  </si>
  <si>
    <t xml:space="preserve">Cotizar uniones de la estructura y refuerzos. Tapas superiores: previsión de 12 escuadras/apoyos metálicos (4 por tapa), sujetos al montaje final. Definir apoyo de repisas y extremos de listones. No justificar una unión resistente pegando sobre canto decorativo. Tornillos de herrajes incluidos no cubren este lote.</t>
  </si>
  <si>
    <t xml:space="preserve">Montaje RH15 por dimensionar.</t>
  </si>
  <si>
    <t xml:space="preserve">Por cotizar</t>
  </si>
  <si>
    <t xml:space="preserve">Corte y canteado en taller</t>
  </si>
  <si>
    <t xml:space="preserve">servicio</t>
  </si>
  <si>
    <t xml:space="preserve">Solo si lo hace el proveedor. Perforar únicamente con plantilla de las bisagras, brazos y correderas elegidos.</t>
  </si>
  <si>
    <t xml:space="preserve">Pedido de fabricación por preparar.</t>
  </si>
  <si>
    <t xml:space="preserve">Subtotal con precio</t>
  </si>
  <si>
    <t xml:space="preserve">Parcial: quedan brazos, 9 agarres, barras, apoyos, anclajes, uniones y servicios. Cinco láminas corresponden al clóset por separado. No descontar ahorro conjunto sin igual acabado y plano aprobado.</t>
  </si>
  <si>
    <t xml:space="preserve">Clóset definitivo: fabricación y montaje</t>
  </si>
  <si>
    <t xml:space="preserve">Opción 2 elegida como definitiva por el usuario. Revisión de consolidación: 27/10/2026.</t>
  </si>
  <si>
    <t xml:space="preserve">Diseño y distribución cerrados. Para liberar fabricación: confirmar herrajes, uniones, anclajes y acabado.</t>
  </si>
  <si>
    <t xml:space="preserve">Tema</t>
  </si>
  <si>
    <t xml:space="preserve">Resultado / siguiente paso</t>
  </si>
  <si>
    <t xml:space="preserve">Fuente</t>
  </si>
  <si>
    <t xml:space="preserve">Hueco y profundidad</t>
  </si>
  <si>
    <t xml:space="preserve">Hueco medido 2900×2400 mm; comprobar medida mínima y plomo. Nominal 2880; cuerpo 2860 mm. Fondo cerrado 495 mm, reserva geométrica 498 mm dentro de 520 mm.</t>
  </si>
  <si>
    <t xml:space="preserve">Usuario y geometría</t>
  </si>
  <si>
    <t xml:space="preserve">Aplicado</t>
  </si>
  <si>
    <t xml:space="preserve">Altura y base</t>
  </si>
  <si>
    <t xml:space="preserve">Estructura desde y 100 hasta 2380: laterales 2280 mm. Base nominal 100 mm incluida en altura montada 2380. Holgura superior 20 mm antes de nivelar. El usuario considera trabajables los desniveles: nivelar con los apoyos y calzos, y comprobar que las tapas abiertas no toquen el cielo falso.</t>
  </si>
  <si>
    <t xml:space="preserve">Modelo opción 2 / usuario 27/10/2026</t>
  </si>
  <si>
    <t xml:space="preserve">Montaje</t>
  </si>
  <si>
    <t xml:space="preserve">Armado dentro del hueco</t>
  </si>
  <si>
    <t xml:space="preserve">Armar de pie o por partes. Diagonal de cuerpo 2380×480 ≈2428 mm, superior al hueco 2400: no asumir que puede levantarse desde tumbado.</t>
  </si>
  <si>
    <t xml:space="preserve">Cálculo geométrico</t>
  </si>
  <si>
    <t xml:space="preserve">Modelado</t>
  </si>
  <si>
    <t xml:space="preserve">Refuerzos de RH15 (rigidez)</t>
  </si>
  <si>
    <t xml:space="preserve">75 piezas RH15, incluidos 17 refuerzos. Las flechas del auditor son estimaciones con E=2000 MPa y fluencia ×2. La base de cajón supone colaboración perfecta entre tablero y listón: no valida la unión real. El cálculo no acredita una carga de uso ni reemplaza definir apoyos, adhesivo y tornillos. Las tapas superiores también reciben esfuerzos de bisagras.</t>
  </si>
  <si>
    <t xml:space="preserve">Cálculo de flecha con supuestos; auditar_closet.py</t>
  </si>
  <si>
    <t xml:space="preserve">Previsión</t>
  </si>
  <si>
    <t xml:space="preserve">Anclaje a paredes laterales</t>
  </si>
  <si>
    <t xml:space="preserve">Anclaje a paredes laterales como preferencia. Los calzos se ajustan a cada punto, sin asumir holgura constante. Las 16 fijaciones son una previsión; producto y capacidad según muro real. Divisores trabados por pisos, tapas y travesaños; sin carga en cielo falso.</t>
  </si>
  <si>
    <t xml:space="preserve">Usuario 27/10/2026</t>
  </si>
  <si>
    <t xml:space="preserve">Cantos (criterio de la cocina)</t>
  </si>
  <si>
    <t xml:space="preserve">Canto rígido 19×2 mm en frentes, puertas, tapas de maletero y borde frontal de laterales, pisos, tapas y repisas; flexible 19×0,45 mm en bordes ocultos. Reserva de 5 cm por borde. Rollos de 100 m (rígido) y 200 m (flexible). Totales en la hoja Cantos.</t>
  </si>
  <si>
    <t xml:space="preserve">despiece-280.xlsx / hoja Cantos</t>
  </si>
  <si>
    <t xml:space="preserve">Tapas del maletero</t>
  </si>
  <si>
    <t xml:space="preserve">Las tres tapas pasan de 503 a 518 mm de alto: cubren el canto de la tapa superior (recubrimiento total) en lugar de quedar con borde a ras de su cara inferior, disposición para la que no hay bisagra de cazoleta estándar. Pesos: 5,22 kg las laterales y 4,34 kg la central. Abiertas, llegan a 2380 mm de alto y proyectan 518 mm delante del frente (1013 mm desde el muro).</t>
  </si>
  <si>
    <t xml:space="preserve">Geometría opción 2</t>
  </si>
  <si>
    <t xml:space="preserve">Por validar</t>
  </si>
  <si>
    <t xml:space="preserve">Bisagras del maletero</t>
  </si>
  <si>
    <t xml:space="preserve">HBM306-01 parche candidata. Cuatro bisagras por tapa como previsión. Confirmar compatibilidad con el brazo, tabla por peso/tamaño y plantilla para RH15. La unión de cada tapa superior a los laterales debe transmitir esfuerzos de puerta; prever cuatro apoyos metálicos por tapa. Recubrimiento (ficha Madecentro): HBM306 parche 15 + A − C = 18–22 mm, hay que pedir base más alta (≈3 mm) o probar; HBM897 semiparche mínimo 8 mm frente a 6,5 mm diseñados: probar un par.</t>
  </si>
  <si>
    <t xml:space="preserve">Madecentro 27/10/2026</t>
  </si>
  <si>
    <t xml:space="preserve">Corregir</t>
  </si>
  <si>
    <t xml:space="preserve">Brazos de gas</t>
  </si>
  <si>
    <t xml:space="preserve">Seis brazos previstos (dos por tapa de 518 mm) NO alcanzan: con 10,05 kg/m² las laterales pesan ≈5,22 kg y la central ≈4,34 kg, y dos brazos de 150 N sostienen solo 4,2 kg a ~500 mm (ficha aportada por el usuario). Elegir: 3 brazos por tapa (preguntar si existe esa combinación), partir cada tapa en dos (≈2,6 kg c/u, 6 tapas) o un brazo más fuerte. Retirada la propuesta 120/100 N basada en rangos generales.</t>
  </si>
  <si>
    <t xml:space="preserve">Ficha HEC aportada por el usuario 27/10/2026</t>
  </si>
  <si>
    <t xml:space="preserve">Puertas laterales</t>
  </si>
  <si>
    <t xml:space="preserve">Cuatro hojas de 1755 × 500,5 × 15 y dos de 1002 × 415,5 × 15. Pesos con 10,05 kg/m²: 8,83 y 4,18 kg. Mantener 32 bisagras (6 por hoja alta, por encima de las ~5 estimadas) hasta validar con una prueba; no sumar capacidades de pares.</t>
  </si>
  <si>
    <t xml:space="preserve">Geometría / cálculo de peso</t>
  </si>
  <si>
    <t xml:space="preserve">Agarre de frentes</t>
  </si>
  <si>
    <t xml:space="preserve">Nueve agarres por cotizar para seis hojas y tres tapas. Los tres cajones quedan sin manijas, con separación de 30 mm para introducir los dedos. No requieren riel push para abrirse por ese espacio.</t>
  </si>
  <si>
    <t xml:space="preserve">Revisión técnica 27/10/2026</t>
  </si>
  <si>
    <t xml:space="preserve">Uso acordado</t>
  </si>
  <si>
    <t xml:space="preserve">Giro y carga</t>
  </si>
  <si>
    <t xml:space="preserve">Puertas derechas se usan con puerta de habitación cerrada. Solo objetos livianos en maletero; carga máxima de estantes sin definir.</t>
  </si>
  <si>
    <t xml:space="preserve">Usuario 26/10/2026</t>
  </si>
  <si>
    <t xml:space="preserve">Pendiente</t>
  </si>
  <si>
    <t xml:space="preserve">Cielo falso</t>
  </si>
  <si>
    <t xml:space="preserve">Medir la altura del cielo falso a 1 m del muro: las tapas abiertas llegan a 2380 mm a 1013 mm del muro y una cenefa o tolva de luces puede estorbar.</t>
  </si>
  <si>
    <t xml:space="preserve">Revisión técnica</t>
  </si>
  <si>
    <t xml:space="preserve">Cantos, veta y corte</t>
  </si>
  <si>
    <t xml:space="preserve">Se conservan dimensiones terminadas, cantos y sentido de veta E propuesto. Confirmar acabado/color, canteado de piezas estrechas, superficies de unión y plano de corte. Cantos en superficies que deban encolarse se resuelven con el taller, antes de cortar.</t>
  </si>
  <si>
    <t xml:space="preserve">Proveedor de corte</t>
  </si>
  <si>
    <t xml:space="preserve">Presupuesto final</t>
  </si>
  <si>
    <t xml:space="preserve">Subtotal parcial con precios de referencia. Restan brazos, nueve agarres, barras, soportes, apoyos, anclajes, uniones y servicios. El clóset usa cinco láminas por separado. Con cocina final y el mismo tablero/acabado se encontró encaje conjunto en ocho láminas en vez de nueve; sujeto a plano aprobado.</t>
  </si>
  <si>
    <t xml:space="preserve">Compras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</si>
</sst>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(* #,##0.00_);_(* \(#,##0.00\);_(* \-??_);_(@_)"/>
    <numFmt numFmtId="166" formatCode="_(* #,##0_);_(* \(#,##0\);_(* \-_);_(@_)"/>
    <numFmt numFmtId="167" formatCode="_(\$* #,##0.00_);_(\$* \(#,##0.00\);_(\$* \-??_);_(@_)"/>
    <numFmt numFmtId="168" formatCode="_(\$* #,##0_);_(\$* \(#,##0\);_(\$* \-_);_(@_)"/>
    <numFmt numFmtId="169" formatCode="0%"/>
    <numFmt numFmtId="170" formatCode="0.000000"/>
    <numFmt numFmtId="171" formatCode="0.00"/>
    <numFmt numFmtId="172" formatCode="0.000"/>
    <numFmt numFmtId="173" formatCode="0.0"/>
    <numFmt numFmtId="174" formatCode="\$#,##0"/>
  </numFmts>
  <fonts count="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color theme="1"/>
      <name val="Calibri"/>
      <family val="2"/>
      <charset val="1"/>
    </font>
    <font>
      <sz val="1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53B35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4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24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4" fillId="0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4" fillId="0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24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8" fillId="0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4" fillId="0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4" fillId="0" borderId="0" xfId="24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Percent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53B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36"/>
    <col collapsed="false" customWidth="true" hidden="false" outlineLevel="0" max="4" min="4" style="1" width="8"/>
    <col collapsed="false" customWidth="true" hidden="false" outlineLevel="0" max="6" min="5" style="1" width="13"/>
    <col collapsed="false" customWidth="true" hidden="false" outlineLevel="0" max="7" min="7" style="1" width="10"/>
    <col collapsed="false" customWidth="true" hidden="false" outlineLevel="0" max="8" min="8" style="1" width="11"/>
    <col collapsed="false" customWidth="true" hidden="false" outlineLevel="0" max="12" min="9" style="1" width="9"/>
    <col collapsed="false" customWidth="true" hidden="false" outlineLevel="0" max="15" min="13" style="1" width="14"/>
    <col collapsed="false" customWidth="true" hidden="false" outlineLevel="0" max="16" min="16" style="1" width="90"/>
  </cols>
  <sheetData>
    <row r="2" customFormat="false" ht="19.5" hidden="false" customHeight="true" outlineLevel="0" collapsed="false">
      <c r="A2" s="2" t="s">
        <v>0</v>
      </c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 t="s">
        <v>2</v>
      </c>
    </row>
    <row r="6" customFormat="false" ht="36" hidden="false" customHeight="true" outlineLevel="0" collapsed="false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  <c r="K6" s="4" t="s">
        <v>13</v>
      </c>
      <c r="L6" s="4" t="s">
        <v>14</v>
      </c>
      <c r="M6" s="4" t="s">
        <v>15</v>
      </c>
      <c r="N6" s="4" t="s">
        <v>16</v>
      </c>
      <c r="O6" s="4" t="s">
        <v>17</v>
      </c>
      <c r="P6" s="4" t="s">
        <v>18</v>
      </c>
    </row>
    <row r="7" customFormat="false" ht="30" hidden="false" customHeight="true" outlineLevel="0" collapsed="false">
      <c r="A7" s="5" t="s">
        <v>19</v>
      </c>
      <c r="B7" s="5" t="s">
        <v>20</v>
      </c>
      <c r="C7" s="5" t="s">
        <v>21</v>
      </c>
      <c r="D7" s="5" t="n">
        <v>4</v>
      </c>
      <c r="E7" s="5" t="n">
        <v>2280</v>
      </c>
      <c r="F7" s="5" t="n">
        <v>480</v>
      </c>
      <c r="G7" s="5" t="n">
        <v>15</v>
      </c>
      <c r="H7" s="6" t="n">
        <f aca="false">D7*E7*F7/1000000</f>
        <v>4.3776</v>
      </c>
      <c r="I7" s="5" t="s">
        <v>22</v>
      </c>
      <c r="J7" s="5" t="s">
        <v>23</v>
      </c>
      <c r="K7" s="5" t="s">
        <v>23</v>
      </c>
      <c r="L7" s="5" t="s">
        <v>23</v>
      </c>
      <c r="M7" s="7" t="n">
        <f aca="false">E7-IF(K7="2",2,IF(K7="0.45",0.45,0))-IF(L7="2",2,IF(L7="0.45",0.45,0))</f>
        <v>2279.1</v>
      </c>
      <c r="N7" s="7" t="n">
        <f aca="false">F7-IF(I7="2",2,IF(I7="0.45",0.45,0))-IF(J7="2",2,IF(J7="0.45",0.45,0))</f>
        <v>477.55</v>
      </c>
      <c r="O7" s="5" t="s">
        <v>24</v>
      </c>
      <c r="P7" s="8" t="s">
        <v>25</v>
      </c>
    </row>
    <row r="8" customFormat="false" ht="30" hidden="false" customHeight="true" outlineLevel="0" collapsed="false">
      <c r="A8" s="5" t="s">
        <v>26</v>
      </c>
      <c r="B8" s="5" t="s">
        <v>27</v>
      </c>
      <c r="C8" s="5" t="s">
        <v>28</v>
      </c>
      <c r="D8" s="5" t="n">
        <v>2</v>
      </c>
      <c r="E8" s="5" t="n">
        <v>990</v>
      </c>
      <c r="F8" s="5" t="n">
        <v>480</v>
      </c>
      <c r="G8" s="5" t="n">
        <v>15</v>
      </c>
      <c r="H8" s="6" t="n">
        <f aca="false">D8*E8*F8/1000000</f>
        <v>0.9504</v>
      </c>
      <c r="I8" s="5" t="s">
        <v>22</v>
      </c>
      <c r="J8" s="5" t="s">
        <v>23</v>
      </c>
      <c r="K8" s="5" t="s">
        <v>23</v>
      </c>
      <c r="L8" s="5" t="s">
        <v>23</v>
      </c>
      <c r="M8" s="7" t="n">
        <f aca="false">E8-IF(K8="2",2,IF(K8="0.45",0.45,0))-IF(L8="2",2,IF(L8="0.45",0.45,0))</f>
        <v>989.1</v>
      </c>
      <c r="N8" s="7" t="n">
        <f aca="false">F8-IF(I8="2",2,IF(I8="0.45",0.45,0))-IF(J8="2",2,IF(J8="0.45",0.45,0))</f>
        <v>477.55</v>
      </c>
      <c r="O8" s="5" t="s">
        <v>24</v>
      </c>
      <c r="P8" s="8" t="s">
        <v>29</v>
      </c>
    </row>
    <row r="9" customFormat="false" ht="30" hidden="false" customHeight="true" outlineLevel="0" collapsed="false">
      <c r="A9" s="5" t="s">
        <v>30</v>
      </c>
      <c r="B9" s="5" t="s">
        <v>31</v>
      </c>
      <c r="C9" s="5" t="s">
        <v>32</v>
      </c>
      <c r="D9" s="5" t="n">
        <v>2</v>
      </c>
      <c r="E9" s="5" t="n">
        <v>990</v>
      </c>
      <c r="F9" s="5" t="n">
        <v>480</v>
      </c>
      <c r="G9" s="5" t="n">
        <v>15</v>
      </c>
      <c r="H9" s="6" t="n">
        <f aca="false">D9*E9*F9/1000000</f>
        <v>0.9504</v>
      </c>
      <c r="I9" s="5" t="s">
        <v>22</v>
      </c>
      <c r="J9" s="5" t="s">
        <v>23</v>
      </c>
      <c r="K9" s="5" t="s">
        <v>23</v>
      </c>
      <c r="L9" s="5" t="s">
        <v>23</v>
      </c>
      <c r="M9" s="7" t="n">
        <f aca="false">E9-IF(K9="2",2,IF(K9="0.45",0.45,0))-IF(L9="2",2,IF(L9="0.45",0.45,0))</f>
        <v>989.1</v>
      </c>
      <c r="N9" s="7" t="n">
        <f aca="false">F9-IF(I9="2",2,IF(I9="0.45",0.45,0))-IF(J9="2",2,IF(J9="0.45",0.45,0))</f>
        <v>477.55</v>
      </c>
      <c r="O9" s="5" t="s">
        <v>24</v>
      </c>
      <c r="P9" s="8" t="s">
        <v>33</v>
      </c>
    </row>
    <row r="10" customFormat="false" ht="30" hidden="false" customHeight="true" outlineLevel="0" collapsed="false">
      <c r="A10" s="5" t="s">
        <v>34</v>
      </c>
      <c r="B10" s="5" t="s">
        <v>31</v>
      </c>
      <c r="C10" s="5" t="s">
        <v>35</v>
      </c>
      <c r="D10" s="5" t="n">
        <v>2</v>
      </c>
      <c r="E10" s="5" t="n">
        <v>990</v>
      </c>
      <c r="F10" s="5" t="n">
        <v>480</v>
      </c>
      <c r="G10" s="5" t="n">
        <v>15</v>
      </c>
      <c r="H10" s="6" t="n">
        <f aca="false">D10*E10*F10/1000000</f>
        <v>0.9504</v>
      </c>
      <c r="I10" s="5" t="s">
        <v>22</v>
      </c>
      <c r="J10" s="5" t="s">
        <v>23</v>
      </c>
      <c r="K10" s="5" t="s">
        <v>23</v>
      </c>
      <c r="L10" s="5" t="s">
        <v>23</v>
      </c>
      <c r="M10" s="7" t="n">
        <f aca="false">E10-IF(K10="2",2,IF(K10="0.45",0.45,0))-IF(L10="2",2,IF(L10="0.45",0.45,0))</f>
        <v>989.1</v>
      </c>
      <c r="N10" s="7" t="n">
        <f aca="false">F10-IF(I10="2",2,IF(I10="0.45",0.45,0))-IF(J10="2",2,IF(J10="0.45",0.45,0))</f>
        <v>477.55</v>
      </c>
      <c r="O10" s="5" t="s">
        <v>24</v>
      </c>
      <c r="P10" s="8" t="s">
        <v>36</v>
      </c>
    </row>
    <row r="11" customFormat="false" ht="30" hidden="false" customHeight="true" outlineLevel="0" collapsed="false">
      <c r="A11" s="5" t="s">
        <v>37</v>
      </c>
      <c r="B11" s="5" t="s">
        <v>20</v>
      </c>
      <c r="C11" s="5" t="s">
        <v>38</v>
      </c>
      <c r="D11" s="5" t="n">
        <v>6</v>
      </c>
      <c r="E11" s="5" t="n">
        <v>990</v>
      </c>
      <c r="F11" s="5" t="n">
        <v>100</v>
      </c>
      <c r="G11" s="5" t="n">
        <v>15</v>
      </c>
      <c r="H11" s="6" t="n">
        <f aca="false">D11*E11*F11/1000000</f>
        <v>0.594</v>
      </c>
      <c r="I11" s="5" t="s">
        <v>23</v>
      </c>
      <c r="J11" s="5" t="s">
        <v>23</v>
      </c>
      <c r="K11" s="5" t="s">
        <v>23</v>
      </c>
      <c r="L11" s="5" t="s">
        <v>23</v>
      </c>
      <c r="M11" s="7" t="n">
        <f aca="false">E11-IF(K11="2",2,IF(K11="0.45",0.45,0))-IF(L11="2",2,IF(L11="0.45",0.45,0))</f>
        <v>989.1</v>
      </c>
      <c r="N11" s="7" t="n">
        <f aca="false">F11-IF(I11="2",2,IF(I11="0.45",0.45,0))-IF(J11="2",2,IF(J11="0.45",0.45,0))</f>
        <v>99.1</v>
      </c>
      <c r="O11" s="5" t="s">
        <v>24</v>
      </c>
      <c r="P11" s="8" t="s">
        <v>39</v>
      </c>
    </row>
    <row r="12" customFormat="false" ht="30" hidden="false" customHeight="true" outlineLevel="0" collapsed="false">
      <c r="A12" s="5" t="s">
        <v>40</v>
      </c>
      <c r="B12" s="5" t="s">
        <v>27</v>
      </c>
      <c r="C12" s="5" t="s">
        <v>41</v>
      </c>
      <c r="D12" s="5" t="n">
        <v>4</v>
      </c>
      <c r="E12" s="5" t="n">
        <v>990</v>
      </c>
      <c r="F12" s="5" t="n">
        <v>348</v>
      </c>
      <c r="G12" s="5" t="n">
        <v>15</v>
      </c>
      <c r="H12" s="6" t="n">
        <f aca="false">D12*E12*F12/1000000</f>
        <v>1.37808</v>
      </c>
      <c r="I12" s="5" t="s">
        <v>22</v>
      </c>
      <c r="J12" s="5" t="s">
        <v>23</v>
      </c>
      <c r="K12" s="5" t="s">
        <v>23</v>
      </c>
      <c r="L12" s="5" t="s">
        <v>23</v>
      </c>
      <c r="M12" s="7" t="n">
        <f aca="false">E12-IF(K12="2",2,IF(K12="0.45",0.45,0))-IF(L12="2",2,IF(L12="0.45",0.45,0))</f>
        <v>989.1</v>
      </c>
      <c r="N12" s="7" t="n">
        <f aca="false">F12-IF(I12="2",2,IF(I12="0.45",0.45,0))-IF(J12="2",2,IF(J12="0.45",0.45,0))</f>
        <v>345.55</v>
      </c>
      <c r="O12" s="5" t="s">
        <v>24</v>
      </c>
      <c r="P12" s="8" t="s">
        <v>42</v>
      </c>
    </row>
    <row r="13" customFormat="false" ht="30" hidden="false" customHeight="true" outlineLevel="0" collapsed="false">
      <c r="A13" s="5" t="s">
        <v>43</v>
      </c>
      <c r="B13" s="5" t="s">
        <v>44</v>
      </c>
      <c r="C13" s="5" t="s">
        <v>28</v>
      </c>
      <c r="D13" s="5" t="n">
        <v>1</v>
      </c>
      <c r="E13" s="5" t="n">
        <v>820</v>
      </c>
      <c r="F13" s="5" t="n">
        <v>480</v>
      </c>
      <c r="G13" s="5" t="n">
        <v>15</v>
      </c>
      <c r="H13" s="6" t="n">
        <f aca="false">D13*E13*F13/1000000</f>
        <v>0.3936</v>
      </c>
      <c r="I13" s="5" t="s">
        <v>22</v>
      </c>
      <c r="J13" s="5" t="s">
        <v>23</v>
      </c>
      <c r="K13" s="5" t="s">
        <v>23</v>
      </c>
      <c r="L13" s="5" t="s">
        <v>23</v>
      </c>
      <c r="M13" s="7" t="n">
        <f aca="false">E13-IF(K13="2",2,IF(K13="0.45",0.45,0))-IF(L13="2",2,IF(L13="0.45",0.45,0))</f>
        <v>819.1</v>
      </c>
      <c r="N13" s="7" t="n">
        <f aca="false">F13-IF(I13="2",2,IF(I13="0.45",0.45,0))-IF(J13="2",2,IF(J13="0.45",0.45,0))</f>
        <v>477.55</v>
      </c>
      <c r="O13" s="5" t="s">
        <v>24</v>
      </c>
      <c r="P13" s="8" t="s">
        <v>45</v>
      </c>
    </row>
    <row r="14" customFormat="false" ht="30" hidden="false" customHeight="true" outlineLevel="0" collapsed="false">
      <c r="A14" s="5" t="s">
        <v>46</v>
      </c>
      <c r="B14" s="5" t="s">
        <v>31</v>
      </c>
      <c r="C14" s="5" t="s">
        <v>32</v>
      </c>
      <c r="D14" s="5" t="n">
        <v>1</v>
      </c>
      <c r="E14" s="5" t="n">
        <v>820</v>
      </c>
      <c r="F14" s="5" t="n">
        <v>480</v>
      </c>
      <c r="G14" s="5" t="n">
        <v>15</v>
      </c>
      <c r="H14" s="6" t="n">
        <f aca="false">D14*E14*F14/1000000</f>
        <v>0.3936</v>
      </c>
      <c r="I14" s="5" t="s">
        <v>22</v>
      </c>
      <c r="J14" s="5" t="s">
        <v>23</v>
      </c>
      <c r="K14" s="5" t="s">
        <v>23</v>
      </c>
      <c r="L14" s="5" t="s">
        <v>23</v>
      </c>
      <c r="M14" s="7" t="n">
        <f aca="false">E14-IF(K14="2",2,IF(K14="0.45",0.45,0))-IF(L14="2",2,IF(L14="0.45",0.45,0))</f>
        <v>819.1</v>
      </c>
      <c r="N14" s="7" t="n">
        <f aca="false">F14-IF(I14="2",2,IF(I14="0.45",0.45,0))-IF(J14="2",2,IF(J14="0.45",0.45,0))</f>
        <v>477.55</v>
      </c>
      <c r="O14" s="5" t="s">
        <v>24</v>
      </c>
      <c r="P14" s="8" t="s">
        <v>47</v>
      </c>
    </row>
    <row r="15" customFormat="false" ht="30" hidden="false" customHeight="true" outlineLevel="0" collapsed="false">
      <c r="A15" s="5" t="s">
        <v>48</v>
      </c>
      <c r="B15" s="5" t="s">
        <v>31</v>
      </c>
      <c r="C15" s="5" t="s">
        <v>35</v>
      </c>
      <c r="D15" s="5" t="n">
        <v>1</v>
      </c>
      <c r="E15" s="5" t="n">
        <v>820</v>
      </c>
      <c r="F15" s="5" t="n">
        <v>480</v>
      </c>
      <c r="G15" s="5" t="n">
        <v>15</v>
      </c>
      <c r="H15" s="6" t="n">
        <f aca="false">D15*E15*F15/1000000</f>
        <v>0.3936</v>
      </c>
      <c r="I15" s="5" t="s">
        <v>22</v>
      </c>
      <c r="J15" s="5" t="s">
        <v>23</v>
      </c>
      <c r="K15" s="5" t="s">
        <v>23</v>
      </c>
      <c r="L15" s="5" t="s">
        <v>23</v>
      </c>
      <c r="M15" s="7" t="n">
        <f aca="false">E15-IF(K15="2",2,IF(K15="0.45",0.45,0))-IF(L15="2",2,IF(L15="0.45",0.45,0))</f>
        <v>819.1</v>
      </c>
      <c r="N15" s="7" t="n">
        <f aca="false">F15-IF(I15="2",2,IF(I15="0.45",0.45,0))-IF(J15="2",2,IF(J15="0.45",0.45,0))</f>
        <v>477.55</v>
      </c>
      <c r="O15" s="5" t="s">
        <v>24</v>
      </c>
      <c r="P15" s="8" t="s">
        <v>49</v>
      </c>
    </row>
    <row r="16" customFormat="false" ht="30" hidden="false" customHeight="true" outlineLevel="0" collapsed="false">
      <c r="A16" s="5" t="s">
        <v>50</v>
      </c>
      <c r="B16" s="5" t="s">
        <v>20</v>
      </c>
      <c r="C16" s="5" t="s">
        <v>38</v>
      </c>
      <c r="D16" s="5" t="n">
        <v>3</v>
      </c>
      <c r="E16" s="5" t="n">
        <v>820</v>
      </c>
      <c r="F16" s="5" t="n">
        <v>100</v>
      </c>
      <c r="G16" s="5" t="n">
        <v>15</v>
      </c>
      <c r="H16" s="6" t="n">
        <f aca="false">D16*E16*F16/1000000</f>
        <v>0.246</v>
      </c>
      <c r="I16" s="5" t="s">
        <v>23</v>
      </c>
      <c r="J16" s="5" t="s">
        <v>23</v>
      </c>
      <c r="K16" s="5" t="s">
        <v>23</v>
      </c>
      <c r="L16" s="5" t="s">
        <v>23</v>
      </c>
      <c r="M16" s="7" t="n">
        <f aca="false">E16-IF(K16="2",2,IF(K16="0.45",0.45,0))-IF(L16="2",2,IF(L16="0.45",0.45,0))</f>
        <v>819.1</v>
      </c>
      <c r="N16" s="7" t="n">
        <f aca="false">F16-IF(I16="2",2,IF(I16="0.45",0.45,0))-IF(J16="2",2,IF(J16="0.45",0.45,0))</f>
        <v>99.1</v>
      </c>
      <c r="O16" s="5" t="s">
        <v>24</v>
      </c>
      <c r="P16" s="8" t="s">
        <v>51</v>
      </c>
    </row>
    <row r="17" customFormat="false" ht="30" hidden="false" customHeight="true" outlineLevel="0" collapsed="false">
      <c r="A17" s="5" t="s">
        <v>52</v>
      </c>
      <c r="B17" s="5" t="s">
        <v>44</v>
      </c>
      <c r="C17" s="5" t="s">
        <v>53</v>
      </c>
      <c r="D17" s="5" t="n">
        <v>3</v>
      </c>
      <c r="E17" s="5" t="n">
        <v>814</v>
      </c>
      <c r="F17" s="5" t="n">
        <v>210</v>
      </c>
      <c r="G17" s="5" t="n">
        <v>15</v>
      </c>
      <c r="H17" s="6" t="n">
        <f aca="false">D17*E17*F17/1000000</f>
        <v>0.51282</v>
      </c>
      <c r="I17" s="5" t="s">
        <v>22</v>
      </c>
      <c r="J17" s="5" t="s">
        <v>22</v>
      </c>
      <c r="K17" s="5" t="s">
        <v>22</v>
      </c>
      <c r="L17" s="5" t="s">
        <v>22</v>
      </c>
      <c r="M17" s="7" t="n">
        <f aca="false">E17-IF(K17="2",2,IF(K17="0.45",0.45,0))-IF(L17="2",2,IF(L17="0.45",0.45,0))</f>
        <v>810</v>
      </c>
      <c r="N17" s="7" t="n">
        <f aca="false">F17-IF(I17="2",2,IF(I17="0.45",0.45,0))-IF(J17="2",2,IF(J17="0.45",0.45,0))</f>
        <v>206</v>
      </c>
      <c r="O17" s="5" t="s">
        <v>24</v>
      </c>
      <c r="P17" s="8" t="s">
        <v>54</v>
      </c>
    </row>
    <row r="18" customFormat="false" ht="30" hidden="false" customHeight="true" outlineLevel="0" collapsed="false">
      <c r="A18" s="5" t="s">
        <v>55</v>
      </c>
      <c r="B18" s="5" t="s">
        <v>44</v>
      </c>
      <c r="C18" s="5" t="s">
        <v>56</v>
      </c>
      <c r="D18" s="5" t="n">
        <v>6</v>
      </c>
      <c r="E18" s="5" t="n">
        <v>400</v>
      </c>
      <c r="F18" s="5" t="n">
        <v>155</v>
      </c>
      <c r="G18" s="5" t="n">
        <v>15</v>
      </c>
      <c r="H18" s="6" t="n">
        <f aca="false">D18*E18*F18/1000000</f>
        <v>0.372</v>
      </c>
      <c r="I18" s="5" t="s">
        <v>23</v>
      </c>
      <c r="J18" s="5" t="s">
        <v>23</v>
      </c>
      <c r="K18" s="5" t="s">
        <v>23</v>
      </c>
      <c r="L18" s="5" t="s">
        <v>23</v>
      </c>
      <c r="M18" s="7" t="n">
        <f aca="false">E18-IF(K18="2",2,IF(K18="0.45",0.45,0))-IF(L18="2",2,IF(L18="0.45",0.45,0))</f>
        <v>399.1</v>
      </c>
      <c r="N18" s="7" t="n">
        <f aca="false">F18-IF(I18="2",2,IF(I18="0.45",0.45,0))-IF(J18="2",2,IF(J18="0.45",0.45,0))</f>
        <v>154.1</v>
      </c>
      <c r="O18" s="5" t="s">
        <v>24</v>
      </c>
      <c r="P18" s="8" t="s">
        <v>57</v>
      </c>
    </row>
    <row r="19" customFormat="false" ht="30" hidden="false" customHeight="true" outlineLevel="0" collapsed="false">
      <c r="A19" s="5" t="s">
        <v>58</v>
      </c>
      <c r="B19" s="5" t="s">
        <v>44</v>
      </c>
      <c r="C19" s="5" t="s">
        <v>59</v>
      </c>
      <c r="D19" s="5" t="n">
        <v>3</v>
      </c>
      <c r="E19" s="5" t="n">
        <v>793</v>
      </c>
      <c r="F19" s="5" t="n">
        <v>400</v>
      </c>
      <c r="G19" s="5" t="n">
        <v>15</v>
      </c>
      <c r="H19" s="6" t="n">
        <f aca="false">D19*E19*F19/1000000</f>
        <v>0.9516</v>
      </c>
      <c r="I19" s="5" t="s">
        <v>23</v>
      </c>
      <c r="J19" s="5" t="s">
        <v>23</v>
      </c>
      <c r="K19" s="5" t="s">
        <v>23</v>
      </c>
      <c r="L19" s="5" t="s">
        <v>23</v>
      </c>
      <c r="M19" s="7" t="n">
        <f aca="false">E19-IF(K19="2",2,IF(K19="0.45",0.45,0))-IF(L19="2",2,IF(L19="0.45",0.45,0))</f>
        <v>792.1</v>
      </c>
      <c r="N19" s="7" t="n">
        <f aca="false">F19-IF(I19="2",2,IF(I19="0.45",0.45,0))-IF(J19="2",2,IF(J19="0.45",0.45,0))</f>
        <v>399.1</v>
      </c>
      <c r="O19" s="5" t="s">
        <v>24</v>
      </c>
      <c r="P19" s="8" t="s">
        <v>60</v>
      </c>
    </row>
    <row r="20" customFormat="false" ht="30" hidden="false" customHeight="true" outlineLevel="0" collapsed="false">
      <c r="A20" s="5" t="s">
        <v>61</v>
      </c>
      <c r="B20" s="5" t="s">
        <v>44</v>
      </c>
      <c r="C20" s="5" t="s">
        <v>62</v>
      </c>
      <c r="D20" s="5" t="n">
        <v>6</v>
      </c>
      <c r="E20" s="5" t="n">
        <v>763</v>
      </c>
      <c r="F20" s="5" t="n">
        <v>155</v>
      </c>
      <c r="G20" s="5" t="n">
        <v>15</v>
      </c>
      <c r="H20" s="6" t="n">
        <f aca="false">D20*E20*F20/1000000</f>
        <v>0.70959</v>
      </c>
      <c r="I20" s="5" t="s">
        <v>23</v>
      </c>
      <c r="J20" s="5" t="s">
        <v>23</v>
      </c>
      <c r="K20" s="5" t="s">
        <v>23</v>
      </c>
      <c r="L20" s="5" t="s">
        <v>23</v>
      </c>
      <c r="M20" s="7" t="n">
        <f aca="false">E20-IF(K20="2",2,IF(K20="0.45",0.45,0))-IF(L20="2",2,IF(L20="0.45",0.45,0))</f>
        <v>762.1</v>
      </c>
      <c r="N20" s="7" t="n">
        <f aca="false">F20-IF(I20="2",2,IF(I20="0.45",0.45,0))-IF(J20="2",2,IF(J20="0.45",0.45,0))</f>
        <v>154.1</v>
      </c>
      <c r="O20" s="5" t="s">
        <v>24</v>
      </c>
      <c r="P20" s="8" t="s">
        <v>63</v>
      </c>
    </row>
    <row r="21" customFormat="false" ht="30" hidden="false" customHeight="true" outlineLevel="0" collapsed="false">
      <c r="A21" s="5" t="s">
        <v>64</v>
      </c>
      <c r="B21" s="5" t="s">
        <v>44</v>
      </c>
      <c r="C21" s="5" t="s">
        <v>65</v>
      </c>
      <c r="D21" s="5" t="n">
        <v>3</v>
      </c>
      <c r="E21" s="5" t="n">
        <v>793</v>
      </c>
      <c r="F21" s="5" t="n">
        <v>30</v>
      </c>
      <c r="G21" s="5" t="n">
        <v>15</v>
      </c>
      <c r="H21" s="6" t="n">
        <f aca="false">D21*E21*F21/1000000</f>
        <v>0.07137</v>
      </c>
      <c r="I21" s="5" t="s">
        <v>23</v>
      </c>
      <c r="J21" s="5" t="s">
        <v>23</v>
      </c>
      <c r="K21" s="5" t="s">
        <v>23</v>
      </c>
      <c r="L21" s="5" t="s">
        <v>23</v>
      </c>
      <c r="M21" s="7" t="n">
        <f aca="false">E21-IF(K21="2",2,IF(K21="0.45",0.45,0))-IF(L21="2",2,IF(L21="0.45",0.45,0))</f>
        <v>792.1</v>
      </c>
      <c r="N21" s="7" t="n">
        <f aca="false">F21-IF(I21="2",2,IF(I21="0.45",0.45,0))-IF(J21="2",2,IF(J21="0.45",0.45,0))</f>
        <v>29.1</v>
      </c>
      <c r="O21" s="5" t="s">
        <v>24</v>
      </c>
      <c r="P21" s="8" t="s">
        <v>66</v>
      </c>
    </row>
    <row r="22" customFormat="false" ht="30" hidden="false" customHeight="true" outlineLevel="0" collapsed="false">
      <c r="A22" s="5" t="s">
        <v>67</v>
      </c>
      <c r="B22" s="5" t="s">
        <v>68</v>
      </c>
      <c r="C22" s="5" t="s">
        <v>69</v>
      </c>
      <c r="D22" s="5" t="n">
        <v>2</v>
      </c>
      <c r="E22" s="5" t="n">
        <v>1428</v>
      </c>
      <c r="F22" s="5" t="n">
        <v>92</v>
      </c>
      <c r="G22" s="5" t="n">
        <v>15</v>
      </c>
      <c r="H22" s="6" t="n">
        <f aca="false">D22*E22*F22/1000000</f>
        <v>0.262752</v>
      </c>
      <c r="I22" s="5" t="s">
        <v>23</v>
      </c>
      <c r="J22" s="5" t="s">
        <v>23</v>
      </c>
      <c r="K22" s="5" t="s">
        <v>23</v>
      </c>
      <c r="L22" s="5" t="s">
        <v>23</v>
      </c>
      <c r="M22" s="7" t="n">
        <f aca="false">E22-IF(K22="2",2,IF(K22="0.45",0.45,0))-IF(L22="2",2,IF(L22="0.45",0.45,0))</f>
        <v>1427.1</v>
      </c>
      <c r="N22" s="7" t="n">
        <f aca="false">F22-IF(I22="2",2,IF(I22="0.45",0.45,0))-IF(J22="2",2,IF(J22="0.45",0.45,0))</f>
        <v>91.1</v>
      </c>
      <c r="O22" s="5" t="s">
        <v>24</v>
      </c>
      <c r="P22" s="8" t="s">
        <v>70</v>
      </c>
    </row>
    <row r="23" customFormat="false" ht="30" hidden="false" customHeight="true" outlineLevel="0" collapsed="false">
      <c r="A23" s="5" t="s">
        <v>71</v>
      </c>
      <c r="B23" s="5" t="s">
        <v>68</v>
      </c>
      <c r="C23" s="5" t="s">
        <v>72</v>
      </c>
      <c r="D23" s="5" t="n">
        <v>2</v>
      </c>
      <c r="E23" s="5" t="n">
        <v>1430</v>
      </c>
      <c r="F23" s="5" t="n">
        <v>80</v>
      </c>
      <c r="G23" s="5" t="n">
        <v>15</v>
      </c>
      <c r="H23" s="6" t="n">
        <f aca="false">D23*E23*F23/1000000</f>
        <v>0.2288</v>
      </c>
      <c r="I23" s="5" t="s">
        <v>23</v>
      </c>
      <c r="J23" s="5" t="s">
        <v>23</v>
      </c>
      <c r="K23" s="5" t="s">
        <v>23</v>
      </c>
      <c r="L23" s="5" t="s">
        <v>23</v>
      </c>
      <c r="M23" s="7" t="n">
        <f aca="false">E23-IF(K23="2",2,IF(K23="0.45",0.45,0))-IF(L23="2",2,IF(L23="0.45",0.45,0))</f>
        <v>1429.1</v>
      </c>
      <c r="N23" s="7" t="n">
        <f aca="false">F23-IF(I23="2",2,IF(I23="0.45",0.45,0))-IF(J23="2",2,IF(J23="0.45",0.45,0))</f>
        <v>79.1</v>
      </c>
      <c r="O23" s="5" t="s">
        <v>24</v>
      </c>
      <c r="P23" s="8" t="s">
        <v>73</v>
      </c>
    </row>
    <row r="24" customFormat="false" ht="30" hidden="false" customHeight="true" outlineLevel="0" collapsed="false">
      <c r="A24" s="5" t="s">
        <v>74</v>
      </c>
      <c r="B24" s="5" t="s">
        <v>68</v>
      </c>
      <c r="C24" s="5" t="s">
        <v>75</v>
      </c>
      <c r="D24" s="5" t="n">
        <v>4</v>
      </c>
      <c r="E24" s="5" t="n">
        <v>400</v>
      </c>
      <c r="F24" s="5" t="n">
        <v>80</v>
      </c>
      <c r="G24" s="5" t="n">
        <v>15</v>
      </c>
      <c r="H24" s="6" t="n">
        <f aca="false">D24*E24*F24/1000000</f>
        <v>0.128</v>
      </c>
      <c r="I24" s="5" t="s">
        <v>23</v>
      </c>
      <c r="J24" s="5" t="s">
        <v>23</v>
      </c>
      <c r="K24" s="5" t="s">
        <v>23</v>
      </c>
      <c r="L24" s="5" t="s">
        <v>23</v>
      </c>
      <c r="M24" s="7" t="n">
        <f aca="false">E24-IF(K24="2",2,IF(K24="0.45",0.45,0))-IF(L24="2",2,IF(L24="0.45",0.45,0))</f>
        <v>399.1</v>
      </c>
      <c r="N24" s="7" t="n">
        <f aca="false">F24-IF(I24="2",2,IF(I24="0.45",0.45,0))-IF(J24="2",2,IF(J24="0.45",0.45,0))</f>
        <v>79.1</v>
      </c>
      <c r="O24" s="5" t="s">
        <v>24</v>
      </c>
      <c r="P24" s="8" t="s">
        <v>76</v>
      </c>
    </row>
    <row r="25" customFormat="false" ht="30" hidden="false" customHeight="true" outlineLevel="0" collapsed="false">
      <c r="A25" s="5" t="s">
        <v>77</v>
      </c>
      <c r="B25" s="5" t="s">
        <v>27</v>
      </c>
      <c r="C25" s="5" t="s">
        <v>78</v>
      </c>
      <c r="D25" s="5" t="n">
        <v>4</v>
      </c>
      <c r="E25" s="5" t="n">
        <v>1755</v>
      </c>
      <c r="F25" s="5" t="n">
        <v>500.5</v>
      </c>
      <c r="G25" s="5" t="n">
        <v>15</v>
      </c>
      <c r="H25" s="6" t="n">
        <f aca="false">D25*E25*F25/1000000</f>
        <v>3.51351</v>
      </c>
      <c r="I25" s="5" t="s">
        <v>22</v>
      </c>
      <c r="J25" s="5" t="s">
        <v>22</v>
      </c>
      <c r="K25" s="5" t="s">
        <v>22</v>
      </c>
      <c r="L25" s="5" t="s">
        <v>22</v>
      </c>
      <c r="M25" s="7" t="n">
        <f aca="false">E25-IF(K25="2",2,IF(K25="0.45",0.45,0))-IF(L25="2",2,IF(L25="0.45",0.45,0))</f>
        <v>1751</v>
      </c>
      <c r="N25" s="7" t="n">
        <f aca="false">F25-IF(I25="2",2,IF(I25="0.45",0.45,0))-IF(J25="2",2,IF(J25="0.45",0.45,0))</f>
        <v>496.5</v>
      </c>
      <c r="O25" s="5" t="s">
        <v>24</v>
      </c>
      <c r="P25" s="8" t="s">
        <v>79</v>
      </c>
    </row>
    <row r="26" customFormat="false" ht="30" hidden="false" customHeight="true" outlineLevel="0" collapsed="false">
      <c r="A26" s="5" t="s">
        <v>80</v>
      </c>
      <c r="B26" s="5" t="s">
        <v>44</v>
      </c>
      <c r="C26" s="5" t="s">
        <v>78</v>
      </c>
      <c r="D26" s="5" t="n">
        <v>2</v>
      </c>
      <c r="E26" s="5" t="n">
        <v>1002</v>
      </c>
      <c r="F26" s="5" t="n">
        <v>415.5</v>
      </c>
      <c r="G26" s="5" t="n">
        <v>15</v>
      </c>
      <c r="H26" s="6" t="n">
        <f aca="false">D26*E26*F26/1000000</f>
        <v>0.832662</v>
      </c>
      <c r="I26" s="5" t="s">
        <v>22</v>
      </c>
      <c r="J26" s="5" t="s">
        <v>22</v>
      </c>
      <c r="K26" s="5" t="s">
        <v>22</v>
      </c>
      <c r="L26" s="5" t="s">
        <v>22</v>
      </c>
      <c r="M26" s="7" t="n">
        <f aca="false">E26-IF(K26="2",2,IF(K26="0.45",0.45,0))-IF(L26="2",2,IF(L26="0.45",0.45,0))</f>
        <v>998</v>
      </c>
      <c r="N26" s="7" t="n">
        <f aca="false">F26-IF(I26="2",2,IF(I26="0.45",0.45,0))-IF(J26="2",2,IF(J26="0.45",0.45,0))</f>
        <v>411.5</v>
      </c>
      <c r="O26" s="5" t="s">
        <v>24</v>
      </c>
      <c r="P26" s="8" t="s">
        <v>81</v>
      </c>
    </row>
    <row r="27" customFormat="false" ht="30" hidden="false" customHeight="true" outlineLevel="0" collapsed="false">
      <c r="A27" s="5" t="s">
        <v>82</v>
      </c>
      <c r="B27" s="5" t="s">
        <v>27</v>
      </c>
      <c r="C27" s="5" t="s">
        <v>83</v>
      </c>
      <c r="D27" s="5" t="n">
        <v>2</v>
      </c>
      <c r="E27" s="5" t="n">
        <v>1003</v>
      </c>
      <c r="F27" s="5" t="n">
        <v>518</v>
      </c>
      <c r="G27" s="5" t="n">
        <v>15</v>
      </c>
      <c r="H27" s="6" t="n">
        <f aca="false">D27*E27*F27/1000000</f>
        <v>1.039108</v>
      </c>
      <c r="I27" s="5" t="s">
        <v>22</v>
      </c>
      <c r="J27" s="5" t="s">
        <v>22</v>
      </c>
      <c r="K27" s="5" t="s">
        <v>22</v>
      </c>
      <c r="L27" s="5" t="s">
        <v>22</v>
      </c>
      <c r="M27" s="7" t="n">
        <f aca="false">E27-IF(K27="2",2,IF(K27="0.45",0.45,0))-IF(L27="2",2,IF(L27="0.45",0.45,0))</f>
        <v>999</v>
      </c>
      <c r="N27" s="7" t="n">
        <f aca="false">F27-IF(I27="2",2,IF(I27="0.45",0.45,0))-IF(J27="2",2,IF(J27="0.45",0.45,0))</f>
        <v>514</v>
      </c>
      <c r="O27" s="5" t="s">
        <v>24</v>
      </c>
      <c r="P27" s="8" t="s">
        <v>84</v>
      </c>
    </row>
    <row r="28" customFormat="false" ht="30" hidden="false" customHeight="true" outlineLevel="0" collapsed="false">
      <c r="A28" s="5" t="s">
        <v>85</v>
      </c>
      <c r="B28" s="5" t="s">
        <v>44</v>
      </c>
      <c r="C28" s="5" t="s">
        <v>83</v>
      </c>
      <c r="D28" s="5" t="n">
        <v>1</v>
      </c>
      <c r="E28" s="5" t="n">
        <v>833</v>
      </c>
      <c r="F28" s="5" t="n">
        <v>518</v>
      </c>
      <c r="G28" s="5" t="n">
        <v>15</v>
      </c>
      <c r="H28" s="6" t="n">
        <f aca="false">D28*E28*F28/1000000</f>
        <v>0.431494</v>
      </c>
      <c r="I28" s="5" t="s">
        <v>22</v>
      </c>
      <c r="J28" s="5" t="s">
        <v>22</v>
      </c>
      <c r="K28" s="5" t="s">
        <v>22</v>
      </c>
      <c r="L28" s="5" t="s">
        <v>22</v>
      </c>
      <c r="M28" s="7" t="n">
        <f aca="false">E28-IF(K28="2",2,IF(K28="0.45",0.45,0))-IF(L28="2",2,IF(L28="0.45",0.45,0))</f>
        <v>829</v>
      </c>
      <c r="N28" s="7" t="n">
        <f aca="false">F28-IF(I28="2",2,IF(I28="0.45",0.45,0))-IF(J28="2",2,IF(J28="0.45",0.45,0))</f>
        <v>514</v>
      </c>
      <c r="O28" s="5" t="s">
        <v>24</v>
      </c>
      <c r="P28" s="8" t="s">
        <v>86</v>
      </c>
    </row>
    <row r="29" customFormat="false" ht="30" hidden="false" customHeight="true" outlineLevel="0" collapsed="false">
      <c r="A29" s="5" t="s">
        <v>87</v>
      </c>
      <c r="B29" s="5" t="s">
        <v>31</v>
      </c>
      <c r="C29" s="5" t="s">
        <v>88</v>
      </c>
      <c r="D29" s="5" t="n">
        <v>2</v>
      </c>
      <c r="E29" s="5" t="n">
        <v>990</v>
      </c>
      <c r="F29" s="5" t="n">
        <v>80</v>
      </c>
      <c r="G29" s="5" t="n">
        <v>15</v>
      </c>
      <c r="H29" s="6" t="n">
        <f aca="false">D29*E29*F29/1000000</f>
        <v>0.1584</v>
      </c>
      <c r="I29" s="5" t="s">
        <v>23</v>
      </c>
      <c r="J29" s="5" t="s">
        <v>23</v>
      </c>
      <c r="K29" s="5" t="s">
        <v>23</v>
      </c>
      <c r="L29" s="5" t="s">
        <v>23</v>
      </c>
      <c r="M29" s="7" t="n">
        <f aca="false">E29-IF(K29="2",2,IF(K29="0.45",0.45,0))-IF(L29="2",2,IF(L29="0.45",0.45,0))</f>
        <v>989.1</v>
      </c>
      <c r="N29" s="7" t="n">
        <f aca="false">F29-IF(I29="2",2,IF(I29="0.45",0.45,0))-IF(J29="2",2,IF(J29="0.45",0.45,0))</f>
        <v>79.1</v>
      </c>
      <c r="O29" s="5" t="s">
        <v>24</v>
      </c>
      <c r="P29" s="8" t="s">
        <v>89</v>
      </c>
    </row>
    <row r="30" customFormat="false" ht="30" hidden="false" customHeight="true" outlineLevel="0" collapsed="false">
      <c r="A30" s="5" t="s">
        <v>90</v>
      </c>
      <c r="B30" s="5" t="s">
        <v>31</v>
      </c>
      <c r="C30" s="5" t="s">
        <v>88</v>
      </c>
      <c r="D30" s="5" t="n">
        <v>1</v>
      </c>
      <c r="E30" s="5" t="n">
        <v>820</v>
      </c>
      <c r="F30" s="5" t="n">
        <v>80</v>
      </c>
      <c r="G30" s="5" t="n">
        <v>15</v>
      </c>
      <c r="H30" s="6" t="n">
        <f aca="false">D30*E30*F30/1000000</f>
        <v>0.0656</v>
      </c>
      <c r="I30" s="5" t="s">
        <v>23</v>
      </c>
      <c r="J30" s="5" t="s">
        <v>23</v>
      </c>
      <c r="K30" s="5" t="s">
        <v>23</v>
      </c>
      <c r="L30" s="5" t="s">
        <v>23</v>
      </c>
      <c r="M30" s="7" t="n">
        <f aca="false">E30-IF(K30="2",2,IF(K30="0.45",0.45,0))-IF(L30="2",2,IF(L30="0.45",0.45,0))</f>
        <v>819.1</v>
      </c>
      <c r="N30" s="7" t="n">
        <f aca="false">F30-IF(I30="2",2,IF(I30="0.45",0.45,0))-IF(J30="2",2,IF(J30="0.45",0.45,0))</f>
        <v>79.1</v>
      </c>
      <c r="O30" s="5" t="s">
        <v>24</v>
      </c>
      <c r="P30" s="8" t="s">
        <v>91</v>
      </c>
    </row>
    <row r="31" customFormat="false" ht="30" hidden="false" customHeight="true" outlineLevel="0" collapsed="false">
      <c r="A31" s="5" t="s">
        <v>92</v>
      </c>
      <c r="B31" s="5" t="s">
        <v>27</v>
      </c>
      <c r="C31" s="5" t="s">
        <v>93</v>
      </c>
      <c r="D31" s="5" t="n">
        <v>8</v>
      </c>
      <c r="E31" s="5" t="n">
        <v>990</v>
      </c>
      <c r="F31" s="5" t="n">
        <v>60</v>
      </c>
      <c r="G31" s="5" t="n">
        <v>15</v>
      </c>
      <c r="H31" s="6" t="n">
        <f aca="false">D31*E31*F31/1000000</f>
        <v>0.4752</v>
      </c>
      <c r="I31" s="5" t="s">
        <v>23</v>
      </c>
      <c r="J31" s="5" t="s">
        <v>23</v>
      </c>
      <c r="K31" s="5" t="s">
        <v>23</v>
      </c>
      <c r="L31" s="5" t="s">
        <v>23</v>
      </c>
      <c r="M31" s="7" t="n">
        <f aca="false">E31-IF(K31="2",2,IF(K31="0.45",0.45,0))-IF(L31="2",2,IF(L31="0.45",0.45,0))</f>
        <v>989.1</v>
      </c>
      <c r="N31" s="7" t="n">
        <f aca="false">F31-IF(I31="2",2,IF(I31="0.45",0.45,0))-IF(J31="2",2,IF(J31="0.45",0.45,0))</f>
        <v>59.1</v>
      </c>
      <c r="O31" s="5" t="s">
        <v>24</v>
      </c>
      <c r="P31" s="8" t="s">
        <v>94</v>
      </c>
    </row>
    <row r="33" customFormat="false" ht="24" hidden="false" customHeight="true" outlineLevel="0" collapsed="false">
      <c r="C33" s="9" t="s">
        <v>95</v>
      </c>
      <c r="D33" s="9" t="n">
        <f aca="false">SUM(D7:D31)</f>
        <v>75</v>
      </c>
      <c r="G33" s="9" t="s">
        <v>96</v>
      </c>
      <c r="H33" s="10" t="n">
        <f aca="false">SUM(H7:H31)</f>
        <v>20.380586</v>
      </c>
    </row>
    <row r="34" customFormat="false" ht="24" hidden="false" customHeight="true" outlineLevel="0" collapsed="false">
      <c r="C34" s="5" t="s">
        <v>97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0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9" min="8" style="1" width="10"/>
  </cols>
  <sheetData>
    <row r="2" customFormat="false" ht="19.5" hidden="false" customHeight="true" outlineLevel="0" collapsed="false">
      <c r="A2" s="2" t="s">
        <v>98</v>
      </c>
      <c r="H2" s="3" t="s">
        <v>99</v>
      </c>
      <c r="I2" s="3" t="n">
        <v>0.05</v>
      </c>
    </row>
    <row r="3" customFormat="false" ht="15" hidden="false" customHeight="true" outlineLevel="0" collapsed="false">
      <c r="A3" s="3" t="s">
        <v>100</v>
      </c>
    </row>
    <row r="4" customFormat="false" ht="15" hidden="false" customHeight="true" outlineLevel="0" collapsed="false">
      <c r="A4" s="3" t="s">
        <v>101</v>
      </c>
    </row>
    <row r="6" customFormat="false" ht="36" hidden="false" customHeight="true" outlineLevel="0" collapsed="false">
      <c r="A6" s="4" t="s">
        <v>102</v>
      </c>
      <c r="B6" s="4" t="s">
        <v>103</v>
      </c>
      <c r="C6" s="4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</row>
    <row r="7" customFormat="false" ht="39.75" hidden="false" customHeight="true" outlineLevel="0" collapsed="false">
      <c r="A7" s="5" t="s">
        <v>110</v>
      </c>
      <c r="B7" s="8" t="s">
        <v>111</v>
      </c>
      <c r="C7" s="11" t="n">
        <f aca="false">SUMPRODUCT(Despiece!$D$7:$D$31,Despiece!$E$7:$E$31,(Despiece!$I$7:$I$31="2")+(Despiece!$J$7:$J$31="2"))/1000+SUMPRODUCT(Despiece!$D$7:$D$31,Despiece!$F$7:$F$31,(Despiece!$K$7:$K$31="2")+(Despiece!$L$7:$L$31="2"))/1000</f>
        <v>60.124</v>
      </c>
      <c r="D7" s="5" t="n">
        <f aca="false">SUMPRODUCT(Despiece!$D$7:$D$31,(Despiece!$I$7:$I$31="2")+(Despiece!$J$7:$J$31="2")+(Despiece!$K$7:$K$31="2")+(Despiece!$L$7:$L$31="2"))</f>
        <v>65</v>
      </c>
      <c r="E7" s="12" t="n">
        <f aca="false">D7*$I$2</f>
        <v>3.25</v>
      </c>
      <c r="F7" s="5" t="n">
        <f aca="false">ROUNDUP((C7+E7)/5,0)*5</f>
        <v>65</v>
      </c>
      <c r="G7" s="5" t="n">
        <v>100</v>
      </c>
      <c r="H7" s="5" t="n">
        <f aca="false">ROUNDUP(F7/G7,0)</f>
        <v>1</v>
      </c>
    </row>
    <row r="8" customFormat="false" ht="39.75" hidden="false" customHeight="true" outlineLevel="0" collapsed="false">
      <c r="A8" s="5" t="s">
        <v>112</v>
      </c>
      <c r="B8" s="8" t="s">
        <v>113</v>
      </c>
      <c r="C8" s="11" t="n">
        <f aca="false">SUMPRODUCT(Despiece!$D$7:$D$31,Despiece!$E$7:$E$31,(Despiece!$I$7:$I$31="0.45")+(Despiece!$J$7:$J$31="0.45"))/1000+SUMPRODUCT(Despiece!$D$7:$D$31,Despiece!$F$7:$F$31,(Despiece!$K$7:$K$31="0.45")+(Despiece!$L$7:$L$31="0.45"))/1000</f>
        <v>123.956</v>
      </c>
      <c r="D8" s="5" t="n">
        <f aca="false">SUMPRODUCT(Despiece!$D$7:$D$31,(Despiece!$I$7:$I$31="0.45")+(Despiece!$J$7:$J$31="0.45")+(Despiece!$K$7:$K$31="0.45")+(Despiece!$L$7:$L$31="0.45"))</f>
        <v>235</v>
      </c>
      <c r="E8" s="12" t="n">
        <f aca="false">D8*$I$2</f>
        <v>11.75</v>
      </c>
      <c r="F8" s="5" t="n">
        <f aca="false">ROUNDUP((C8+E8)/5,0)*5</f>
        <v>140</v>
      </c>
      <c r="G8" s="5" t="n">
        <v>200</v>
      </c>
      <c r="H8" s="5" t="n">
        <f aca="false">ROUNDUP(F8/G8,0)</f>
        <v>1</v>
      </c>
    </row>
    <row r="10" customFormat="false" ht="39.75" hidden="false" customHeight="true" outlineLevel="0" collapsed="false">
      <c r="A10" s="5" t="s">
        <v>114</v>
      </c>
      <c r="B10" s="8" t="s">
        <v>115</v>
      </c>
    </row>
    <row r="11" customFormat="false" ht="39.75" hidden="false" customHeight="true" outlineLevel="0" collapsed="false">
      <c r="A11" s="5" t="s">
        <v>114</v>
      </c>
      <c r="B11" s="8" t="s">
        <v>116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6" min="5" style="1" width="16"/>
    <col collapsed="false" customWidth="true" hidden="false" outlineLevel="0" max="7" min="7" style="1" width="24"/>
    <col collapsed="false" customWidth="true" hidden="false" outlineLevel="0" max="8" min="8" style="1" width="92"/>
    <col collapsed="false" customWidth="true" hidden="false" outlineLevel="0" max="9" min="9" style="1" width="3"/>
    <col collapsed="false" customWidth="true" hidden="false" outlineLevel="0" max="10" min="10" style="1" width="70"/>
  </cols>
  <sheetData>
    <row r="2" customFormat="false" ht="19.5" hidden="false" customHeight="true" outlineLevel="0" collapsed="false">
      <c r="A2" s="2" t="s">
        <v>117</v>
      </c>
    </row>
    <row r="3" customFormat="false" ht="15" hidden="false" customHeight="true" outlineLevel="0" collapsed="false">
      <c r="A3" s="3" t="s">
        <v>118</v>
      </c>
    </row>
    <row r="4" customFormat="false" ht="15" hidden="false" customHeight="true" outlineLevel="0" collapsed="false">
      <c r="A4" s="3" t="s">
        <v>119</v>
      </c>
    </row>
    <row r="6" customFormat="false" ht="36" hidden="false" customHeight="true" outlineLevel="0" collapsed="false">
      <c r="A6" s="4" t="s">
        <v>120</v>
      </c>
      <c r="B6" s="4" t="s">
        <v>121</v>
      </c>
      <c r="C6" s="4" t="s">
        <v>122</v>
      </c>
      <c r="D6" s="4" t="s">
        <v>123</v>
      </c>
      <c r="E6" s="4" t="s">
        <v>124</v>
      </c>
      <c r="F6" s="4" t="s">
        <v>125</v>
      </c>
      <c r="G6" s="4" t="s">
        <v>126</v>
      </c>
      <c r="H6" s="4" t="s">
        <v>127</v>
      </c>
      <c r="I6" s="4"/>
      <c r="J6" s="4" t="s">
        <v>128</v>
      </c>
    </row>
    <row r="7" customFormat="false" ht="45" hidden="false" customHeight="true" outlineLevel="0" collapsed="false">
      <c r="A7" s="8" t="s">
        <v>129</v>
      </c>
      <c r="B7" s="8" t="s">
        <v>130</v>
      </c>
      <c r="C7" s="5" t="n">
        <v>3</v>
      </c>
      <c r="D7" s="5" t="s">
        <v>131</v>
      </c>
      <c r="E7" s="13" t="n">
        <v>9999</v>
      </c>
      <c r="F7" s="13" t="n">
        <f aca="false">IF(COUNT(C7,E7)=2,C7*E7,"Por cotizar")</f>
        <v>29997</v>
      </c>
      <c r="G7" s="8" t="s">
        <v>132</v>
      </c>
      <c r="H7" s="8" t="s">
        <v>133</v>
      </c>
      <c r="J7" s="8" t="s">
        <v>134</v>
      </c>
    </row>
    <row r="8" customFormat="false" ht="75" hidden="false" customHeight="true" outlineLevel="0" collapsed="false">
      <c r="A8" s="8" t="s">
        <v>135</v>
      </c>
      <c r="B8" s="8" t="s">
        <v>136</v>
      </c>
      <c r="C8" s="5" t="n">
        <v>16</v>
      </c>
      <c r="D8" s="5" t="s">
        <v>131</v>
      </c>
      <c r="E8" s="13" t="n">
        <v>17750</v>
      </c>
      <c r="F8" s="13" t="n">
        <f aca="false">IF(COUNT(C8,E8)=2,C8*E8,"Por cotizar")</f>
        <v>284000</v>
      </c>
      <c r="G8" s="8" t="s">
        <v>137</v>
      </c>
      <c r="H8" s="8" t="s">
        <v>138</v>
      </c>
      <c r="J8" s="8" t="s">
        <v>139</v>
      </c>
    </row>
    <row r="9" customFormat="false" ht="75" hidden="false" customHeight="true" outlineLevel="0" collapsed="false">
      <c r="A9" s="8" t="s">
        <v>140</v>
      </c>
      <c r="B9" s="8" t="s">
        <v>141</v>
      </c>
      <c r="C9" s="5" t="n">
        <v>6</v>
      </c>
      <c r="D9" s="5" t="s">
        <v>131</v>
      </c>
      <c r="E9" s="13" t="n">
        <v>7566</v>
      </c>
      <c r="F9" s="13" t="n">
        <f aca="false">IF(COUNT(C9,E9)=2,C9*E9,"Por cotizar")</f>
        <v>45396</v>
      </c>
      <c r="G9" s="8" t="s">
        <v>137</v>
      </c>
      <c r="H9" s="8" t="s">
        <v>142</v>
      </c>
      <c r="J9" s="8" t="s">
        <v>143</v>
      </c>
    </row>
    <row r="10" customFormat="false" ht="75" hidden="false" customHeight="true" outlineLevel="0" collapsed="false">
      <c r="A10" s="8" t="s">
        <v>144</v>
      </c>
      <c r="B10" s="8" t="s">
        <v>145</v>
      </c>
      <c r="C10" s="5" t="n">
        <v>6</v>
      </c>
      <c r="D10" s="5" t="s">
        <v>146</v>
      </c>
      <c r="F10" s="13" t="str">
        <f aca="false">IF(COUNT(C10,E10)=2,C10*E10,"Por cotizar")</f>
        <v>Por cotizar</v>
      </c>
      <c r="G10" s="8" t="s">
        <v>147</v>
      </c>
      <c r="H10" s="8" t="s">
        <v>148</v>
      </c>
      <c r="J10" s="8" t="s">
        <v>149</v>
      </c>
    </row>
    <row r="11" customFormat="false" ht="45" hidden="false" customHeight="true" outlineLevel="0" collapsed="false">
      <c r="A11" s="8" t="s">
        <v>150</v>
      </c>
      <c r="B11" s="8" t="s">
        <v>151</v>
      </c>
      <c r="C11" s="5" t="n">
        <v>9</v>
      </c>
      <c r="D11" s="5" t="s">
        <v>146</v>
      </c>
      <c r="F11" s="13" t="str">
        <f aca="false">IF(COUNT(C11,E11)=2,C11*E11,"Por cotizar")</f>
        <v>Por cotizar</v>
      </c>
      <c r="G11" s="8" t="s">
        <v>150</v>
      </c>
      <c r="H11" s="8" t="s">
        <v>152</v>
      </c>
      <c r="J11" s="8" t="s">
        <v>153</v>
      </c>
    </row>
    <row r="12" customFormat="false" ht="30" hidden="false" customHeight="true" outlineLevel="0" collapsed="false">
      <c r="A12" s="8" t="s">
        <v>150</v>
      </c>
      <c r="B12" s="8" t="s">
        <v>154</v>
      </c>
      <c r="C12" s="5" t="n">
        <v>2</v>
      </c>
      <c r="D12" s="5" t="s">
        <v>155</v>
      </c>
      <c r="F12" s="13" t="str">
        <f aca="false">IF(COUNT(C12,E12)=2,C12*E12,"Por cotizar")</f>
        <v>Por cotizar</v>
      </c>
      <c r="G12" s="8" t="s">
        <v>156</v>
      </c>
      <c r="H12" s="8" t="s">
        <v>157</v>
      </c>
      <c r="J12" s="8" t="s">
        <v>158</v>
      </c>
    </row>
    <row r="13" customFormat="false" ht="30" hidden="false" customHeight="true" outlineLevel="0" collapsed="false">
      <c r="A13" s="8" t="s">
        <v>150</v>
      </c>
      <c r="B13" s="8" t="s">
        <v>159</v>
      </c>
      <c r="C13" s="5" t="n">
        <v>1</v>
      </c>
      <c r="D13" s="5" t="s">
        <v>155</v>
      </c>
      <c r="F13" s="13" t="str">
        <f aca="false">IF(COUNT(C13,E13)=2,C13*E13,"Por cotizar")</f>
        <v>Por cotizar</v>
      </c>
      <c r="G13" s="8" t="s">
        <v>156</v>
      </c>
      <c r="H13" s="8" t="s">
        <v>160</v>
      </c>
      <c r="J13" s="8" t="s">
        <v>158</v>
      </c>
    </row>
    <row r="14" customFormat="false" ht="30" hidden="false" customHeight="true" outlineLevel="0" collapsed="false">
      <c r="A14" s="8" t="s">
        <v>150</v>
      </c>
      <c r="B14" s="8" t="s">
        <v>161</v>
      </c>
      <c r="C14" s="5" t="n">
        <v>6</v>
      </c>
      <c r="D14" s="5" t="s">
        <v>146</v>
      </c>
      <c r="F14" s="13" t="str">
        <f aca="false">IF(COUNT(C14,E14)=2,C14*E14,"Por cotizar")</f>
        <v>Por cotizar</v>
      </c>
      <c r="G14" s="8" t="s">
        <v>156</v>
      </c>
      <c r="H14" s="8" t="s">
        <v>162</v>
      </c>
      <c r="J14" s="8" t="s">
        <v>163</v>
      </c>
    </row>
    <row r="15" customFormat="false" ht="30" hidden="false" customHeight="true" outlineLevel="0" collapsed="false">
      <c r="A15" s="8" t="s">
        <v>164</v>
      </c>
      <c r="B15" s="8" t="s">
        <v>165</v>
      </c>
      <c r="C15" s="5" t="n">
        <v>8</v>
      </c>
      <c r="D15" s="5" t="s">
        <v>146</v>
      </c>
      <c r="F15" s="13" t="str">
        <f aca="false">IF(COUNT(C15,E15)=2,C15*E15,"Por cotizar")</f>
        <v>Por cotizar</v>
      </c>
      <c r="G15" s="8" t="s">
        <v>164</v>
      </c>
      <c r="H15" s="8" t="s">
        <v>166</v>
      </c>
      <c r="J15" s="8" t="s">
        <v>167</v>
      </c>
    </row>
    <row r="16" customFormat="false" ht="75" hidden="false" customHeight="true" outlineLevel="0" collapsed="false">
      <c r="A16" s="8" t="s">
        <v>164</v>
      </c>
      <c r="B16" s="8" t="s">
        <v>168</v>
      </c>
      <c r="D16" s="5" t="s">
        <v>169</v>
      </c>
      <c r="F16" s="13" t="str">
        <f aca="false">IF(COUNT(C16,E16)=2,C16*E16,"Por cotizar")</f>
        <v>Por cotizar</v>
      </c>
      <c r="G16" s="8" t="s">
        <v>170</v>
      </c>
      <c r="H16" s="8" t="s">
        <v>171</v>
      </c>
      <c r="J16" s="8" t="s">
        <v>172</v>
      </c>
    </row>
    <row r="17" customFormat="false" ht="45" hidden="false" customHeight="true" outlineLevel="0" collapsed="false">
      <c r="A17" s="8" t="s">
        <v>173</v>
      </c>
      <c r="B17" s="8" t="s">
        <v>174</v>
      </c>
      <c r="C17" s="5" t="n">
        <v>5</v>
      </c>
      <c r="D17" s="5" t="s">
        <v>175</v>
      </c>
      <c r="E17" s="13" t="n">
        <v>365872</v>
      </c>
      <c r="F17" s="13" t="n">
        <f aca="false">IF(COUNT(C17,E17)=2,C17*E17,"Por cotizar")</f>
        <v>1829360</v>
      </c>
      <c r="G17" s="8" t="s">
        <v>176</v>
      </c>
      <c r="H17" s="8" t="s">
        <v>177</v>
      </c>
      <c r="J17" s="8" t="s">
        <v>178</v>
      </c>
    </row>
    <row r="18" customFormat="false" ht="30" hidden="false" customHeight="true" outlineLevel="0" collapsed="false">
      <c r="A18" s="8" t="s">
        <v>179</v>
      </c>
      <c r="B18" s="8" t="s">
        <v>180</v>
      </c>
      <c r="C18" s="5" t="n">
        <f aca="false">ROUNDUP(Cantos!F7/Cantos!G7,0)</f>
        <v>1</v>
      </c>
      <c r="D18" s="5" t="s">
        <v>181</v>
      </c>
      <c r="E18" s="13" t="n">
        <v>531600</v>
      </c>
      <c r="F18" s="13" t="n">
        <f aca="false">IF(COUNT(C18,E18)=2,C18*E18,"Por cotizar")</f>
        <v>531600</v>
      </c>
      <c r="G18" s="8" t="s">
        <v>176</v>
      </c>
      <c r="H18" s="8" t="s">
        <v>182</v>
      </c>
      <c r="J18" s="8" t="s">
        <v>183</v>
      </c>
    </row>
    <row r="19" customFormat="false" ht="30" hidden="false" customHeight="true" outlineLevel="0" collapsed="false">
      <c r="A19" s="8" t="s">
        <v>184</v>
      </c>
      <c r="B19" s="8" t="s">
        <v>185</v>
      </c>
      <c r="C19" s="5" t="n">
        <f aca="false">ROUNDUP(Cantos!F8/Cantos!G8,0)</f>
        <v>1</v>
      </c>
      <c r="D19" s="5" t="s">
        <v>181</v>
      </c>
      <c r="E19" s="13" t="n">
        <v>285600</v>
      </c>
      <c r="F19" s="13" t="n">
        <f aca="false">IF(COUNT(C19,E19)=2,C19*E19,"Por cotizar")</f>
        <v>285600</v>
      </c>
      <c r="G19" s="8" t="s">
        <v>176</v>
      </c>
      <c r="H19" s="8" t="s">
        <v>182</v>
      </c>
      <c r="J19" s="8" t="s">
        <v>183</v>
      </c>
    </row>
    <row r="20" customFormat="false" ht="30" hidden="false" customHeight="true" outlineLevel="0" collapsed="false">
      <c r="A20" s="8" t="s">
        <v>164</v>
      </c>
      <c r="B20" s="8" t="s">
        <v>186</v>
      </c>
      <c r="D20" s="5" t="s">
        <v>169</v>
      </c>
      <c r="F20" s="13" t="str">
        <f aca="false">IF(COUNT(C20,E20)=2,C20*E20,"Por cotizar")</f>
        <v>Por cotizar</v>
      </c>
      <c r="G20" s="8" t="s">
        <v>164</v>
      </c>
      <c r="H20" s="8" t="s">
        <v>187</v>
      </c>
      <c r="J20" s="8" t="s">
        <v>188</v>
      </c>
    </row>
    <row r="21" customFormat="false" ht="30" hidden="false" customHeight="true" outlineLevel="0" collapsed="false">
      <c r="A21" s="8" t="s">
        <v>189</v>
      </c>
      <c r="B21" s="8" t="s">
        <v>190</v>
      </c>
      <c r="D21" s="5" t="s">
        <v>191</v>
      </c>
      <c r="F21" s="13" t="str">
        <f aca="false">IF(COUNT(C21,E21)=2,C21*E21,"Por cotizar")</f>
        <v>Por cotizar</v>
      </c>
      <c r="G21" s="8" t="s">
        <v>189</v>
      </c>
      <c r="H21" s="8" t="s">
        <v>192</v>
      </c>
      <c r="J21" s="8" t="s">
        <v>193</v>
      </c>
    </row>
    <row r="23" customFormat="false" ht="24" hidden="false" customHeight="true" outlineLevel="0" collapsed="false">
      <c r="A23" s="9" t="s">
        <v>194</v>
      </c>
      <c r="F23" s="13" t="n">
        <f aca="false">SUM(F7:F21)</f>
        <v>3005953</v>
      </c>
      <c r="H23" s="8" t="s">
        <v>195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8"/>
    <col collapsed="false" customWidth="true" hidden="false" outlineLevel="0" max="3" min="3" style="1" width="110"/>
    <col collapsed="false" customWidth="true" hidden="false" outlineLevel="0" max="4" min="4" style="1" width="46"/>
  </cols>
  <sheetData>
    <row r="2" customFormat="false" ht="19.5" hidden="false" customHeight="true" outlineLevel="0" collapsed="false">
      <c r="A2" s="2" t="s">
        <v>196</v>
      </c>
    </row>
    <row r="3" customFormat="false" ht="15" hidden="false" customHeight="true" outlineLevel="0" collapsed="false">
      <c r="A3" s="3" t="s">
        <v>197</v>
      </c>
    </row>
    <row r="4" customFormat="false" ht="15" hidden="false" customHeight="true" outlineLevel="0" collapsed="false">
      <c r="A4" s="3" t="s">
        <v>198</v>
      </c>
    </row>
    <row r="6" customFormat="false" ht="36" hidden="false" customHeight="true" outlineLevel="0" collapsed="false">
      <c r="A6" s="4" t="s">
        <v>126</v>
      </c>
      <c r="B6" s="4" t="s">
        <v>199</v>
      </c>
      <c r="C6" s="4" t="s">
        <v>200</v>
      </c>
      <c r="D6" s="4" t="s">
        <v>201</v>
      </c>
    </row>
    <row r="7" customFormat="false" ht="39.75" hidden="false" customHeight="true" outlineLevel="0" collapsed="false">
      <c r="A7" s="5" t="s">
        <v>132</v>
      </c>
      <c r="B7" s="8" t="s">
        <v>202</v>
      </c>
      <c r="C7" s="8" t="s">
        <v>203</v>
      </c>
      <c r="D7" s="8" t="s">
        <v>204</v>
      </c>
    </row>
    <row r="8" customFormat="false" ht="45" hidden="false" customHeight="true" outlineLevel="0" collapsed="false">
      <c r="A8" s="5" t="s">
        <v>205</v>
      </c>
      <c r="B8" s="8" t="s">
        <v>206</v>
      </c>
      <c r="C8" s="8" t="s">
        <v>207</v>
      </c>
      <c r="D8" s="8" t="s">
        <v>208</v>
      </c>
    </row>
    <row r="9" customFormat="false" ht="39.75" hidden="false" customHeight="true" outlineLevel="0" collapsed="false">
      <c r="A9" s="5" t="s">
        <v>209</v>
      </c>
      <c r="B9" s="8" t="s">
        <v>210</v>
      </c>
      <c r="C9" s="8" t="s">
        <v>211</v>
      </c>
      <c r="D9" s="8" t="s">
        <v>212</v>
      </c>
    </row>
    <row r="10" customFormat="false" ht="90" hidden="false" customHeight="true" outlineLevel="0" collapsed="false">
      <c r="A10" s="5" t="s">
        <v>213</v>
      </c>
      <c r="B10" s="8" t="s">
        <v>214</v>
      </c>
      <c r="C10" s="8" t="s">
        <v>215</v>
      </c>
      <c r="D10" s="8" t="s">
        <v>216</v>
      </c>
    </row>
    <row r="11" customFormat="false" ht="45" hidden="false" customHeight="true" outlineLevel="0" collapsed="false">
      <c r="A11" s="5" t="s">
        <v>217</v>
      </c>
      <c r="B11" s="8" t="s">
        <v>218</v>
      </c>
      <c r="C11" s="8" t="s">
        <v>219</v>
      </c>
      <c r="D11" s="8" t="s">
        <v>220</v>
      </c>
    </row>
    <row r="12" customFormat="false" ht="45" hidden="false" customHeight="true" outlineLevel="0" collapsed="false">
      <c r="A12" s="5" t="s">
        <v>205</v>
      </c>
      <c r="B12" s="8" t="s">
        <v>221</v>
      </c>
      <c r="C12" s="8" t="s">
        <v>222</v>
      </c>
      <c r="D12" s="8" t="s">
        <v>223</v>
      </c>
    </row>
    <row r="13" customFormat="false" ht="60" hidden="false" customHeight="true" outlineLevel="0" collapsed="false">
      <c r="A13" s="5" t="s">
        <v>205</v>
      </c>
      <c r="B13" s="8" t="s">
        <v>224</v>
      </c>
      <c r="C13" s="8" t="s">
        <v>225</v>
      </c>
      <c r="D13" s="8" t="s">
        <v>226</v>
      </c>
    </row>
    <row r="14" customFormat="false" ht="39.75" hidden="false" customHeight="true" outlineLevel="0" collapsed="false">
      <c r="A14" s="5" t="s">
        <v>227</v>
      </c>
      <c r="B14" s="8" t="s">
        <v>228</v>
      </c>
      <c r="C14" s="8" t="s">
        <v>229</v>
      </c>
      <c r="D14" s="8" t="s">
        <v>230</v>
      </c>
    </row>
    <row r="15" customFormat="false" ht="39.75" hidden="false" customHeight="true" outlineLevel="0" collapsed="false">
      <c r="A15" s="5" t="s">
        <v>231</v>
      </c>
      <c r="B15" s="8" t="s">
        <v>232</v>
      </c>
      <c r="C15" s="8" t="s">
        <v>233</v>
      </c>
      <c r="D15" s="8" t="s">
        <v>234</v>
      </c>
    </row>
    <row r="16" customFormat="false" ht="39.75" hidden="false" customHeight="true" outlineLevel="0" collapsed="false">
      <c r="A16" s="5" t="s">
        <v>227</v>
      </c>
      <c r="B16" s="8" t="s">
        <v>235</v>
      </c>
      <c r="C16" s="8" t="s">
        <v>236</v>
      </c>
      <c r="D16" s="8" t="s">
        <v>237</v>
      </c>
    </row>
    <row r="17" customFormat="false" ht="39.75" hidden="false" customHeight="true" outlineLevel="0" collapsed="false">
      <c r="A17" s="5" t="s">
        <v>205</v>
      </c>
      <c r="B17" s="8" t="s">
        <v>238</v>
      </c>
      <c r="C17" s="8" t="s">
        <v>239</v>
      </c>
      <c r="D17" s="8" t="s">
        <v>240</v>
      </c>
    </row>
    <row r="18" customFormat="false" ht="39.75" hidden="false" customHeight="true" outlineLevel="0" collapsed="false">
      <c r="A18" s="5" t="s">
        <v>241</v>
      </c>
      <c r="B18" s="8" t="s">
        <v>242</v>
      </c>
      <c r="C18" s="8" t="s">
        <v>243</v>
      </c>
      <c r="D18" s="8" t="s">
        <v>244</v>
      </c>
    </row>
    <row r="19" customFormat="false" ht="39.75" hidden="false" customHeight="true" outlineLevel="0" collapsed="false">
      <c r="A19" s="5" t="s">
        <v>245</v>
      </c>
      <c r="B19" s="8" t="s">
        <v>246</v>
      </c>
      <c r="C19" s="8" t="s">
        <v>247</v>
      </c>
      <c r="D19" s="8" t="s">
        <v>248</v>
      </c>
    </row>
    <row r="20" customFormat="false" ht="39.75" hidden="false" customHeight="true" outlineLevel="0" collapsed="false">
      <c r="A20" s="5" t="s">
        <v>245</v>
      </c>
      <c r="B20" s="8" t="s">
        <v>249</v>
      </c>
      <c r="C20" s="8" t="s">
        <v>250</v>
      </c>
      <c r="D20" s="8" t="s">
        <v>251</v>
      </c>
    </row>
    <row r="21" customFormat="false" ht="39.75" hidden="false" customHeight="true" outlineLevel="0" collapsed="false">
      <c r="A21" s="5" t="s">
        <v>245</v>
      </c>
      <c r="B21" s="8" t="s">
        <v>252</v>
      </c>
      <c r="C21" s="8" t="s">
        <v>253</v>
      </c>
      <c r="D21" s="8" t="s">
        <v>254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2026-10-27T07:08:40Z</dcterms:created>
  <dc:creator>openpyxl</dc:creator>
  <dc:description/>
  <dc:language>en-US</dc:language>
  <cp:lastModifiedBy/>
  <dcterms:modified xsi:type="dcterms:W3CDTF">2026-10-27T07:08:40Z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