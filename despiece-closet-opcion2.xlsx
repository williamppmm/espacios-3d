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50f888a5f94f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piece" sheetId="1" r:id="R7b6c089b1582492f"/>
    <x:sheet xmlns:r="http://schemas.openxmlformats.org/officeDocument/2006/relationships" name="Cantos" sheetId="2" r:id="R4f4a1d0b29de4e29"/>
    <x:sheet xmlns:r="http://schemas.openxmlformats.org/officeDocument/2006/relationships" name="Compras" sheetId="3" r:id="R98abe992aee54be9"/>
    <x:sheet xmlns:r="http://schemas.openxmlformats.org/officeDocument/2006/relationships" name="Revisión" sheetId="4" r:id="Ra85ced7966f44035"/>
  </x:sheets>
</x:workbook>
</file>

<file path=xl/sharedStrings.xml><?xml version="1.0" encoding="utf-8"?>
<x:sst xmlns:x="http://schemas.openxmlformats.org/spreadsheetml/2006/main">
  <x:si>
    <x:t xml:space="preserve">Hueco medido 2900 × 2400. Estructura 2860 × 2380; base incluida. Fondo cerrado 495 mm. I/J = cantos paralelos a E; K/L = paralelos a F. 2 = rígido 2 mm; 0.45 = flexible; — = sin canto.</x:t>
  </x:si>
  <x:si>
    <x:t xml:space="preserve">ID</x:t>
  </x:si>
  <x:si>
    <x:t xml:space="preserve">Grupo</x:t>
  </x:si>
  <x:si>
    <x:t xml:space="preserve">Pieza</x:t>
  </x:si>
  <x:si>
    <x:t xml:space="preserve">Cant.</x:t>
  </x:si>
  <x:si>
    <x:t xml:space="preserve">Largo veta terminado (mm)</x:t>
  </x:si>
  <x:si>
    <x:t xml:space="preserve">Ancho terminado (mm)</x:t>
  </x:si>
  <x:si>
    <x:t xml:space="preserve">Espesor mm</x:t>
  </x:si>
  <x:si>
    <x:t xml:space="preserve">Área m²</x:t>
  </x:si>
  <x:si>
    <x:t xml:space="preserve">Canto L1</x:t>
  </x:si>
  <x:si>
    <x:t xml:space="preserve">Canto L2</x:t>
  </x:si>
  <x:si>
    <x:t xml:space="preserve">Canto A1</x:t>
  </x:si>
  <x:si>
    <x:t xml:space="preserve">Canto A2</x:t>
  </x:si>
  <x:si>
    <x:t xml:space="preserve">Largo corte teórico (mm)</x:t>
  </x:si>
  <x:si>
    <x:t xml:space="preserve">Ancho corte teórico (mm)</x:t>
  </x:si>
  <x:si>
    <x:t xml:space="preserve">Corte</x:t>
  </x:si>
  <x:si>
    <x:t xml:space="preserve">Fabricación</x:t>
  </x:si>
  <x:si>
    <x:t xml:space="preserve">C2-001</x:t>
  </x:si>
  <x:si>
    <x:t xml:space="preserve">EST</x:t>
  </x:si>
  <x:si>
    <x:t xml:space="preserve">Lateral / divisor</x:t>
  </x:si>
  <x:si>
    <x:t xml:space="preserve">2</x:t>
  </x:si>
  <x:si>
    <x:t xml:space="preserve">0.45</x:t>
  </x:si>
  <x:si>
    <x:t xml:space="preserve">Por preparar</x:t>
  </x:si>
  <x:si>
    <x:t xml:space="preserve">2280 mm desde base a cota 2380. Canto rígido en el frente. Los dos laterales exteriores se fijan a las paredes (hoja Revisión).</x:t>
  </x:si>
  <x:si>
    <x:t xml:space="preserve">C2-002</x:t>
  </x:si>
  <x:si>
    <x:t xml:space="preserve">B1/B3</x:t>
  </x:si>
  <x:si>
    <x:t xml:space="preserve">Piso sobre base</x:t>
  </x:si>
  <x:si>
    <x:t xml:space="preserve">Apoya en el marco de base (zócalo frontal y travesaño trasero).</x:t>
  </x:si>
  <x:si>
    <x:t xml:space="preserve">C2-003</x:t>
  </x:si>
  <x:si>
    <x:t xml:space="preserve">MAL</x:t>
  </x:si>
  <x:si>
    <x:t xml:space="preserve">Tapa superior</x:t>
  </x:si>
  <x:si>
    <x:t xml:space="preserve">C2-004</x:t>
  </x:si>
  <x:si>
    <x:t xml:space="preserve">Piso de maletero</x:t>
  </x:si>
  <x:si>
    <x:t xml:space="preserve">Lleva listón frontal (80 mm) debajo del borde delantero y travesaño trasero (100 mm). Solo carga liviana.</x:t>
  </x:si>
  <x:si>
    <x:t xml:space="preserve">C2-005</x:t>
  </x:si>
  <x:si>
    <x:t xml:space="preserve">Travesaño trasero</x:t>
  </x:si>
  <x:si>
    <x:t xml:space="preserve">De canto, 100 mm de alto: arriba, abajo y bajo el piso del maletero. Uniones a laterales por dimensionar.</x:t>
  </x:si>
  <x:si>
    <x:t xml:space="preserve">C2-006</x:t>
  </x:si>
  <x:si>
    <x:t xml:space="preserve">Repisa inferior</x:t>
  </x:si>
  <x:si>
    <x:t xml:space="preserve">Llevan dos listones de refuerzo de 60 mm (delantero y trasero) debajo.</x:t>
  </x:si>
  <x:si>
    <x:t xml:space="preserve">C2-007</x:t>
  </x:si>
  <x:si>
    <x:t xml:space="preserve">B2</x:t>
  </x:si>
  <x:si>
    <x:t xml:space="preserve">Apoya en el marco de base.</x:t>
  </x:si>
  <x:si>
    <x:t xml:space="preserve">C2-008</x:t>
  </x:si>
  <x:si>
    <x:t xml:space="preserve">C2-009</x:t>
  </x:si>
  <x:si>
    <x:t xml:space="preserve">Lleva listón frontal (80 mm) y travesaño trasero (100 mm).</x:t>
  </x:si>
  <x:si>
    <x:t xml:space="preserve">C2-010</x:t>
  </x:si>
  <x:si>
    <x:t xml:space="preserve">De canto, 100 mm de alto: arriba, abajo y bajo el piso del maletero.</x:t>
  </x:si>
  <x:si>
    <x:t xml:space="preserve">C2-011</x:t>
  </x:si>
  <x:si>
    <x:t xml:space="preserve">Frente de cajón</x:t>
  </x:si>
  <x:si>
    <x:t xml:space="preserve">C2-012</x:t>
  </x:si>
  <x:si>
    <x:t xml:space="preserve">Costado de cajón</x:t>
  </x:si>
  <x:si>
    <x:t xml:space="preserve">Caja exterior 793 × 400 mm. Base debajo de paredes. Vano 820 − 27 confirmado HRE320-40.</x:t>
  </x:si>
  <x:si>
    <x:t xml:space="preserve">C2-013</x:t>
  </x:si>
  <x:si>
    <x:t xml:space="preserve">Base aplicada de cajón</x:t>
  </x:si>
  <x:si>
    <x:t xml:space="preserve">Lleva refuerzo central de 30 mm debajo.</x:t>
  </x:si>
  <x:si>
    <x:t xml:space="preserve">C2-014</x:t>
  </x:si>
  <x:si>
    <x:t xml:space="preserve">Frente / trasero interior de cajón</x:t>
  </x:si>
  <x:si>
    <x:t xml:space="preserve">Caja exterior 793 × 400 mm.</x:t>
  </x:si>
  <x:si>
    <x:t xml:space="preserve">C2-015</x:t>
  </x:si>
  <x:si>
    <x:t xml:space="preserve">Refuerzo central bajo base de cajón</x:t>
  </x:si>
  <x:si>
    <x:t xml:space="preserve">C2-016</x:t>
  </x:si>
  <x:si>
    <x:t xml:space="preserve">BASE</x:t>
  </x:si>
  <x:si>
    <x:t xml:space="preserve">Zócalo frontal</x:t>
  </x:si>
  <x:si>
    <x:t xml:space="preserve">Base nominal 100 mm con apoyos de 20 mm. Nivelación y uniones por definir.</x:t>
  </x:si>
  <x:si>
    <x:t xml:space="preserve">C2-017</x:t>
  </x:si>
  <x:si>
    <x:t xml:space="preserve">Travesaño trasero de base</x:t>
  </x:si>
  <x:si>
    <x:t xml:space="preserve">Base nominal 100 mm con apoyos de 20 mm.</x:t>
  </x:si>
  <x:si>
    <x:t xml:space="preserve">C2-018</x:t>
  </x:si>
  <x:si>
    <x:t xml:space="preserve">Travesaño transversal de base</x:t>
  </x:si>
  <x:si>
    <x:t xml:space="preserve">Uno bajo cada lateral/divisor.</x:t>
  </x:si>
  <x:si>
    <x:t xml:space="preserve">C2-019</x:t>
  </x:si>
  <x:si>
    <x:t xml:space="preserve">Puerta abatible</x:t>
  </x:si>
  <x:si>
    <x:t xml:space="preserve">Cota terminada. Taladros con plantilla del herraje, no por la animación.</x:t>
  </x:si>
  <x:si>
    <x:t xml:space="preserve">C2-020</x:t>
  </x:si>
  <x:si>
    <x:t xml:space="preserve">Cota terminada. Taladros con plantilla del herraje.</x:t>
  </x:si>
  <x:si>
    <x:t xml:space="preserve">C2-021</x:t>
  </x:si>
  <x:si>
    <x:t xml:space="preserve">Puerta maletero abatible superior</x:t>
  </x:si>
  <x:si>
    <x:t xml:space="preserve">Cubre el canto de la tapa superior (recubrimiento total). Bisagra de cazoleta parche arriba y dos brazos de gas.</x:t>
  </x:si>
  <x:si>
    <x:t xml:space="preserve">C2-022</x:t>
  </x:si>
  <x:si>
    <x:t xml:space="preserve">Cubre el canto de la tapa superior. Bisagra de cazoleta parche arriba y dos brazos de gas.</x:t>
  </x:si>
  <x:si>
    <x:t xml:space="preserve">C2-023</x:t>
  </x:si>
  <x:si>
    <x:t xml:space="preserve">Listón frontal de refuerzo (de canto)</x:t>
  </x:si>
  <x:si>
    <x:t xml:space="preserve">C2-024</x:t>
  </x:si>
  <x:si>
    <x:t xml:space="preserve">C2-025</x:t>
  </x:si>
  <x:si>
    <x:t xml:space="preserve">Listón de refuerzo de repisa (de canto)</x:t>
  </x:si>
  <x:si>
    <x:t xml:space="preserve">TOTAL RH15</x:t>
  </x:si>
  <x:si>
    <x:t xml:space="preserve">Área neta</x:t>
  </x:si>
  <x:si>
    <x:t xml:space="preserve">Clóset 2: resumen de canto 19 mm (tablero de 15 mm)</x:t>
  </x:si>
  <x:si>
    <x:t xml:space="preserve">Reserva por borde (m)</x:t>
  </x:si>
  <x:si>
    <x:t xml:space="preserve">Mismo criterio de la cocina: rígido ≈2 mm en caras vistas; flexible ≈0,45 mm en bordes ocultos. No retirar cantos por estar ocultos.</x:t>
  </x:si>
  <x:si>
    <x:t xml:space="preserve">Neto calculado con dimensiones terminadas. Los 5 cm por borde son una reserva editable (I2); confirmar con la canteadora, formato, espesor 19 × 2 / 19 × 0,45 y color.</x:t>
  </x:si>
  <x:si>
    <x:t xml:space="preserve">Tipo</x:t>
  </x:si>
  <x:si>
    <x:t xml:space="preserve">Dónde va</x:t>
  </x:si>
  <x:si>
    <x:t xml:space="preserve">Metros netos</x:t>
  </x:si>
  <x:si>
    <x:t xml:space="preserve">Bordes</x:t>
  </x:si>
  <x:si>
    <x:t xml:space="preserve">Reserva de máquina (supuesto)</x:t>
  </x:si>
  <x:si>
    <x:t xml:space="preserve">Metros a pedir</x:t>
  </x:si>
  <x:si>
    <x:t xml:space="preserve">m por rollo</x:t>
  </x:si>
  <x:si>
    <x:t xml:space="preserve">Rollos</x:t>
  </x:si>
  <x:si>
    <x:t xml:space="preserve">Rígido (≈2 mm)</x:t>
  </x:si>
  <x:si>
    <x:t xml:space="preserve">Frentes de cajón, puertas y tapas de maletero en sus 4 lados; borde frontal de laterales, divisores, pisos, tapas y repisas</x:t>
  </x:si>
  <x:si>
    <x:t xml:space="preserve">Flexible (≈0,45 mm)</x:t>
  </x:si>
  <x:si>
    <x:t xml:space="preserve">Bordes ocultos: traseros, travesaños, listones, cajas de cajón, zócalo y base</x:t>
  </x:si>
  <x:si>
    <x:t xml:space="preserve">Atención</x:t>
  </x:si>
  <x:si>
    <x:t xml:space="preserve">Piezas estrechas (30, 60 y 80 mm de ancho): validar con el proveedor si se pueden canteadar a máquina; si no, canto a mano con plancha o pieza sin canto oculta.</x:t>
  </x:si>
  <x:si>
    <x:t xml:space="preserve">Rollos de referencia de la cocina (Cartagena, $531.600 rígido de 100 m y $285.600 flexible de 200 m). Validar que el color y el SKU coincidan con el tablero elegido para el clóset.</x:t>
  </x:si>
  <x:si>
    <x:t xml:space="preserve">Referencia</x:t>
  </x:si>
  <x:si>
    <x:t xml:space="preserve">Uso</x:t>
  </x:si>
  <x:si>
    <x:t xml:space="preserve">Cantidad</x:t>
  </x:si>
  <x:si>
    <x:t xml:space="preserve">Unidad</x:t>
  </x:si>
  <x:si>
    <x:t xml:space="preserve">Precio COP</x:t>
  </x:si>
  <x:si>
    <x:t xml:space="preserve">Importe COP</x:t>
  </x:si>
  <x:si>
    <x:t xml:space="preserve">Estado</x:t>
  </x:si>
  <x:si>
    <x:t xml:space="preserve">Detalle</x:t>
  </x:si>
  <x:si>
    <x:t xml:space="preserve">Fuente y fecha</x:t>
  </x:si>
  <x:si>
    <x:t xml:space="preserve">HRE320-40</x:t>
  </x:si>
  <x:si>
    <x:t xml:space="preserve">Corredera zincada 400 mm</x:t>
  </x:si>
  <x:si>
    <x:t xml:space="preserve">par</x:t>
  </x:si>
  <x:si>
    <x:t xml:space="preserve">Confirmado</x:t>
  </x:si>
  <x:si>
    <x:t xml:space="preserve">45 kg. Descuento total 27 mm: vano 820 menos 27 = caja 793. Altura 45 mm. Montaje al centro del costado. Incluye 12 tornillos por par, 12 mm de longitud, rosca 4 mm. No comprar los 36 tornillos aparte.</x:t>
  </x:si>
  <x:si>
    <x:t xml:space="preserve">Usuario: ficha rev.15/05/25 y precio $9.999 aportados 26/10/2026.</x:t>
  </x:si>
  <x:si>
    <x:t xml:space="preserve">HBM897-02</x:t>
  </x:si>
  <x:si>
    <x:t xml:space="preserve">Bisagra semiparche clip-on · 6 hojas bajas</x:t>
  </x:si>
  <x:si>
    <x:t xml:space="preserve">Candidata</x:t>
  </x:si>
  <x:si>
    <x:t xml:space="preserve">https://madecentro.com/products/bisagra-parche-cierre-lento-clip-on-acero-inoxidable-201-35mm (27/10/2026). Confirmar el SKU -02.</x:t>
  </x:si>
  <x:si>
    <x:t xml:space="preserve">HBM306-01 (variante parche)</x:t>
  </x:si>
  <x:si>
    <x:t xml:space="preserve">Bisagra de cazoleta para las 3 tapas del maletero</x:t>
  </x:si>
  <x:si>
    <x:t xml:space="preserve">https://madecentro.com/collections/herrajes-bisagras-bisagras-mueble-cazoleta/products/bisagra-de-cazoleta-para-mueble-high-quality-cierre-comun-de-110-clip-on-de-montaje-facil (27/10/2026).</x:t>
  </x:si>
  <x:si>
    <x:t xml:space="preserve">Familia HEC…-03</x:t>
  </x:si>
  <x:si>
    <x:t xml:space="preserve">Brazo neumático gris · maletero</x:t>
  </x:si>
  <x:si>
    <x:t xml:space="preserve">unidad</x:t>
  </x:si>
  <x:si>
    <x:t xml:space="preserve">Fuerza pendiente</x:t>
  </x:si>
  <x:si>
    <x:t xml:space="preserve">Por elegir</x:t>
  </x:si>
  <x:si>
    <x:t xml:space="preserve">Tirador o jaladera</x:t>
  </x:si>
  <x:si>
    <x:t xml:space="preserve">Decisión pendiente.</x:t>
  </x:si>
  <x:si>
    <x:t xml:space="preserve">Barra de colgar lateral</x:t>
  </x:si>
  <x:si>
    <x:t xml:space="preserve">tramo</x:t>
  </x:si>
  <x:si>
    <x:t xml:space="preserve">Cotizar</x:t>
  </x:si>
  <x:si>
    <x:t xml:space="preserve">Geometría opción 2; verificar con producto real.</x:t>
  </x:si>
  <x:si>
    <x:t xml:space="preserve">Barra de colgar central</x:t>
  </x:si>
  <x:si>
    <x:t xml:space="preserve">Longitud ilustrada 818 mm. Descuento de soportes y sección por elegir.</x:t>
  </x:si>
  <x:si>
    <x:t xml:space="preserve">Soportes de barra</x:t>
  </x:si>
  <x:si>
    <x:t xml:space="preserve">Dos por barra. Verificar fijación y carga en RH15.</x:t>
  </x:si>
  <x:si>
    <x:t xml:space="preserve">Previsión para 3 barras.</x:t>
  </x:si>
  <x:si>
    <x:t xml:space="preserve">Por dimensionar</x:t>
  </x:si>
  <x:si>
    <x:t xml:space="preserve">Apoyos de base</x:t>
  </x:si>
  <x:si>
    <x:t xml:space="preserve">Dos bajo cada lateral/divisor. El modelo dibuja 20 mm de apoyo y base total 100 mm. No implica patas regulables seleccionadas.</x:t>
  </x:si>
  <x:si>
    <x:t xml:space="preserve">Geometría y decisión de montaje pendiente.</x:t>
  </x:si>
  <x:si>
    <x:t xml:space="preserve">Anclajes y calzos</x:t>
  </x:si>
  <x:si>
    <x:t xml:space="preserve">lote</x:t>
  </x:si>
  <x:si>
    <x:t xml:space="preserve">Preferencia usuario 26/10–27/10/2026. Fijaciones por definir con el muro real.</x:t>
  </x:si>
  <x:si>
    <x:t xml:space="preserve">RH15 (referencia: Cartagena de la cocina)</x:t>
  </x:si>
  <x:si>
    <x:t xml:space="preserve">Tablero melamina RH 15 mm, 2,15 × 2,44</x:t>
  </x:si>
  <x:si>
    <x:t xml:space="preserve">lámina</x:t>
  </x:si>
  <x:si>
    <x:t xml:space="preserve">Referencia de precio</x:t>
  </x:si>
  <x:si>
    <x:t xml:space="preserve">Cantidad estimada con el auditor (herramientas/auditar_closet.py): guillotina sin rotar, sierra 4 mm, refilado 10 mm. Usar el plano de corte del proveedor. El acabado del clóset no está elegido; el precio es el de la cocina (Madecentro).</x:t>
  </x:si>
  <x:si>
    <x:t xml:space="preserve">Madecentro; hoja Compras de despiece-280.xlsx.</x:t>
  </x:si>
  <x:si>
    <x:t xml:space="preserve">Canto rígido 19 × 2 mm · rollo 100 m</x:t>
  </x:si>
  <x:si>
    <x:t xml:space="preserve">Cantos vistos</x:t>
  </x:si>
  <x:si>
    <x:t xml:space="preserve">rollo</x:t>
  </x:si>
  <x:si>
    <x:t xml:space="preserve">Metros y rollos vinculados a Cantos. Validar color y SKU.</x:t>
  </x:si>
  <x:si>
    <x:t xml:space="preserve">Precio de la nueva versión de la cocina.</x:t>
  </x:si>
  <x:si>
    <x:t xml:space="preserve">Canto flexible 19 × 0,45 mm · rollo 200 m</x:t>
  </x:si>
  <x:si>
    <x:t xml:space="preserve">Cantos ocultos</x:t>
  </x:si>
  <x:si>
    <x:t xml:space="preserve">Uniones y soportes de repisa</x:t>
  </x:si>
  <x:si>
    <x:t xml:space="preserve">Montaje RH15 por dimensionar.</x:t>
  </x:si>
  <x:si>
    <x:t xml:space="preserve">Por cotizar</x:t>
  </x:si>
  <x:si>
    <x:t xml:space="preserve">Corte y canteado en taller</x:t>
  </x:si>
  <x:si>
    <x:t xml:space="preserve">servicio</x:t>
  </x:si>
  <x:si>
    <x:t xml:space="preserve">Solo si lo hace el proveedor. Perforar únicamente con plantilla de las bisagras, brazos y correderas elegidos.</x:t>
  </x:si>
  <x:si>
    <x:t xml:space="preserve">Pedido de fabricación por preparar.</x:t>
  </x:si>
  <x:si>
    <x:t xml:space="preserve">Subtotal con precio</x:t>
  </x:si>
  <x:si>
    <x:t xml:space="preserve">Tema</x:t>
  </x:si>
  <x:si>
    <x:t xml:space="preserve">Resultado / siguiente paso</x:t>
  </x:si>
  <x:si>
    <x:t xml:space="preserve">Fuente</x:t>
  </x:si>
  <x:si>
    <x:t xml:space="preserve">Hueco y profundidad</x:t>
  </x:si>
  <x:si>
    <x:t xml:space="preserve">Hueco medido 2900×2400 mm; comprobar medida mínima y plomo. Nominal 2880; cuerpo 2860 mm. Fondo cerrado 495 mm, reserva geométrica 498 mm dentro de 520 mm.</x:t>
  </x:si>
  <x:si>
    <x:t xml:space="preserve">Usuario y geometría</x:t>
  </x:si>
  <x:si>
    <x:t xml:space="preserve">Aplicado</x:t>
  </x:si>
  <x:si>
    <x:t xml:space="preserve">Altura y base</x:t>
  </x:si>
  <x:si>
    <x:t xml:space="preserve">Estructura desde y 100 hasta 2380: laterales 2280 mm. Base nominal 100 mm incluida en altura montada 2380. Holgura superior 20 mm antes de nivelar. El usuario considera trabajables los desniveles: nivelar con los apoyos y calzos, y comprobar que las tapas abiertas no toquen el cielo falso.</x:t>
  </x:si>
  <x:si>
    <x:t xml:space="preserve">Modelo opción 2 / usuario 27/10/2026</x:t>
  </x:si>
  <x:si>
    <x:t xml:space="preserve">Montaje</x:t>
  </x:si>
  <x:si>
    <x:t xml:space="preserve">Armado dentro del hueco</x:t>
  </x:si>
  <x:si>
    <x:t xml:space="preserve">Armar de pie o por partes. Diagonal de cuerpo 2380×480 ≈2428 mm, superior al hueco 2400: no asumir que puede levantarse desde tumbado.</x:t>
  </x:si>
  <x:si>
    <x:t xml:space="preserve">Cálculo geométrico</x:t>
  </x:si>
  <x:si>
    <x:t xml:space="preserve">Refuerzos de RH15 (rigidez)</x:t>
  </x:si>
  <x:si>
    <x:t xml:space="preserve">Cálculo de flecha con supuestos; auditar_closet.py</x:t>
  </x:si>
  <x:si>
    <x:t xml:space="preserve">Anclaje a paredes laterales</x:t>
  </x:si>
  <x:si>
    <x:t xml:space="preserve">Usuario 27/10/2026</x:t>
  </x:si>
  <x:si>
    <x:t xml:space="preserve">Cantos (criterio de la cocina)</x:t>
  </x:si>
  <x:si>
    <x:t xml:space="preserve">Canto rígido 19×2 mm en frentes, puertas, tapas de maletero y borde frontal de laterales, pisos, tapas y repisas; flexible 19×0,45 mm en bordes ocultos. Reserva de 5 cm por borde. Rollos de 100 m (rígido) y 200 m (flexible). Totales en la hoja Cantos.</x:t>
  </x:si>
  <x:si>
    <x:t xml:space="preserve">despiece-280.xlsx / hoja Cantos</x:t>
  </x:si>
  <x:si>
    <x:t xml:space="preserve">Tapas del maletero</x:t>
  </x:si>
  <x:si>
    <x:t xml:space="preserve">Las tres tapas pasan de 503 a 518 mm de alto: cubren el canto de la tapa superior (recubrimiento total) en lugar de quedar con borde a ras de su cara inferior, disposición para la que no hay bisagra de cazoleta estándar. Pesos: 5,07 kg las laterales y 4,21 kg la central. Abiertas, llegan a 2380 mm de alto y proyectan 518 mm delante del frente (1013 mm desde el muro).</x:t>
  </x:si>
  <x:si>
    <x:t xml:space="preserve">Geometría opción 2</x:t>
  </x:si>
  <x:si>
    <x:t xml:space="preserve">Por validar</x:t>
  </x:si>
  <x:si>
    <x:t xml:space="preserve">Bisagras del maletero</x:t>
  </x:si>
  <x:si>
    <x:t xml:space="preserve">Madecentro 27/10/2026</x:t>
  </x:si>
  <x:si>
    <x:t xml:space="preserve">Brazos de gas</x:t>
  </x:si>
  <x:si>
    <x:t xml:space="preserve">Cálculo propio / ficha HEC</x:t>
  </x:si>
  <x:si>
    <x:t xml:space="preserve">Puertas laterales</x:t>
  </x:si>
  <x:si>
    <x:t xml:space="preserve">Geometría / cálculo de peso</x:t>
  </x:si>
  <x:si>
    <x:t xml:space="preserve">Revisión técnica 27/10/2026</x:t>
  </x:si>
  <x:si>
    <x:t xml:space="preserve">Uso acordado</x:t>
  </x:si>
  <x:si>
    <x:t xml:space="preserve">Giro y carga</x:t>
  </x:si>
  <x:si>
    <x:t xml:space="preserve">Puertas derechas se usan con puerta de habitación cerrada. Solo objetos livianos en maletero; carga máxima de estantes sin definir.</x:t>
  </x:si>
  <x:si>
    <x:t xml:space="preserve">Usuario 26/10/2026</x:t>
  </x:si>
  <x:si>
    <x:t xml:space="preserve">Pendiente</x:t>
  </x:si>
  <x:si>
    <x:t xml:space="preserve">Cielo falso</x:t>
  </x:si>
  <x:si>
    <x:t xml:space="preserve">Medir la altura del cielo falso a 1 m del muro: las tapas abiertas llegan a 2380 mm a 1013 mm del muro y una cenefa o tolva de luces puede estorbar.</x:t>
  </x:si>
  <x:si>
    <x:t xml:space="preserve">Revisión técnica</x:t>
  </x:si>
  <x:si>
    <x:t xml:space="preserve">Cantos, veta y corte</x:t>
  </x:si>
  <x:si>
    <x:t xml:space="preserve">Proveedor de corte</x:t>
  </x:si>
  <x:si>
    <x:t xml:space="preserve">Presupuesto final</x:t>
  </x:si>
  <x:si>
    <x:t xml:space="preserve">Compras</x:t>
  </x:si>
</x:sst>
</file>

<file path=xl/styles.xml><?xml version="1.0" encoding="utf-8"?>
<x:styleSheet xmlns:x="http://schemas.openxmlformats.org/spreadsheetml/2006/main">
  <x:numFmts count="6">
    <x:numFmt numFmtId="164" formatCode="General"/>
    <x:numFmt numFmtId="165" formatCode="0.000000"/>
    <x:numFmt numFmtId="166" formatCode="0.00"/>
    <x:numFmt numFmtId="167" formatCode="0.000"/>
    <x:numFmt numFmtId="168" formatCode="0.0"/>
    <x:numFmt numFmtId="169" formatCode="\$#,##0"/>
  </x:numFmts>
  <x:fonts count="8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6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B35"/>
      </x:patternFill>
    </x:fill>
  </x:fills>
  <x:borders count="1">
    <x:border diagonalUp="0" diagonalDown="0">
      <x:left/>
      <x:right/>
      <x:top/>
      <x:bottom/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3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4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5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6" fillId="2" borderId="0" xfId="0" applyFont="1" applyBorder="0" applyAlignment="1" applyProtection="0">
      <x:alignment horizontal="center" vertical="center" wrapText="1" shrinkToFit="0"/>
      <x:protection locked="1" hidden="0"/>
    </x:xf>
    <x:xf numFmtId="164" fontId="5" fillId="0" borderId="0" xfId="0" applyFont="1" applyBorder="0" applyAlignment="1" applyProtection="0">
      <x:alignment horizontal="general" vertical="center" wrapText="0" shrinkToFit="0"/>
      <x:protection locked="1" hidden="0"/>
    </x:xf>
    <x:xf numFmtId="165" fontId="5" fillId="0" borderId="0" xfId="0" applyFont="1" applyBorder="0" applyAlignment="1" applyProtection="0">
      <x:alignment horizontal="general" vertical="center" wrapText="0" shrinkToFit="0"/>
      <x:protection locked="1" hidden="0"/>
    </x:xf>
    <x:xf numFmtId="166" fontId="5" fillId="0" borderId="0" xfId="0" applyFont="1" applyBorder="0" applyAlignment="1" applyProtection="0">
      <x:alignment horizontal="general" vertical="center" wrapText="0" shrinkToFit="0"/>
      <x:protection locked="1" hidden="0"/>
    </x:xf>
    <x:xf numFmtId="164" fontId="5" fillId="0" borderId="0" xfId="0" applyFont="1" applyBorder="0" applyAlignment="1" applyProtection="0">
      <x:alignment horizontal="general" vertical="center" wrapText="1" shrinkToFit="0"/>
      <x:protection locked="1" hidden="0"/>
    </x:xf>
    <x:xf numFmtId="164" fontId="7" fillId="0" borderId="0" xfId="0" applyFont="1" applyBorder="0" applyAlignment="1" applyProtection="0">
      <x:alignment horizontal="general" vertical="center" wrapText="0" shrinkToFit="0"/>
      <x:protection locked="1" hidden="0"/>
    </x:xf>
    <x:xf numFmtId="165" fontId="7" fillId="0" borderId="0" xfId="0" applyFont="1" applyBorder="0" applyAlignment="1" applyProtection="0">
      <x:alignment horizontal="general" vertical="center" wrapText="0" shrinkToFit="0"/>
      <x:protection locked="1" hidden="0"/>
    </x:xf>
    <x:xf numFmtId="167" fontId="5" fillId="0" borderId="0" xfId="0" applyFont="1" applyBorder="0" applyAlignment="1" applyProtection="0">
      <x:alignment horizontal="general" vertical="center" wrapText="0" shrinkToFit="0"/>
      <x:protection locked="1" hidden="0"/>
    </x:xf>
    <x:xf numFmtId="168" fontId="5" fillId="0" borderId="0" xfId="0" applyFont="1" applyBorder="0" applyAlignment="1" applyProtection="0">
      <x:alignment horizontal="general" vertical="center" wrapText="0" shrinkToFit="0"/>
      <x:protection locked="1" hidden="0"/>
    </x:xf>
    <x:xf numFmtId="169" fontId="5" fillId="0" borderId="0" xfId="0" applyFont="1" applyBorder="0" applyAlignment="1" applyProtection="0">
      <x:alignment horizontal="general" vertical="center" wrapText="0" shrinkToFit="0"/>
      <x:protection locked="1" hidden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253B35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e258d4e5b74f51" /><Relationship Type="http://schemas.openxmlformats.org/officeDocument/2006/relationships/theme" Target="/xl/theme/theme1.xml" Id="Ra8f3fa52123a47a5" /><Relationship Type="http://schemas.openxmlformats.org/officeDocument/2006/relationships/sharedStrings" Target="/xl/sharedStrings.xml" Id="Rd55f565000de4b9f" /><Relationship Type="http://schemas.openxmlformats.org/officeDocument/2006/relationships/worksheet" Target="/xl/worksheets/sheet1.xml" Id="R7b6c089b1582492f" /><Relationship Type="http://schemas.openxmlformats.org/officeDocument/2006/relationships/worksheet" Target="/xl/worksheets/sheet2.xml" Id="R4f4a1d0b29de4e29" /><Relationship Type="http://schemas.openxmlformats.org/officeDocument/2006/relationships/worksheet" Target="/xl/worksheets/sheet3.xml" Id="R98abe992aee54be9" /><Relationship Type="http://schemas.openxmlformats.org/officeDocument/2006/relationships/worksheet" Target="/xl/worksheets/sheet4.xml" Id="Ra85ced7966f4403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6" topLeftCell="A7" activePane="bottomLeft" state="frozen"/>
    </x:sheetView>
  </x:sheetViews>
  <x:sheetFormatPr defaultColWidth="8.6796875" defaultRowHeight="15"/>
  <x:cols>
    <x:col min="1" max="2" width="10" hidden="0" customWidth="1"/>
    <x:col min="3" max="3" width="36" hidden="0" customWidth="1"/>
    <x:col min="4" max="4" width="8" hidden="0" customWidth="1"/>
    <x:col min="5" max="6" width="13" hidden="0" customWidth="1"/>
    <x:col min="7" max="7" width="10" hidden="0" customWidth="1"/>
    <x:col min="8" max="8" width="11" hidden="0" customWidth="1"/>
    <x:col min="9" max="12" width="9" hidden="0" customWidth="1"/>
    <x:col min="13" max="15" width="14" hidden="0" customWidth="1"/>
    <x:col min="16" max="16" width="90" hidden="0" customWidth="1"/>
  </x:cols>
  <x:sheetData>
    <x:row r="2" ht="19.700000762939453" hidden="0">
      <x:c r="A2" s="1" t="str">
        <x:v>Clóset definitivo: opción 2</x:v>
      </x:c>
    </x:row>
    <x:row r="3" ht="15" hidden="0">
      <x:c r="A3" s="2" t="str">
        <x:v>75 piezas RH15. Diseño aprobado; E/F son medidas terminadas. Cantos y refuerzos incluidos; mecanizados sujetos a plantilla.</x:v>
      </x:c>
    </x:row>
    <x:row r="4" ht="15" hidden="0">
      <x:c r="A4" s="2" t="s">
        <x:v>0</x:v>
      </x:c>
    </x:row>
    <x:row r="6" ht="36" hidden="0" customHeight="1">
      <x:c r="A6" s="3" t="s">
        <x:v>1</x:v>
      </x:c>
      <x:c r="B6" s="3" t="s">
        <x:v>2</x:v>
      </x:c>
      <x:c r="C6" s="3" t="s">
        <x:v>3</x:v>
      </x:c>
      <x:c r="D6" s="3" t="s">
        <x:v>4</x:v>
      </x:c>
      <x:c r="E6" s="3" t="s">
        <x:v>5</x:v>
      </x:c>
      <x:c r="F6" s="3" t="s">
        <x:v>6</x:v>
      </x:c>
      <x:c r="G6" s="3" t="s">
        <x:v>7</x:v>
      </x:c>
      <x:c r="H6" s="3" t="s">
        <x:v>8</x:v>
      </x:c>
      <x:c r="I6" s="3" t="s">
        <x:v>9</x:v>
      </x:c>
      <x:c r="J6" s="3" t="s">
        <x:v>10</x:v>
      </x:c>
      <x:c r="K6" s="3" t="s">
        <x:v>11</x:v>
      </x:c>
      <x:c r="L6" s="3" t="s">
        <x:v>12</x:v>
      </x:c>
      <x:c r="M6" s="3" t="s">
        <x:v>13</x:v>
      </x:c>
      <x:c r="N6" s="3" t="s">
        <x:v>14</x:v>
      </x:c>
      <x:c r="O6" s="3" t="s">
        <x:v>15</x:v>
      </x:c>
      <x:c r="P6" s="3" t="s">
        <x:v>16</x:v>
      </x:c>
    </x:row>
    <x:row r="7" ht="30" hidden="0" customHeight="1">
      <x:c r="A7" s="4" t="s">
        <x:v>17</x:v>
      </x:c>
      <x:c r="B7" s="4" t="s">
        <x:v>18</x:v>
      </x:c>
      <x:c r="C7" s="4" t="s">
        <x:v>19</x:v>
      </x:c>
      <x:c r="D7" s="4" t="n">
        <x:v>4</x:v>
      </x:c>
      <x:c r="E7" s="4" t="n">
        <x:v>2280</x:v>
      </x:c>
      <x:c r="F7" s="4" t="n">
        <x:v>480</x:v>
      </x:c>
      <x:c r="G7" s="4" t="n">
        <x:v>15</x:v>
      </x:c>
      <x:c r="H7" s="5" t="n">
        <x:f aca="0">D7*E7*F7/1000000</x:f>
        <x:v>4.3776</x:v>
      </x:c>
      <x:c r="I7" s="4" t="s">
        <x:v>20</x:v>
      </x:c>
      <x:c r="J7" s="4" t="s">
        <x:v>21</x:v>
      </x:c>
      <x:c r="K7" s="4" t="s">
        <x:v>21</x:v>
      </x:c>
      <x:c r="L7" s="4" t="s">
        <x:v>21</x:v>
      </x:c>
      <x:c r="M7" s="6" t="n">
        <x:f aca="0">E7-IF(K7="2",2,IF(K7="0.45",0.45,0))-IF(L7="2",2,IF(L7="0.45",0.45,0))</x:f>
        <x:v>2279.1000000000004</x:v>
      </x:c>
      <x:c r="N7" s="6" t="n">
        <x:f aca="0">F7-IF(I7="2",2,IF(I7="0.45",0.45,0))-IF(J7="2",2,IF(J7="0.45",0.45,0))</x:f>
        <x:v>477.55</x:v>
      </x:c>
      <x:c r="O7" s="4" t="s">
        <x:v>22</x:v>
      </x:c>
      <x:c r="P7" s="7" t="s">
        <x:v>23</x:v>
      </x:c>
    </x:row>
    <x:row r="8" ht="30" hidden="0" customHeight="1">
      <x:c r="A8" s="4" t="s">
        <x:v>24</x:v>
      </x:c>
      <x:c r="B8" s="4" t="s">
        <x:v>25</x:v>
      </x:c>
      <x:c r="C8" s="4" t="s">
        <x:v>26</x:v>
      </x:c>
      <x:c r="D8" s="4" t="n">
        <x:v>2</x:v>
      </x:c>
      <x:c r="E8" s="4" t="n">
        <x:v>990</x:v>
      </x:c>
      <x:c r="F8" s="4" t="n">
        <x:v>480</x:v>
      </x:c>
      <x:c r="G8" s="4" t="n">
        <x:v>15</x:v>
      </x:c>
      <x:c r="H8" s="5" t="n">
        <x:f aca="0">D8*E8*F8/1000000</x:f>
        <x:v>0.9504</x:v>
      </x:c>
      <x:c r="I8" s="4" t="s">
        <x:v>20</x:v>
      </x:c>
      <x:c r="J8" s="4" t="s">
        <x:v>21</x:v>
      </x:c>
      <x:c r="K8" s="4" t="s">
        <x:v>21</x:v>
      </x:c>
      <x:c r="L8" s="4" t="s">
        <x:v>21</x:v>
      </x:c>
      <x:c r="M8" s="6" t="n">
        <x:f aca="0">E8-IF(K8="2",2,IF(K8="0.45",0.45,0))-IF(L8="2",2,IF(L8="0.45",0.45,0))</x:f>
        <x:v>989.0999999999999</x:v>
      </x:c>
      <x:c r="N8" s="6" t="n">
        <x:f aca="0">F8-IF(I8="2",2,IF(I8="0.45",0.45,0))-IF(J8="2",2,IF(J8="0.45",0.45,0))</x:f>
        <x:v>477.55</x:v>
      </x:c>
      <x:c r="O8" s="4" t="s">
        <x:v>22</x:v>
      </x:c>
      <x:c r="P8" s="7" t="s">
        <x:v>27</x:v>
      </x:c>
    </x:row>
    <x:row r="9" ht="30" hidden="0" customHeight="1">
      <x:c r="A9" s="4" t="s">
        <x:v>28</x:v>
      </x:c>
      <x:c r="B9" s="4" t="s">
        <x:v>29</x:v>
      </x:c>
      <x:c r="C9" s="4" t="s">
        <x:v>30</x:v>
      </x:c>
      <x:c r="D9" s="4" t="n">
        <x:v>2</x:v>
      </x:c>
      <x:c r="E9" s="4" t="n">
        <x:v>990</x:v>
      </x:c>
      <x:c r="F9" s="4" t="n">
        <x:v>480</x:v>
      </x:c>
      <x:c r="G9" s="4" t="n">
        <x:v>15</x:v>
      </x:c>
      <x:c r="H9" s="5" t="n">
        <x:f aca="0">D9*E9*F9/1000000</x:f>
        <x:v>0.9504</x:v>
      </x:c>
      <x:c r="I9" s="4" t="s">
        <x:v>20</x:v>
      </x:c>
      <x:c r="J9" s="4" t="s">
        <x:v>21</x:v>
      </x:c>
      <x:c r="K9" s="4" t="s">
        <x:v>21</x:v>
      </x:c>
      <x:c r="L9" s="4" t="s">
        <x:v>21</x:v>
      </x:c>
      <x:c r="M9" s="6" t="n">
        <x:f aca="0">E9-IF(K9="2",2,IF(K9="0.45",0.45,0))-IF(L9="2",2,IF(L9="0.45",0.45,0))</x:f>
        <x:v>989.0999999999999</x:v>
      </x:c>
      <x:c r="N9" s="6" t="n">
        <x:f aca="0">F9-IF(I9="2",2,IF(I9="0.45",0.45,0))-IF(J9="2",2,IF(J9="0.45",0.45,0))</x:f>
        <x:v>477.55</x:v>
      </x:c>
      <x:c r="O9" s="4" t="s">
        <x:v>22</x:v>
      </x:c>
      <x:c r="P9" s="7" t="str">
        <x:v>Tapa superior: recibe peso propio y esfuerzos de bisagras del maletero. Unir a ambos laterales; prever dos apoyos metálicos por extremo (4 por tapa). Fijación final según herraje y RH15.</x:v>
      </x:c>
    </x:row>
    <x:row r="10" ht="30" hidden="0" customHeight="1">
      <x:c r="A10" s="4" t="s">
        <x:v>31</x:v>
      </x:c>
      <x:c r="B10" s="4" t="s">
        <x:v>29</x:v>
      </x:c>
      <x:c r="C10" s="4" t="s">
        <x:v>32</x:v>
      </x:c>
      <x:c r="D10" s="4" t="n">
        <x:v>2</x:v>
      </x:c>
      <x:c r="E10" s="4" t="n">
        <x:v>990</x:v>
      </x:c>
      <x:c r="F10" s="4" t="n">
        <x:v>480</x:v>
      </x:c>
      <x:c r="G10" s="4" t="n">
        <x:v>15</x:v>
      </x:c>
      <x:c r="H10" s="5" t="n">
        <x:f aca="0">D10*E10*F10/1000000</x:f>
        <x:v>0.9504</x:v>
      </x:c>
      <x:c r="I10" s="4" t="s">
        <x:v>20</x:v>
      </x:c>
      <x:c r="J10" s="4" t="s">
        <x:v>21</x:v>
      </x:c>
      <x:c r="K10" s="4" t="s">
        <x:v>21</x:v>
      </x:c>
      <x:c r="L10" s="4" t="s">
        <x:v>21</x:v>
      </x:c>
      <x:c r="M10" s="6" t="n">
        <x:f aca="0">E10-IF(K10="2",2,IF(K10="0.45",0.45,0))-IF(L10="2",2,IF(L10="0.45",0.45,0))</x:f>
        <x:v>989.0999999999999</x:v>
      </x:c>
      <x:c r="N10" s="6" t="n">
        <x:f aca="0">F10-IF(I10="2",2,IF(I10="0.45",0.45,0))-IF(J10="2",2,IF(J10="0.45",0.45,0))</x:f>
        <x:v>477.55</x:v>
      </x:c>
      <x:c r="O10" s="4" t="s">
        <x:v>22</x:v>
      </x:c>
      <x:c r="P10" s="7" t="s">
        <x:v>33</x:v>
      </x:c>
    </x:row>
    <x:row r="11" ht="30" hidden="0" customHeight="1">
      <x:c r="A11" s="4" t="s">
        <x:v>34</x:v>
      </x:c>
      <x:c r="B11" s="4" t="s">
        <x:v>18</x:v>
      </x:c>
      <x:c r="C11" s="4" t="s">
        <x:v>35</x:v>
      </x:c>
      <x:c r="D11" s="4" t="n">
        <x:v>6</x:v>
      </x:c>
      <x:c r="E11" s="4" t="n">
        <x:v>990</x:v>
      </x:c>
      <x:c r="F11" s="4" t="n">
        <x:v>100</x:v>
      </x:c>
      <x:c r="G11" s="4" t="n">
        <x:v>15</x:v>
      </x:c>
      <x:c r="H11" s="5" t="n">
        <x:f aca="0">D11*E11*F11/1000000</x:f>
        <x:v>0.594</x:v>
      </x:c>
      <x:c r="I11" s="4" t="s">
        <x:v>21</x:v>
      </x:c>
      <x:c r="J11" s="4" t="s">
        <x:v>21</x:v>
      </x:c>
      <x:c r="K11" s="4" t="s">
        <x:v>21</x:v>
      </x:c>
      <x:c r="L11" s="4" t="s">
        <x:v>21</x:v>
      </x:c>
      <x:c r="M11" s="6" t="n">
        <x:f aca="0">E11-IF(K11="2",2,IF(K11="0.45",0.45,0))-IF(L11="2",2,IF(L11="0.45",0.45,0))</x:f>
        <x:v>989.0999999999999</x:v>
      </x:c>
      <x:c r="N11" s="6" t="n">
        <x:f aca="0">F11-IF(I11="2",2,IF(I11="0.45",0.45,0))-IF(J11="2",2,IF(J11="0.45",0.45,0))</x:f>
        <x:v>99.1</x:v>
      </x:c>
      <x:c r="O11" s="4" t="s">
        <x:v>22</x:v>
      </x:c>
      <x:c r="P11" s="7" t="s">
        <x:v>36</x:v>
      </x:c>
    </x:row>
    <x:row r="12" ht="30" hidden="0" customHeight="1">
      <x:c r="A12" s="4" t="s">
        <x:v>37</x:v>
      </x:c>
      <x:c r="B12" s="4" t="s">
        <x:v>25</x:v>
      </x:c>
      <x:c r="C12" s="4" t="s">
        <x:v>38</x:v>
      </x:c>
      <x:c r="D12" s="4" t="n">
        <x:v>4</x:v>
      </x:c>
      <x:c r="E12" s="4" t="n">
        <x:v>990</x:v>
      </x:c>
      <x:c r="F12" s="4" t="n">
        <x:v>348</x:v>
      </x:c>
      <x:c r="G12" s="4" t="n">
        <x:v>15</x:v>
      </x:c>
      <x:c r="H12" s="5" t="n">
        <x:f aca="0">D12*E12*F12/1000000</x:f>
        <x:v>1.37808</x:v>
      </x:c>
      <x:c r="I12" s="4" t="s">
        <x:v>20</x:v>
      </x:c>
      <x:c r="J12" s="4" t="s">
        <x:v>21</x:v>
      </x:c>
      <x:c r="K12" s="4" t="s">
        <x:v>21</x:v>
      </x:c>
      <x:c r="L12" s="4" t="s">
        <x:v>21</x:v>
      </x:c>
      <x:c r="M12" s="6" t="n">
        <x:f aca="0">E12-IF(K12="2",2,IF(K12="0.45",0.45,0))-IF(L12="2",2,IF(L12="0.45",0.45,0))</x:f>
        <x:v>989.0999999999999</x:v>
      </x:c>
      <x:c r="N12" s="6" t="n">
        <x:f aca="0">F12-IF(I12="2",2,IF(I12="0.45",0.45,0))-IF(J12="2",2,IF(J12="0.45",0.45,0))</x:f>
        <x:v>345.55</x:v>
      </x:c>
      <x:c r="O12" s="4" t="s">
        <x:v>22</x:v>
      </x:c>
      <x:c r="P12" s="7" t="s">
        <x:v>39</x:v>
      </x:c>
    </x:row>
    <x:row r="13" ht="30" hidden="0" customHeight="1">
      <x:c r="A13" s="4" t="s">
        <x:v>40</x:v>
      </x:c>
      <x:c r="B13" s="4" t="s">
        <x:v>41</x:v>
      </x:c>
      <x:c r="C13" s="4" t="s">
        <x:v>26</x:v>
      </x:c>
      <x:c r="D13" s="4" t="n">
        <x:v>1</x:v>
      </x:c>
      <x:c r="E13" s="4" t="n">
        <x:v>820</x:v>
      </x:c>
      <x:c r="F13" s="4" t="n">
        <x:v>480</x:v>
      </x:c>
      <x:c r="G13" s="4" t="n">
        <x:v>15</x:v>
      </x:c>
      <x:c r="H13" s="5" t="n">
        <x:f aca="0">D13*E13*F13/1000000</x:f>
        <x:v>0.3936</x:v>
      </x:c>
      <x:c r="I13" s="4" t="s">
        <x:v>20</x:v>
      </x:c>
      <x:c r="J13" s="4" t="s">
        <x:v>21</x:v>
      </x:c>
      <x:c r="K13" s="4" t="s">
        <x:v>21</x:v>
      </x:c>
      <x:c r="L13" s="4" t="s">
        <x:v>21</x:v>
      </x:c>
      <x:c r="M13" s="6" t="n">
        <x:f aca="0">E13-IF(K13="2",2,IF(K13="0.45",0.45,0))-IF(L13="2",2,IF(L13="0.45",0.45,0))</x:f>
        <x:v>819.0999999999999</x:v>
      </x:c>
      <x:c r="N13" s="6" t="n">
        <x:f aca="0">F13-IF(I13="2",2,IF(I13="0.45",0.45,0))-IF(J13="2",2,IF(J13="0.45",0.45,0))</x:f>
        <x:v>477.55</x:v>
      </x:c>
      <x:c r="O13" s="4" t="s">
        <x:v>22</x:v>
      </x:c>
      <x:c r="P13" s="7" t="s">
        <x:v>42</x:v>
      </x:c>
    </x:row>
    <x:row r="14" ht="30" hidden="0" customHeight="1">
      <x:c r="A14" s="4" t="s">
        <x:v>43</x:v>
      </x:c>
      <x:c r="B14" s="4" t="s">
        <x:v>29</x:v>
      </x:c>
      <x:c r="C14" s="4" t="s">
        <x:v>30</x:v>
      </x:c>
      <x:c r="D14" s="4" t="n">
        <x:v>1</x:v>
      </x:c>
      <x:c r="E14" s="4" t="n">
        <x:v>820</x:v>
      </x:c>
      <x:c r="F14" s="4" t="n">
        <x:v>480</x:v>
      </x:c>
      <x:c r="G14" s="4" t="n">
        <x:v>15</x:v>
      </x:c>
      <x:c r="H14" s="5" t="n">
        <x:f aca="0">D14*E14*F14/1000000</x:f>
        <x:v>0.3936</x:v>
      </x:c>
      <x:c r="I14" s="4" t="s">
        <x:v>20</x:v>
      </x:c>
      <x:c r="J14" s="4" t="s">
        <x:v>21</x:v>
      </x:c>
      <x:c r="K14" s="4" t="s">
        <x:v>21</x:v>
      </x:c>
      <x:c r="L14" s="4" t="s">
        <x:v>21</x:v>
      </x:c>
      <x:c r="M14" s="6" t="n">
        <x:f aca="0">E14-IF(K14="2",2,IF(K14="0.45",0.45,0))-IF(L14="2",2,IF(L14="0.45",0.45,0))</x:f>
        <x:v>819.0999999999999</x:v>
      </x:c>
      <x:c r="N14" s="6" t="n">
        <x:f aca="0">F14-IF(I14="2",2,IF(I14="0.45",0.45,0))-IF(J14="2",2,IF(J14="0.45",0.45,0))</x:f>
        <x:v>477.55</x:v>
      </x:c>
      <x:c r="O14" s="4" t="s">
        <x:v>22</x:v>
      </x:c>
      <x:c r="P14" s="7" t="str">
        <x:v>Tapa superior: recibe peso propio y esfuerzos de las bisagras del maletero. Cuatro apoyos metálicos previstos por tapa, con fijación compatible con RH15.</x:v>
      </x:c>
    </x:row>
    <x:row r="15" ht="30" hidden="0" customHeight="1">
      <x:c r="A15" s="4" t="s">
        <x:v>44</x:v>
      </x:c>
      <x:c r="B15" s="4" t="s">
        <x:v>29</x:v>
      </x:c>
      <x:c r="C15" s="4" t="s">
        <x:v>32</x:v>
      </x:c>
      <x:c r="D15" s="4" t="n">
        <x:v>1</x:v>
      </x:c>
      <x:c r="E15" s="4" t="n">
        <x:v>820</x:v>
      </x:c>
      <x:c r="F15" s="4" t="n">
        <x:v>480</x:v>
      </x:c>
      <x:c r="G15" s="4" t="n">
        <x:v>15</x:v>
      </x:c>
      <x:c r="H15" s="5" t="n">
        <x:f aca="0">D15*E15*F15/1000000</x:f>
        <x:v>0.3936</x:v>
      </x:c>
      <x:c r="I15" s="4" t="s">
        <x:v>20</x:v>
      </x:c>
      <x:c r="J15" s="4" t="s">
        <x:v>21</x:v>
      </x:c>
      <x:c r="K15" s="4" t="s">
        <x:v>21</x:v>
      </x:c>
      <x:c r="L15" s="4" t="s">
        <x:v>21</x:v>
      </x:c>
      <x:c r="M15" s="6" t="n">
        <x:f aca="0">E15-IF(K15="2",2,IF(K15="0.45",0.45,0))-IF(L15="2",2,IF(L15="0.45",0.45,0))</x:f>
        <x:v>819.0999999999999</x:v>
      </x:c>
      <x:c r="N15" s="6" t="n">
        <x:f aca="0">F15-IF(I15="2",2,IF(I15="0.45",0.45,0))-IF(J15="2",2,IF(J15="0.45",0.45,0))</x:f>
        <x:v>477.55</x:v>
      </x:c>
      <x:c r="O15" s="4" t="s">
        <x:v>22</x:v>
      </x:c>
      <x:c r="P15" s="7" t="s">
        <x:v>45</x:v>
      </x:c>
    </x:row>
    <x:row r="16" ht="30" hidden="0" customHeight="1">
      <x:c r="A16" s="4" t="s">
        <x:v>46</x:v>
      </x:c>
      <x:c r="B16" s="4" t="s">
        <x:v>18</x:v>
      </x:c>
      <x:c r="C16" s="4" t="s">
        <x:v>35</x:v>
      </x:c>
      <x:c r="D16" s="4" t="n">
        <x:v>3</x:v>
      </x:c>
      <x:c r="E16" s="4" t="n">
        <x:v>820</x:v>
      </x:c>
      <x:c r="F16" s="4" t="n">
        <x:v>100</x:v>
      </x:c>
      <x:c r="G16" s="4" t="n">
        <x:v>15</x:v>
      </x:c>
      <x:c r="H16" s="5" t="n">
        <x:f aca="0">D16*E16*F16/1000000</x:f>
        <x:v>0.246</x:v>
      </x:c>
      <x:c r="I16" s="4" t="s">
        <x:v>21</x:v>
      </x:c>
      <x:c r="J16" s="4" t="s">
        <x:v>21</x:v>
      </x:c>
      <x:c r="K16" s="4" t="s">
        <x:v>21</x:v>
      </x:c>
      <x:c r="L16" s="4" t="s">
        <x:v>21</x:v>
      </x:c>
      <x:c r="M16" s="6" t="n">
        <x:f aca="0">E16-IF(K16="2",2,IF(K16="0.45",0.45,0))-IF(L16="2",2,IF(L16="0.45",0.45,0))</x:f>
        <x:v>819.0999999999999</x:v>
      </x:c>
      <x:c r="N16" s="6" t="n">
        <x:f aca="0">F16-IF(I16="2",2,IF(I16="0.45",0.45,0))-IF(J16="2",2,IF(J16="0.45",0.45,0))</x:f>
        <x:v>99.1</x:v>
      </x:c>
      <x:c r="O16" s="4" t="s">
        <x:v>22</x:v>
      </x:c>
      <x:c r="P16" s="7" t="s">
        <x:v>47</x:v>
      </x:c>
    </x:row>
    <x:row r="17" ht="30" hidden="0" customHeight="1">
      <x:c r="A17" s="4" t="s">
        <x:v>48</x:v>
      </x:c>
      <x:c r="B17" s="4" t="s">
        <x:v>41</x:v>
      </x:c>
      <x:c r="C17" s="4" t="s">
        <x:v>49</x:v>
      </x:c>
      <x:c r="D17" s="4" t="n">
        <x:v>3</x:v>
      </x:c>
      <x:c r="E17" s="4" t="n">
        <x:v>814</x:v>
      </x:c>
      <x:c r="F17" s="4" t="n">
        <x:v>210</x:v>
      </x:c>
      <x:c r="G17" s="4" t="n">
        <x:v>15</x:v>
      </x:c>
      <x:c r="H17" s="5" t="n">
        <x:f aca="0">D17*E17*F17/1000000</x:f>
        <x:v>0.51282</x:v>
      </x:c>
      <x:c r="I17" s="4" t="s">
        <x:v>20</x:v>
      </x:c>
      <x:c r="J17" s="4" t="s">
        <x:v>20</x:v>
      </x:c>
      <x:c r="K17" s="4" t="s">
        <x:v>20</x:v>
      </x:c>
      <x:c r="L17" s="4" t="s">
        <x:v>20</x:v>
      </x:c>
      <x:c r="M17" s="6" t="n">
        <x:f aca="0">E17-IF(K17="2",2,IF(K17="0.45",0.45,0))-IF(L17="2",2,IF(L17="0.45",0.45,0))</x:f>
        <x:v>810</x:v>
      </x:c>
      <x:c r="N17" s="6" t="n">
        <x:f aca="0">F17-IF(I17="2",2,IF(I17="0.45",0.45,0))-IF(J17="2",2,IF(J17="0.45",0.45,0))</x:f>
        <x:v>206</x:v>
      </x:c>
      <x:c r="O17" s="4" t="s">
        <x:v>22</x:v>
      </x:c>
      <x:c r="P17" s="7" t="str">
        <x:v>Tres frentes de 210 mm, separados 30 mm para agarre sin manijas. No fresar el frente ni agregar tiradores.</x:v>
      </x:c>
    </x:row>
    <x:row r="18" ht="30" hidden="0" customHeight="1">
      <x:c r="A18" s="4" t="s">
        <x:v>50</x:v>
      </x:c>
      <x:c r="B18" s="4" t="s">
        <x:v>41</x:v>
      </x:c>
      <x:c r="C18" s="4" t="s">
        <x:v>51</x:v>
      </x:c>
      <x:c r="D18" s="4" t="n">
        <x:v>6</x:v>
      </x:c>
      <x:c r="E18" s="4" t="n">
        <x:v>400</x:v>
      </x:c>
      <x:c r="F18" s="4" t="n">
        <x:v>155</x:v>
      </x:c>
      <x:c r="G18" s="4" t="n">
        <x:v>15</x:v>
      </x:c>
      <x:c r="H18" s="5" t="n">
        <x:f aca="0">D18*E18*F18/1000000</x:f>
        <x:v>0.372</x:v>
      </x:c>
      <x:c r="I18" s="4" t="s">
        <x:v>21</x:v>
      </x:c>
      <x:c r="J18" s="4" t="s">
        <x:v>21</x:v>
      </x:c>
      <x:c r="K18" s="4" t="s">
        <x:v>21</x:v>
      </x:c>
      <x:c r="L18" s="4" t="s">
        <x:v>21</x:v>
      </x:c>
      <x:c r="M18" s="6" t="n">
        <x:f aca="0">E18-IF(K18="2",2,IF(K18="0.45",0.45,0))-IF(L18="2",2,IF(L18="0.45",0.45,0))</x:f>
        <x:v>399.1</x:v>
      </x:c>
      <x:c r="N18" s="6" t="n">
        <x:f aca="0">F18-IF(I18="2",2,IF(I18="0.45",0.45,0))-IF(J18="2",2,IF(J18="0.45",0.45,0))</x:f>
        <x:v>154.10000000000002</x:v>
      </x:c>
      <x:c r="O18" s="4" t="s">
        <x:v>22</x:v>
      </x:c>
      <x:c r="P18" s="7" t="s">
        <x:v>52</x:v>
      </x:c>
    </x:row>
    <x:row r="19" ht="30" hidden="0" customHeight="1">
      <x:c r="A19" s="4" t="s">
        <x:v>53</x:v>
      </x:c>
      <x:c r="B19" s="4" t="s">
        <x:v>41</x:v>
      </x:c>
      <x:c r="C19" s="4" t="s">
        <x:v>54</x:v>
      </x:c>
      <x:c r="D19" s="4" t="n">
        <x:v>3</x:v>
      </x:c>
      <x:c r="E19" s="4" t="n">
        <x:v>793</x:v>
      </x:c>
      <x:c r="F19" s="4" t="n">
        <x:v>400</x:v>
      </x:c>
      <x:c r="G19" s="4" t="n">
        <x:v>15</x:v>
      </x:c>
      <x:c r="H19" s="5" t="n">
        <x:f aca="0">D19*E19*F19/1000000</x:f>
        <x:v>0.9516</x:v>
      </x:c>
      <x:c r="I19" s="4" t="s">
        <x:v>21</x:v>
      </x:c>
      <x:c r="J19" s="4" t="s">
        <x:v>21</x:v>
      </x:c>
      <x:c r="K19" s="4" t="s">
        <x:v>21</x:v>
      </x:c>
      <x:c r="L19" s="4" t="s">
        <x:v>21</x:v>
      </x:c>
      <x:c r="M19" s="6" t="n">
        <x:f aca="0">E19-IF(K19="2",2,IF(K19="0.45",0.45,0))-IF(L19="2",2,IF(L19="0.45",0.45,0))</x:f>
        <x:v>792.0999999999999</x:v>
      </x:c>
      <x:c r="N19" s="6" t="n">
        <x:f aca="0">F19-IF(I19="2",2,IF(I19="0.45",0.45,0))-IF(J19="2",2,IF(J19="0.45",0.45,0))</x:f>
        <x:v>399.1</x:v>
      </x:c>
      <x:c r="O19" s="4" t="s">
        <x:v>22</x:v>
      </x:c>
      <x:c r="P19" s="7" t="s">
        <x:v>55</x:v>
      </x:c>
    </x:row>
    <x:row r="20" ht="30" hidden="0" customHeight="1">
      <x:c r="A20" s="4" t="s">
        <x:v>56</x:v>
      </x:c>
      <x:c r="B20" s="4" t="s">
        <x:v>41</x:v>
      </x:c>
      <x:c r="C20" s="4" t="s">
        <x:v>57</x:v>
      </x:c>
      <x:c r="D20" s="4" t="n">
        <x:v>6</x:v>
      </x:c>
      <x:c r="E20" s="4" t="n">
        <x:v>763</x:v>
      </x:c>
      <x:c r="F20" s="4" t="n">
        <x:v>155</x:v>
      </x:c>
      <x:c r="G20" s="4" t="n">
        <x:v>15</x:v>
      </x:c>
      <x:c r="H20" s="5" t="n">
        <x:f aca="0">D20*E20*F20/1000000</x:f>
        <x:v>0.70959</x:v>
      </x:c>
      <x:c r="I20" s="4" t="s">
        <x:v>21</x:v>
      </x:c>
      <x:c r="J20" s="4" t="s">
        <x:v>21</x:v>
      </x:c>
      <x:c r="K20" s="4" t="s">
        <x:v>21</x:v>
      </x:c>
      <x:c r="L20" s="4" t="s">
        <x:v>21</x:v>
      </x:c>
      <x:c r="M20" s="6" t="n">
        <x:f aca="0">E20-IF(K20="2",2,IF(K20="0.45",0.45,0))-IF(L20="2",2,IF(L20="0.45",0.45,0))</x:f>
        <x:v>762.0999999999999</x:v>
      </x:c>
      <x:c r="N20" s="6" t="n">
        <x:f aca="0">F20-IF(I20="2",2,IF(I20="0.45",0.45,0))-IF(J20="2",2,IF(J20="0.45",0.45,0))</x:f>
        <x:v>154.10000000000002</x:v>
      </x:c>
      <x:c r="O20" s="4" t="s">
        <x:v>22</x:v>
      </x:c>
      <x:c r="P20" s="7" t="s">
        <x:v>58</x:v>
      </x:c>
    </x:row>
    <x:row r="21" ht="30" hidden="0" customHeight="1">
      <x:c r="A21" s="4" t="s">
        <x:v>59</x:v>
      </x:c>
      <x:c r="B21" s="4" t="s">
        <x:v>41</x:v>
      </x:c>
      <x:c r="C21" s="4" t="s">
        <x:v>60</x:v>
      </x:c>
      <x:c r="D21" s="4" t="n">
        <x:v>3</x:v>
      </x:c>
      <x:c r="E21" s="4" t="n">
        <x:v>793</x:v>
      </x:c>
      <x:c r="F21" s="4" t="n">
        <x:v>30</x:v>
      </x:c>
      <x:c r="G21" s="4" t="n">
        <x:v>15</x:v>
      </x:c>
      <x:c r="H21" s="5" t="n">
        <x:f aca="0">D21*E21*F21/1000000</x:f>
        <x:v>0.07137</x:v>
      </x:c>
      <x:c r="I21" s="4" t="s">
        <x:v>21</x:v>
      </x:c>
      <x:c r="J21" s="4" t="s">
        <x:v>21</x:v>
      </x:c>
      <x:c r="K21" s="4" t="s">
        <x:v>21</x:v>
      </x:c>
      <x:c r="L21" s="4" t="s">
        <x:v>21</x:v>
      </x:c>
      <x:c r="M21" s="6" t="n">
        <x:f aca="0">E21-IF(K21="2",2,IF(K21="0.45",0.45,0))-IF(L21="2",2,IF(L21="0.45",0.45,0))</x:f>
        <x:v>792.0999999999999</x:v>
      </x:c>
      <x:c r="N21" s="6" t="n">
        <x:f aca="0">F21-IF(I21="2",2,IF(I21="0.45",0.45,0))-IF(J21="2",2,IF(J21="0.45",0.45,0))</x:f>
        <x:v>29.1</x:v>
      </x:c>
      <x:c r="O21" s="4" t="s">
        <x:v>22</x:v>
      </x:c>
      <x:c r="P21" s="7" t="str">
        <x:v>Refuerzo de canto bajo la base, con 12 mm de holgura sobre el piso en el cajón inferior. Unión mecánica y adhesivo compatible por definir; no pegar directamente sobre canto decorativo como unión estructural.</x:v>
      </x:c>
    </x:row>
    <x:row r="22" ht="30" hidden="0" customHeight="1">
      <x:c r="A22" s="4" t="s">
        <x:v>61</x:v>
      </x:c>
      <x:c r="B22" s="4" t="s">
        <x:v>62</x:v>
      </x:c>
      <x:c r="C22" s="4" t="s">
        <x:v>63</x:v>
      </x:c>
      <x:c r="D22" s="4" t="n">
        <x:v>2</x:v>
      </x:c>
      <x:c r="E22" s="4" t="n">
        <x:v>1428</x:v>
      </x:c>
      <x:c r="F22" s="4" t="n">
        <x:v>92</x:v>
      </x:c>
      <x:c r="G22" s="4" t="n">
        <x:v>15</x:v>
      </x:c>
      <x:c r="H22" s="5" t="n">
        <x:f aca="0">D22*E22*F22/1000000</x:f>
        <x:v>0.262752</x:v>
      </x:c>
      <x:c r="I22" s="4" t="s">
        <x:v>21</x:v>
      </x:c>
      <x:c r="J22" s="4" t="s">
        <x:v>21</x:v>
      </x:c>
      <x:c r="K22" s="4" t="s">
        <x:v>21</x:v>
      </x:c>
      <x:c r="L22" s="4" t="s">
        <x:v>21</x:v>
      </x:c>
      <x:c r="M22" s="6" t="n">
        <x:f aca="0">E22-IF(K22="2",2,IF(K22="0.45",0.45,0))-IF(L22="2",2,IF(L22="0.45",0.45,0))</x:f>
        <x:v>1427.1</x:v>
      </x:c>
      <x:c r="N22" s="6" t="n">
        <x:f aca="0">F22-IF(I22="2",2,IF(I22="0.45",0.45,0))-IF(J22="2",2,IF(J22="0.45",0.45,0))</x:f>
        <x:v>91.1</x:v>
      </x:c>
      <x:c r="O22" s="4" t="s">
        <x:v>22</x:v>
      </x:c>
      <x:c r="P22" s="7" t="s">
        <x:v>64</x:v>
      </x:c>
    </x:row>
    <x:row r="23" ht="30" hidden="0" customHeight="1">
      <x:c r="A23" s="4" t="s">
        <x:v>65</x:v>
      </x:c>
      <x:c r="B23" s="4" t="s">
        <x:v>62</x:v>
      </x:c>
      <x:c r="C23" s="4" t="s">
        <x:v>66</x:v>
      </x:c>
      <x:c r="D23" s="4" t="n">
        <x:v>2</x:v>
      </x:c>
      <x:c r="E23" s="4" t="n">
        <x:v>1430</x:v>
      </x:c>
      <x:c r="F23" s="4" t="n">
        <x:v>80</x:v>
      </x:c>
      <x:c r="G23" s="4" t="n">
        <x:v>15</x:v>
      </x:c>
      <x:c r="H23" s="5" t="n">
        <x:f aca="0">D23*E23*F23/1000000</x:f>
        <x:v>0.2288</x:v>
      </x:c>
      <x:c r="I23" s="4" t="s">
        <x:v>21</x:v>
      </x:c>
      <x:c r="J23" s="4" t="s">
        <x:v>21</x:v>
      </x:c>
      <x:c r="K23" s="4" t="s">
        <x:v>21</x:v>
      </x:c>
      <x:c r="L23" s="4" t="s">
        <x:v>21</x:v>
      </x:c>
      <x:c r="M23" s="6" t="n">
        <x:f aca="0">E23-IF(K23="2",2,IF(K23="0.45",0.45,0))-IF(L23="2",2,IF(L23="0.45",0.45,0))</x:f>
        <x:v>1429.1</x:v>
      </x:c>
      <x:c r="N23" s="6" t="n">
        <x:f aca="0">F23-IF(I23="2",2,IF(I23="0.45",0.45,0))-IF(J23="2",2,IF(J23="0.45",0.45,0))</x:f>
        <x:v>79.1</x:v>
      </x:c>
      <x:c r="O23" s="4" t="s">
        <x:v>22</x:v>
      </x:c>
      <x:c r="P23" s="7" t="s">
        <x:v>67</x:v>
      </x:c>
    </x:row>
    <x:row r="24" ht="30" hidden="0" customHeight="1">
      <x:c r="A24" s="4" t="s">
        <x:v>68</x:v>
      </x:c>
      <x:c r="B24" s="4" t="s">
        <x:v>62</x:v>
      </x:c>
      <x:c r="C24" s="4" t="s">
        <x:v>69</x:v>
      </x:c>
      <x:c r="D24" s="4" t="n">
        <x:v>4</x:v>
      </x:c>
      <x:c r="E24" s="4" t="n">
        <x:v>400</x:v>
      </x:c>
      <x:c r="F24" s="4" t="n">
        <x:v>80</x:v>
      </x:c>
      <x:c r="G24" s="4" t="n">
        <x:v>15</x:v>
      </x:c>
      <x:c r="H24" s="5" t="n">
        <x:f aca="0">D24*E24*F24/1000000</x:f>
        <x:v>0.128</x:v>
      </x:c>
      <x:c r="I24" s="4" t="s">
        <x:v>21</x:v>
      </x:c>
      <x:c r="J24" s="4" t="s">
        <x:v>21</x:v>
      </x:c>
      <x:c r="K24" s="4" t="s">
        <x:v>21</x:v>
      </x:c>
      <x:c r="L24" s="4" t="s">
        <x:v>21</x:v>
      </x:c>
      <x:c r="M24" s="6" t="n">
        <x:f aca="0">E24-IF(K24="2",2,IF(K24="0.45",0.45,0))-IF(L24="2",2,IF(L24="0.45",0.45,0))</x:f>
        <x:v>399.1</x:v>
      </x:c>
      <x:c r="N24" s="6" t="n">
        <x:f aca="0">F24-IF(I24="2",2,IF(I24="0.45",0.45,0))-IF(J24="2",2,IF(J24="0.45",0.45,0))</x:f>
        <x:v>79.1</x:v>
      </x:c>
      <x:c r="O24" s="4" t="s">
        <x:v>22</x:v>
      </x:c>
      <x:c r="P24" s="7" t="s">
        <x:v>70</x:v>
      </x:c>
    </x:row>
    <x:row r="25" ht="30" hidden="0" customHeight="1">
      <x:c r="A25" s="4" t="s">
        <x:v>71</x:v>
      </x:c>
      <x:c r="B25" s="4" t="s">
        <x:v>25</x:v>
      </x:c>
      <x:c r="C25" s="4" t="s">
        <x:v>72</x:v>
      </x:c>
      <x:c r="D25" s="4" t="n">
        <x:v>4</x:v>
      </x:c>
      <x:c r="E25" s="4" t="n">
        <x:v>1755</x:v>
      </x:c>
      <x:c r="F25" s="4" t="n">
        <x:v>500.5</x:v>
      </x:c>
      <x:c r="G25" s="4" t="n">
        <x:v>15</x:v>
      </x:c>
      <x:c r="H25" s="5" t="n">
        <x:f aca="0">D25*E25*F25/1000000</x:f>
        <x:v>3.51351</x:v>
      </x:c>
      <x:c r="I25" s="4" t="s">
        <x:v>20</x:v>
      </x:c>
      <x:c r="J25" s="4" t="s">
        <x:v>20</x:v>
      </x:c>
      <x:c r="K25" s="4" t="s">
        <x:v>20</x:v>
      </x:c>
      <x:c r="L25" s="4" t="s">
        <x:v>20</x:v>
      </x:c>
      <x:c r="M25" s="6" t="n">
        <x:f aca="0">E25-IF(K25="2",2,IF(K25="0.45",0.45,0))-IF(L25="2",2,IF(L25="0.45",0.45,0))</x:f>
        <x:v>1751</x:v>
      </x:c>
      <x:c r="N25" s="6" t="n">
        <x:f aca="0">F25-IF(I25="2",2,IF(I25="0.45",0.45,0))-IF(J25="2",2,IF(J25="0.45",0.45,0))</x:f>
        <x:v>496.5</x:v>
      </x:c>
      <x:c r="O25" s="4" t="s">
        <x:v>22</x:v>
      </x:c>
      <x:c r="P25" s="7" t="s">
        <x:v>73</x:v>
      </x:c>
    </x:row>
    <x:row r="26" ht="30" hidden="0" customHeight="1">
      <x:c r="A26" s="4" t="s">
        <x:v>74</x:v>
      </x:c>
      <x:c r="B26" s="4" t="s">
        <x:v>41</x:v>
      </x:c>
      <x:c r="C26" s="4" t="s">
        <x:v>72</x:v>
      </x:c>
      <x:c r="D26" s="4" t="n">
        <x:v>2</x:v>
      </x:c>
      <x:c r="E26" s="4" t="n">
        <x:v>1002</x:v>
      </x:c>
      <x:c r="F26" s="4" t="n">
        <x:v>415.5</x:v>
      </x:c>
      <x:c r="G26" s="4" t="n">
        <x:v>15</x:v>
      </x:c>
      <x:c r="H26" s="5" t="n">
        <x:f aca="0">D26*E26*F26/1000000</x:f>
        <x:v>0.832662</x:v>
      </x:c>
      <x:c r="I26" s="4" t="s">
        <x:v>20</x:v>
      </x:c>
      <x:c r="J26" s="4" t="s">
        <x:v>20</x:v>
      </x:c>
      <x:c r="K26" s="4" t="s">
        <x:v>20</x:v>
      </x:c>
      <x:c r="L26" s="4" t="s">
        <x:v>20</x:v>
      </x:c>
      <x:c r="M26" s="6" t="n">
        <x:f aca="0">E26-IF(K26="2",2,IF(K26="0.45",0.45,0))-IF(L26="2",2,IF(L26="0.45",0.45,0))</x:f>
        <x:v>998</x:v>
      </x:c>
      <x:c r="N26" s="6" t="n">
        <x:f aca="0">F26-IF(I26="2",2,IF(I26="0.45",0.45,0))-IF(J26="2",2,IF(J26="0.45",0.45,0))</x:f>
        <x:v>411.5</x:v>
      </x:c>
      <x:c r="O26" s="4" t="s">
        <x:v>22</x:v>
      </x:c>
      <x:c r="P26" s="7" t="s">
        <x:v>75</x:v>
      </x:c>
    </x:row>
    <x:row r="27" ht="30" hidden="0" customHeight="1">
      <x:c r="A27" s="4" t="s">
        <x:v>76</x:v>
      </x:c>
      <x:c r="B27" s="4" t="s">
        <x:v>25</x:v>
      </x:c>
      <x:c r="C27" s="4" t="s">
        <x:v>77</x:v>
      </x:c>
      <x:c r="D27" s="4" t="n">
        <x:v>2</x:v>
      </x:c>
      <x:c r="E27" s="4" t="n">
        <x:v>1003</x:v>
      </x:c>
      <x:c r="F27" s="4" t="n">
        <x:v>518</x:v>
      </x:c>
      <x:c r="G27" s="4" t="n">
        <x:v>15</x:v>
      </x:c>
      <x:c r="H27" s="5" t="n">
        <x:f aca="0">D27*E27*F27/1000000</x:f>
        <x:v>1.039108</x:v>
      </x:c>
      <x:c r="I27" s="4" t="s">
        <x:v>20</x:v>
      </x:c>
      <x:c r="J27" s="4" t="s">
        <x:v>20</x:v>
      </x:c>
      <x:c r="K27" s="4" t="s">
        <x:v>20</x:v>
      </x:c>
      <x:c r="L27" s="4" t="s">
        <x:v>20</x:v>
      </x:c>
      <x:c r="M27" s="6" t="n">
        <x:f aca="0">E27-IF(K27="2",2,IF(K27="0.45",0.45,0))-IF(L27="2",2,IF(L27="0.45",0.45,0))</x:f>
        <x:v>999</x:v>
      </x:c>
      <x:c r="N27" s="6" t="n">
        <x:f aca="0">F27-IF(I27="2",2,IF(I27="0.45",0.45,0))-IF(J27="2",2,IF(J27="0.45",0.45,0))</x:f>
        <x:v>514</x:v>
      </x:c>
      <x:c r="O27" s="4" t="s">
        <x:v>22</x:v>
      </x:c>
      <x:c r="P27" s="7" t="s">
        <x:v>78</x:v>
      </x:c>
    </x:row>
    <x:row r="28" ht="30" hidden="0" customHeight="1">
      <x:c r="A28" s="4" t="s">
        <x:v>79</x:v>
      </x:c>
      <x:c r="B28" s="4" t="s">
        <x:v>41</x:v>
      </x:c>
      <x:c r="C28" s="4" t="s">
        <x:v>77</x:v>
      </x:c>
      <x:c r="D28" s="4" t="n">
        <x:v>1</x:v>
      </x:c>
      <x:c r="E28" s="4" t="n">
        <x:v>833</x:v>
      </x:c>
      <x:c r="F28" s="4" t="n">
        <x:v>518</x:v>
      </x:c>
      <x:c r="G28" s="4" t="n">
        <x:v>15</x:v>
      </x:c>
      <x:c r="H28" s="5" t="n">
        <x:f aca="0">D28*E28*F28/1000000</x:f>
        <x:v>0.431494</x:v>
      </x:c>
      <x:c r="I28" s="4" t="s">
        <x:v>20</x:v>
      </x:c>
      <x:c r="J28" s="4" t="s">
        <x:v>20</x:v>
      </x:c>
      <x:c r="K28" s="4" t="s">
        <x:v>20</x:v>
      </x:c>
      <x:c r="L28" s="4" t="s">
        <x:v>20</x:v>
      </x:c>
      <x:c r="M28" s="6" t="n">
        <x:f aca="0">E28-IF(K28="2",2,IF(K28="0.45",0.45,0))-IF(L28="2",2,IF(L28="0.45",0.45,0))</x:f>
        <x:v>829</x:v>
      </x:c>
      <x:c r="N28" s="6" t="n">
        <x:f aca="0">F28-IF(I28="2",2,IF(I28="0.45",0.45,0))-IF(J28="2",2,IF(J28="0.45",0.45,0))</x:f>
        <x:v>514</x:v>
      </x:c>
      <x:c r="O28" s="4" t="s">
        <x:v>22</x:v>
      </x:c>
      <x:c r="P28" s="7" t="s">
        <x:v>80</x:v>
      </x:c>
    </x:row>
    <x:row r="29" ht="30" hidden="0" customHeight="1">
      <x:c r="A29" s="4" t="s">
        <x:v>81</x:v>
      </x:c>
      <x:c r="B29" s="4" t="s">
        <x:v>29</x:v>
      </x:c>
      <x:c r="C29" s="4" t="s">
        <x:v>82</x:v>
      </x:c>
      <x:c r="D29" s="4" t="n">
        <x:v>2</x:v>
      </x:c>
      <x:c r="E29" s="4" t="n">
        <x:v>990</x:v>
      </x:c>
      <x:c r="F29" s="4" t="n">
        <x:v>80</x:v>
      </x:c>
      <x:c r="G29" s="4" t="n">
        <x:v>15</x:v>
      </x:c>
      <x:c r="H29" s="5" t="n">
        <x:f aca="0">D29*E29*F29/1000000</x:f>
        <x:v>0.1584</x:v>
      </x:c>
      <x:c r="I29" s="4" t="s">
        <x:v>21</x:v>
      </x:c>
      <x:c r="J29" s="4" t="s">
        <x:v>21</x:v>
      </x:c>
      <x:c r="K29" s="4" t="s">
        <x:v>21</x:v>
      </x:c>
      <x:c r="L29" s="4" t="s">
        <x:v>21</x:v>
      </x:c>
      <x:c r="M29" s="6" t="n">
        <x:f aca="0">E29-IF(K29="2",2,IF(K29="0.45",0.45,0))-IF(L29="2",2,IF(L29="0.45",0.45,0))</x:f>
        <x:v>989.0999999999999</x:v>
      </x:c>
      <x:c r="N29" s="6" t="n">
        <x:f aca="0">F29-IF(I29="2",2,IF(I29="0.45",0.45,0))-IF(J29="2",2,IF(J29="0.45",0.45,0))</x:f>
        <x:v>79.1</x:v>
      </x:c>
      <x:c r="O29" s="4" t="s">
        <x:v>22</x:v>
      </x:c>
      <x:c r="P29" s="7" t="str">
        <x:v>Refuerzo de canto bajo el piso de maletero. Definir unión mecánica y superficies de encolado; un canto decorativo no se considera unión estructural por sí solo.</x:v>
      </x:c>
    </x:row>
    <x:row r="30" ht="30" hidden="0" customHeight="1">
      <x:c r="A30" s="4" t="s">
        <x:v>83</x:v>
      </x:c>
      <x:c r="B30" s="4" t="s">
        <x:v>29</x:v>
      </x:c>
      <x:c r="C30" s="4" t="s">
        <x:v>82</x:v>
      </x:c>
      <x:c r="D30" s="4" t="n">
        <x:v>1</x:v>
      </x:c>
      <x:c r="E30" s="4" t="n">
        <x:v>820</x:v>
      </x:c>
      <x:c r="F30" s="4" t="n">
        <x:v>80</x:v>
      </x:c>
      <x:c r="G30" s="4" t="n">
        <x:v>15</x:v>
      </x:c>
      <x:c r="H30" s="5" t="n">
        <x:f aca="0">D30*E30*F30/1000000</x:f>
        <x:v>0.0656</x:v>
      </x:c>
      <x:c r="I30" s="4" t="s">
        <x:v>21</x:v>
      </x:c>
      <x:c r="J30" s="4" t="s">
        <x:v>21</x:v>
      </x:c>
      <x:c r="K30" s="4" t="s">
        <x:v>21</x:v>
      </x:c>
      <x:c r="L30" s="4" t="s">
        <x:v>21</x:v>
      </x:c>
      <x:c r="M30" s="6" t="n">
        <x:f aca="0">E30-IF(K30="2",2,IF(K30="0.45",0.45,0))-IF(L30="2",2,IF(L30="0.45",0.45,0))</x:f>
        <x:v>819.0999999999999</x:v>
      </x:c>
      <x:c r="N30" s="6" t="n">
        <x:f aca="0">F30-IF(I30="2",2,IF(I30="0.45",0.45,0))-IF(J30="2",2,IF(J30="0.45",0.45,0))</x:f>
        <x:v>79.1</x:v>
      </x:c>
      <x:c r="O30" s="4" t="s">
        <x:v>22</x:v>
      </x:c>
      <x:c r="P30" s="7" t="str">
        <x:v>Refuerzo central de maletero. Mismo criterio de unión mecánica y encolado compatible; mecanizado de bordes según taller.</x:v>
      </x:c>
    </x:row>
    <x:row r="31" ht="30" hidden="0" customHeight="1">
      <x:c r="A31" s="4" t="s">
        <x:v>84</x:v>
      </x:c>
      <x:c r="B31" s="4" t="s">
        <x:v>25</x:v>
      </x:c>
      <x:c r="C31" s="4" t="s">
        <x:v>85</x:v>
      </x:c>
      <x:c r="D31" s="4" t="n">
        <x:v>8</x:v>
      </x:c>
      <x:c r="E31" s="4" t="n">
        <x:v>990</x:v>
      </x:c>
      <x:c r="F31" s="4" t="n">
        <x:v>60</x:v>
      </x:c>
      <x:c r="G31" s="4" t="n">
        <x:v>15</x:v>
      </x:c>
      <x:c r="H31" s="5" t="n">
        <x:f aca="0">D31*E31*F31/1000000</x:f>
        <x:v>0.4752</x:v>
      </x:c>
      <x:c r="I31" s="4" t="s">
        <x:v>21</x:v>
      </x:c>
      <x:c r="J31" s="4" t="s">
        <x:v>21</x:v>
      </x:c>
      <x:c r="K31" s="4" t="s">
        <x:v>21</x:v>
      </x:c>
      <x:c r="L31" s="4" t="s">
        <x:v>21</x:v>
      </x:c>
      <x:c r="M31" s="6" t="n">
        <x:f aca="0">E31-IF(K31="2",2,IF(K31="0.45",0.45,0))-IF(L31="2",2,IF(L31="0.45",0.45,0))</x:f>
        <x:v>989.0999999999999</x:v>
      </x:c>
      <x:c r="N31" s="6" t="n">
        <x:f aca="0">F31-IF(I31="2",2,IF(I31="0.45",0.45,0))-IF(J31="2",2,IF(J31="0.45",0.45,0))</x:f>
        <x:v>59.099999999999994</x:v>
      </x:c>
      <x:c r="O31" s="4" t="s">
        <x:v>22</x:v>
      </x:c>
      <x:c r="P31" s="7" t="str">
        <x:v>Dos por repisa. Apoyar y fijar los extremos a los laterales según montaje. El cálculo de flecha no certifica adhesivo, tornillos ni apoyos.</x:v>
      </x:c>
    </x:row>
    <x:row r="33" ht="24" hidden="0" customHeight="1">
      <x:c r="C33" s="8" t="s">
        <x:v>86</x:v>
      </x:c>
      <x:c r="D33" s="8" t="n">
        <x:f aca="0">SUM(D7:D31)</x:f>
        <x:v>75</x:v>
      </x:c>
      <x:c r="G33" s="8" t="s">
        <x:v>87</x:v>
      </x:c>
      <x:c r="H33" s="9" t="n">
        <x:f aca="0">SUM(H7:H31)</x:f>
        <x:v>20.380585999999997</x:v>
      </x:c>
    </x:row>
    <x:row r="34" ht="24" hidden="0" customHeight="1">
      <x:c r="C34" s="4" t="str">
        <x:v>E/F: medidas terminadas. La veta sigue E en la propuesta de corte; confirmar continuidad visual. Plantillas y uniones se cierran antes de mecanizar.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6" topLeftCell="A7" activePane="bottomLeft" state="frozen"/>
    </x:sheetView>
  </x:sheetViews>
  <x:sheetFormatPr defaultColWidth="8.6796875" defaultRowHeight="15"/>
  <x:cols>
    <x:col min="1" max="1" width="20" hidden="0" customWidth="1"/>
    <x:col min="2" max="2" width="80" hidden="0" customWidth="1"/>
    <x:col min="3" max="3" width="14" hidden="0" customWidth="1"/>
    <x:col min="4" max="4" width="10" hidden="0" customWidth="1"/>
    <x:col min="5" max="5" width="16" hidden="0" customWidth="1"/>
    <x:col min="6" max="6" width="14" hidden="0" customWidth="1"/>
    <x:col min="7" max="7" width="12" hidden="0" customWidth="1"/>
    <x:col min="8" max="9" width="10" hidden="0" customWidth="1"/>
  </x:cols>
  <x:sheetData>
    <x:row r="2" ht="19.700000762939453" hidden="0">
      <x:c r="A2" s="1" t="s">
        <x:v>88</x:v>
      </x:c>
      <x:c r="H2" s="2" t="s">
        <x:v>89</x:v>
      </x:c>
      <x:c r="I2" s="2" t="n">
        <x:v>0.05</x:v>
      </x:c>
    </x:row>
    <x:row r="3" ht="15" hidden="0">
      <x:c r="A3" s="2" t="s">
        <x:v>90</x:v>
      </x:c>
    </x:row>
    <x:row r="4" ht="15" hidden="0">
      <x:c r="A4" s="2" t="s">
        <x:v>91</x:v>
      </x:c>
    </x:row>
    <x:row r="6" ht="36" hidden="0" customHeight="1">
      <x:c r="A6" s="3" t="s">
        <x:v>92</x:v>
      </x:c>
      <x:c r="B6" s="3" t="s">
        <x:v>93</x:v>
      </x:c>
      <x:c r="C6" s="3" t="s">
        <x:v>94</x:v>
      </x:c>
      <x:c r="D6" s="3" t="s">
        <x:v>95</x:v>
      </x:c>
      <x:c r="E6" s="3" t="s">
        <x:v>96</x:v>
      </x:c>
      <x:c r="F6" s="3" t="s">
        <x:v>97</x:v>
      </x:c>
      <x:c r="G6" s="3" t="s">
        <x:v>98</x:v>
      </x:c>
      <x:c r="H6" s="3" t="s">
        <x:v>99</x:v>
      </x:c>
    </x:row>
    <x:row r="7" ht="39.75" hidden="0" customHeight="1">
      <x:c r="A7" s="4" t="s">
        <x:v>100</x:v>
      </x:c>
      <x:c r="B7" s="7" t="s">
        <x:v>101</x:v>
      </x:c>
      <x:c r="C7" s="10" t="n">
        <x:f aca="0">SUMPRODUCT(Despiece!$D$7:$D$31,Despiece!$E$7:$E$31,(Despiece!$I$7:$I$31="2")+(Despiece!$J$7:$J$31="2"))/1000+SUMPRODUCT(Despiece!$D$7:$D$31,Despiece!$F$7:$F$31,(Despiece!$K$7:$K$31="2")+(Despiece!$L$7:$L$31="2"))/1000</x:f>
        <x:v>60.124</x:v>
      </x:c>
      <x:c r="D7" s="4" t="n">
        <x:f aca="0">SUMPRODUCT(Despiece!$D$7:$D$31,(Despiece!$I$7:$I$31="2")+(Despiece!$J$7:$J$31="2")+(Despiece!$K$7:$K$31="2")+(Despiece!$L$7:$L$31="2"))</x:f>
        <x:v>65</x:v>
      </x:c>
      <x:c r="E7" s="11" t="n">
        <x:f aca="0">D7*$I$2</x:f>
        <x:v>3.25</x:v>
      </x:c>
      <x:c r="F7" s="4" t="n">
        <x:f aca="0">ROUNDUP((C7+E7)/5,0)*5</x:f>
        <x:v>65</x:v>
      </x:c>
      <x:c r="G7" s="4" t="n">
        <x:v>100</x:v>
      </x:c>
      <x:c r="H7" s="4" t="n">
        <x:f aca="0">ROUNDUP(F7/G7,0)</x:f>
        <x:v>1</x:v>
      </x:c>
    </x:row>
    <x:row r="8" ht="39.75" hidden="0" customHeight="1">
      <x:c r="A8" s="4" t="s">
        <x:v>102</x:v>
      </x:c>
      <x:c r="B8" s="7" t="s">
        <x:v>103</x:v>
      </x:c>
      <x:c r="C8" s="10" t="n">
        <x:f aca="0">SUMPRODUCT(Despiece!$D$7:$D$31,Despiece!$E$7:$E$31,(Despiece!$I$7:$I$31="0.45")+(Despiece!$J$7:$J$31="0.45"))/1000+SUMPRODUCT(Despiece!$D$7:$D$31,Despiece!$F$7:$F$31,(Despiece!$K$7:$K$31="0.45")+(Despiece!$L$7:$L$31="0.45"))/1000</x:f>
        <x:v>123.956</x:v>
      </x:c>
      <x:c r="D8" s="4" t="n">
        <x:f aca="0">SUMPRODUCT(Despiece!$D$7:$D$31,(Despiece!$I$7:$I$31="0.45")+(Despiece!$J$7:$J$31="0.45")+(Despiece!$K$7:$K$31="0.45")+(Despiece!$L$7:$L$31="0.45"))</x:f>
        <x:v>235</x:v>
      </x:c>
      <x:c r="E8" s="11" t="n">
        <x:f aca="0">D8*$I$2</x:f>
        <x:v>11.75</x:v>
      </x:c>
      <x:c r="F8" s="4" t="n">
        <x:f aca="0">ROUNDUP((C8+E8)/5,0)*5</x:f>
        <x:v>140</x:v>
      </x:c>
      <x:c r="G8" s="4" t="n">
        <x:v>200</x:v>
      </x:c>
      <x:c r="H8" s="4" t="n">
        <x:f aca="0">ROUNDUP(F8/G8,0)</x:f>
        <x:v>1</x:v>
      </x:c>
    </x:row>
    <x:row r="10" ht="39.75" hidden="0" customHeight="1">
      <x:c r="A10" s="4" t="s">
        <x:v>104</x:v>
      </x:c>
      <x:c r="B10" s="7" t="s">
        <x:v>105</x:v>
      </x:c>
    </x:row>
    <x:row r="11" ht="39.75" hidden="0" customHeight="1">
      <x:c r="A11" s="4" t="s">
        <x:v>104</x:v>
      </x:c>
      <x:c r="B11" s="7" t="s">
        <x:v>106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6" topLeftCell="A7" activePane="bottomLeft" state="frozen"/>
    </x:sheetView>
  </x:sheetViews>
  <x:sheetFormatPr defaultColWidth="8.6796875" defaultRowHeight="15"/>
  <x:cols>
    <x:col min="1" max="1" width="24" hidden="0" customWidth="1"/>
    <x:col min="2" max="2" width="30" hidden="0" customWidth="1"/>
    <x:col min="3" max="3" width="12" hidden="0" customWidth="1"/>
    <x:col min="4" max="4" width="10" hidden="0" customWidth="1"/>
    <x:col min="5" max="6" width="16" hidden="0" customWidth="1"/>
    <x:col min="7" max="7" width="24" hidden="0" customWidth="1"/>
    <x:col min="8" max="8" width="92" hidden="0" customWidth="1"/>
    <x:col min="9" max="9" width="3" hidden="0" customWidth="1"/>
    <x:col min="10" max="10" width="70" hidden="0" customWidth="1"/>
  </x:cols>
  <x:sheetData>
    <x:row r="2" ht="19.700000762939453" hidden="0">
      <x:c r="A2" s="1" t="str">
        <x:v>Clóset definitivo: compras</x:v>
      </x:c>
    </x:row>
    <x:row r="3" ht="15" hidden="0">
      <x:c r="A3" s="2" t="str">
        <x:v>Subtotal parcial. Conserva precios y cantidades previstos; los importes por cotizar no se consideran cero.</x:v>
      </x:c>
    </x:row>
    <x:row r="4" ht="15" hidden="0">
      <x:c r="A4" s="2" t="str">
        <x:v>Diseño aprobado. Confirmar bisagras, fuerza de brazos, uniones y anclajes antes de comprar y perforar.</x:v>
      </x:c>
    </x:row>
    <x:row r="6" ht="36" hidden="0" customHeight="1">
      <x:c r="A6" s="3" t="s">
        <x:v>107</x:v>
      </x:c>
      <x:c r="B6" s="3" t="s">
        <x:v>108</x:v>
      </x:c>
      <x:c r="C6" s="3" t="s">
        <x:v>109</x:v>
      </x:c>
      <x:c r="D6" s="3" t="s">
        <x:v>110</x:v>
      </x:c>
      <x:c r="E6" s="3" t="s">
        <x:v>111</x:v>
      </x:c>
      <x:c r="F6" s="3" t="s">
        <x:v>112</x:v>
      </x:c>
      <x:c r="G6" s="3" t="s">
        <x:v>113</x:v>
      </x:c>
      <x:c r="H6" s="3" t="s">
        <x:v>114</x:v>
      </x:c>
      <x:c r="I6" s="3"/>
      <x:c r="J6" s="3" t="s">
        <x:v>115</x:v>
      </x:c>
    </x:row>
    <x:row r="7" ht="45" hidden="0" customHeight="1">
      <x:c r="A7" s="7" t="s">
        <x:v>116</x:v>
      </x:c>
      <x:c r="B7" s="7" t="s">
        <x:v>117</x:v>
      </x:c>
      <x:c r="C7" s="4" t="n">
        <x:v>3</x:v>
      </x:c>
      <x:c r="D7" s="4" t="s">
        <x:v>118</x:v>
      </x:c>
      <x:c r="E7" s="12" t="n">
        <x:v>9999</x:v>
      </x:c>
      <x:c r="F7" s="12" t="n">
        <x:f aca="0">IF(COUNT(C7,E7)=2,C7*E7,"Por cotizar")</x:f>
        <x:v>29997</x:v>
      </x:c>
      <x:c r="G7" s="7" t="s">
        <x:v>119</x:v>
      </x:c>
      <x:c r="H7" s="7" t="s">
        <x:v>120</x:v>
      </x:c>
      <x:c r="J7" s="7" t="s">
        <x:v>121</x:v>
      </x:c>
    </x:row>
    <x:row r="8" ht="75" hidden="0" customHeight="1">
      <x:c r="A8" s="7" t="s">
        <x:v>122</x:v>
      </x:c>
      <x:c r="B8" s="7" t="s">
        <x:v>123</x:v>
      </x:c>
      <x:c r="C8" s="4" t="n">
        <x:v>16</x:v>
      </x:c>
      <x:c r="D8" s="4" t="s">
        <x:v>118</x:v>
      </x:c>
      <x:c r="E8" s="12" t="n">
        <x:v>17750</x:v>
      </x:c>
      <x:c r="F8" s="12" t="n">
        <x:f aca="0">IF(COUNT(C8,E8)=2,C8*E8,"Por cotizar")</x:f>
        <x:v>284000</x:v>
      </x:c>
      <x:c r="G8" s="7" t="s">
        <x:v>124</x:v>
      </x:c>
      <x:c r="H8" s="7" t="str">
        <x:v>32 bisagras físicas previstas: 6 por hoja alta y 4 por hoja corta. Cierre lento, semiparche y cazoleta 35 × 11,8 mm. Confirmar número, base y distancia de taladro con la tabla para cada tamaño/peso. La capacidad nominal de 4 kg/par no se suma linealmente para certificar una hoja.</x:v>
      </x:c>
      <x:c r="J8" s="7" t="s">
        <x:v>125</x:v>
      </x:c>
    </x:row>
    <x:row r="9" ht="75" hidden="0" customHeight="1">
      <x:c r="A9" s="7" t="s">
        <x:v>126</x:v>
      </x:c>
      <x:c r="B9" s="7" t="s">
        <x:v>127</x:v>
      </x:c>
      <x:c r="C9" s="4" t="n">
        <x:v>6</x:v>
      </x:c>
      <x:c r="D9" s="4" t="s">
        <x:v>118</x:v>
      </x:c>
      <x:c r="E9" s="12" t="n">
        <x:v>7566</x:v>
      </x:c>
      <x:c r="F9" s="12" t="n">
        <x:f aca="0">IF(COUNT(C9,E9)=2,C9*E9,"Por cotizar")</x:f>
        <x:v>45396</x:v>
      </x:c>
      <x:c r="G9" s="7" t="s">
        <x:v>124</x:v>
      </x:c>
      <x:c r="H9" s="7" t="str">
        <x:v>12 bisagras físicas previstas, 4 por tapa. HBM306-01 parche, cierre común y cazoleta 35 × 11,8 mm. Confirmar montaje horizontal y compatibilidad con el brazo elegido. Las tapas cubren el canto superior. No perforar sin plantilla y prueba de una tapa.</x:v>
      </x:c>
      <x:c r="J9" s="7" t="s">
        <x:v>128</x:v>
      </x:c>
    </x:row>
    <x:row r="10" ht="75" hidden="0" customHeight="1">
      <x:c r="A10" s="7" t="s">
        <x:v>129</x:v>
      </x:c>
      <x:c r="B10" s="7" t="s">
        <x:v>130</x:v>
      </x:c>
      <x:c r="C10" s="4" t="n">
        <x:v>6</x:v>
      </x:c>
      <x:c r="D10" s="4" t="s">
        <x:v>131</x:v>
      </x:c>
      <x:c r="F10" s="12" t="str">
        <x:f aca="0">IF(COUNT(C10,E10)=2,C10*E10,"Por cotizar")</x:f>
        <x:v>Por cotizar</x:v>
      </x:c>
      <x:c r="G10" s="7" t="s">
        <x:v>132</x:v>
      </x:c>
      <x:c r="H10" s="7" t="str">
        <x:v>Dos brazos grises por tapa como previsión. Altura 518 mm; pesos RH15 estimados: laterales 5,07 kg y central 4,21 kg, sin accesorios. Fuerza y puntos de montaje pendientes de tabla del proveedor para esta geometría y peso real. No elegir 100/120/150 N por rangos generales. $9.126 corresponde al HEC060-03, no es cotización de otra fuerza.</x:v>
      </x:c>
      <x:c r="J10" s="7" t="str">
        <x:v>https://madecentro.com/products/hec060-03-brazo-neumatico-cierre-lento-60n; precio HEC060-03 aportado 26/10/2026. Fuerza aún no seleccionada.</x:v>
      </x:c>
    </x:row>
    <x:row r="11" ht="45" hidden="0" customHeight="1">
      <x:c r="A11" s="7" t="s">
        <x:v>133</x:v>
      </x:c>
      <x:c r="B11" s="7" t="s">
        <x:v>134</x:v>
      </x:c>
      <x:c r="C11" s="4" t="n">
        <x:v>9</x:v>
      </x:c>
      <x:c r="D11" s="4" t="s">
        <x:v>131</x:v>
      </x:c>
      <x:c r="F11" s="12" t="str">
        <x:f aca="0">IF(COUNT(C11,E11)=2,C11*E11,"Por cotizar")</x:f>
        <x:v>Por cotizar</x:v>
      </x:c>
      <x:c r="G11" s="7" t="s">
        <x:v>133</x:v>
      </x:c>
      <x:c r="H11" s="7" t="str">
        <x:v>Nueve agarres por elegir: seis puertas inferiores y tres tapas del maletero. Los tres cajones se abren por la separación de 30 mm entre frentes, sin manijas y sin sistema push. Confirmar el agarre de puertas y tapas antes de fijar los taladros.</x:v>
      </x:c>
      <x:c r="J11" s="7" t="s">
        <x:v>135</x:v>
      </x:c>
    </x:row>
    <x:row r="12" ht="30" hidden="0" customHeight="1">
      <x:c r="A12" s="7" t="s">
        <x:v>133</x:v>
      </x:c>
      <x:c r="B12" s="7" t="s">
        <x:v>136</x:v>
      </x:c>
      <x:c r="C12" s="4" t="n">
        <x:v>2</x:v>
      </x:c>
      <x:c r="D12" s="4" t="s">
        <x:v>137</x:v>
      </x:c>
      <x:c r="F12" s="12" t="str">
        <x:f aca="0">IF(COUNT(C12,E12)=2,C12*E12,"Por cotizar")</x:f>
        <x:v>Por cotizar</x:v>
      </x:c>
      <x:c r="G12" s="7" t="s">
        <x:v>138</x:v>
      </x:c>
      <x:c r="H12" s="7" t="str">
        <x:v>Longitud ilustrada 988 mm, dos tramos. Sección, carga y descuento por soportes deben corresponder a una referencia real; no son datos confirmados de suministro.</x:v>
      </x:c>
      <x:c r="J12" s="7" t="s">
        <x:v>139</x:v>
      </x:c>
    </x:row>
    <x:row r="13" ht="30" hidden="0" customHeight="1">
      <x:c r="A13" s="7" t="s">
        <x:v>133</x:v>
      </x:c>
      <x:c r="B13" s="7" t="s">
        <x:v>140</x:v>
      </x:c>
      <x:c r="C13" s="4" t="n">
        <x:v>1</x:v>
      </x:c>
      <x:c r="D13" s="4" t="s">
        <x:v>137</x:v>
      </x:c>
      <x:c r="F13" s="12" t="str">
        <x:f aca="0">IF(COUNT(C13,E13)=2,C13*E13,"Por cotizar")</x:f>
        <x:v>Por cotizar</x:v>
      </x:c>
      <x:c r="G13" s="7" t="s">
        <x:v>138</x:v>
      </x:c>
      <x:c r="H13" s="7" t="s">
        <x:v>141</x:v>
      </x:c>
      <x:c r="J13" s="7" t="s">
        <x:v>139</x:v>
      </x:c>
    </x:row>
    <x:row r="14" ht="30" hidden="0" customHeight="1">
      <x:c r="A14" s="7" t="s">
        <x:v>133</x:v>
      </x:c>
      <x:c r="B14" s="7" t="s">
        <x:v>142</x:v>
      </x:c>
      <x:c r="C14" s="4" t="n">
        <x:v>6</x:v>
      </x:c>
      <x:c r="D14" s="4" t="s">
        <x:v>131</x:v>
      </x:c>
      <x:c r="F14" s="12" t="str">
        <x:f aca="0">IF(COUNT(C14,E14)=2,C14*E14,"Por cotizar")</x:f>
        <x:v>Por cotizar</x:v>
      </x:c>
      <x:c r="G14" s="7" t="s">
        <x:v>138</x:v>
      </x:c>
      <x:c r="H14" s="7" t="s">
        <x:v>143</x:v>
      </x:c>
      <x:c r="J14" s="7" t="s">
        <x:v>144</x:v>
      </x:c>
    </x:row>
    <x:row r="15" ht="30" hidden="0" customHeight="1">
      <x:c r="A15" s="7" t="s">
        <x:v>145</x:v>
      </x:c>
      <x:c r="B15" s="7" t="s">
        <x:v>146</x:v>
      </x:c>
      <x:c r="C15" s="4" t="n">
        <x:v>8</x:v>
      </x:c>
      <x:c r="D15" s="4" t="s">
        <x:v>131</x:v>
      </x:c>
      <x:c r="F15" s="12" t="str">
        <x:f aca="0">IF(COUNT(C15,E15)=2,C15*E15,"Por cotizar")</x:f>
        <x:v>Por cotizar</x:v>
      </x:c>
      <x:c r="G15" s="7" t="s">
        <x:v>145</x:v>
      </x:c>
      <x:c r="H15" s="7" t="s">
        <x:v>147</x:v>
      </x:c>
      <x:c r="J15" s="7" t="s">
        <x:v>148</x:v>
      </x:c>
    </x:row>
    <x:row r="16" ht="75" hidden="0" customHeight="1">
      <x:c r="A16" s="7" t="s">
        <x:v>145</x:v>
      </x:c>
      <x:c r="B16" s="7" t="s">
        <x:v>149</x:v>
      </x:c>
      <x:c r="D16" s="4" t="s">
        <x:v>150</x:v>
      </x:c>
      <x:c r="F16" s="12" t="str">
        <x:f aca="0">IF(COUNT(C16,E16)=2,C16*E16,"Por cotizar")</x:f>
        <x:v>Por cotizar</x:v>
      </x:c>
      <x:c r="G16" s="7" t="str">
        <x:v>Previsión de montaje</x:v>
      </x:c>
      <x:c r="H16" s="7" t="str">
        <x:v>Anclaje lateral previsto en cuatro niveles y dos puntos por nivel (16 fijaciones). Calzos ajustados a la separación real, sin forzar el tablero. Chazo, tornillo y capacidad dependen del muro. Divisores trabados por pisos, tapas y travesaños. Sin carga en cielo falso.</x:v>
      </x:c>
      <x:c r="J16" s="7" t="s">
        <x:v>151</x:v>
      </x:c>
    </x:row>
    <x:row r="17" ht="45" hidden="0" customHeight="1">
      <x:c r="A17" s="7" t="s">
        <x:v>152</x:v>
      </x:c>
      <x:c r="B17" s="7" t="s">
        <x:v>153</x:v>
      </x:c>
      <x:c r="C17" s="4" t="n">
        <x:v>5</x:v>
      </x:c>
      <x:c r="D17" s="4" t="s">
        <x:v>154</x:v>
      </x:c>
      <x:c r="E17" s="12" t="n">
        <x:v>365872</x:v>
      </x:c>
      <x:c r="F17" s="12" t="n">
        <x:f aca="0">IF(COUNT(C17,E17)=2,C17*E17,"Por cotizar")</x:f>
        <x:v>1829360</x:v>
      </x:c>
      <x:c r="G17" s="7" t="s">
        <x:v>155</x:v>
      </x:c>
      <x:c r="H17" s="7" t="s">
        <x:v>156</x:v>
      </x:c>
      <x:c r="J17" s="7" t="s">
        <x:v>157</x:v>
      </x:c>
    </x:row>
    <x:row r="18" ht="30" hidden="0" customHeight="1">
      <x:c r="A18" s="7" t="s">
        <x:v>158</x:v>
      </x:c>
      <x:c r="B18" s="7" t="s">
        <x:v>159</x:v>
      </x:c>
      <x:c r="C18" s="4" t="n">
        <x:f aca="0">ROUNDUP(Cantos!F7/Cantos!G7,0)</x:f>
        <x:v>1</x:v>
      </x:c>
      <x:c r="D18" s="4" t="s">
        <x:v>160</x:v>
      </x:c>
      <x:c r="E18" s="12" t="n">
        <x:v>531600</x:v>
      </x:c>
      <x:c r="F18" s="12" t="n">
        <x:f aca="0">IF(COUNT(C18,E18)=2,C18*E18,"Por cotizar")</x:f>
        <x:v>531600</x:v>
      </x:c>
      <x:c r="G18" s="7" t="s">
        <x:v>155</x:v>
      </x:c>
      <x:c r="H18" s="7" t="s">
        <x:v>161</x:v>
      </x:c>
      <x:c r="J18" s="7" t="s">
        <x:v>162</x:v>
      </x:c>
    </x:row>
    <x:row r="19" ht="30" hidden="0" customHeight="1">
      <x:c r="A19" s="7" t="s">
        <x:v>163</x:v>
      </x:c>
      <x:c r="B19" s="7" t="s">
        <x:v>164</x:v>
      </x:c>
      <x:c r="C19" s="4" t="n">
        <x:f aca="0">ROUNDUP(Cantos!F8/Cantos!G8,0)</x:f>
        <x:v>1</x:v>
      </x:c>
      <x:c r="D19" s="4" t="s">
        <x:v>160</x:v>
      </x:c>
      <x:c r="E19" s="12" t="n">
        <x:v>285600</x:v>
      </x:c>
      <x:c r="F19" s="12" t="n">
        <x:f aca="0">IF(COUNT(C19,E19)=2,C19*E19,"Por cotizar")</x:f>
        <x:v>285600</x:v>
      </x:c>
      <x:c r="G19" s="7" t="s">
        <x:v>155</x:v>
      </x:c>
      <x:c r="H19" s="7" t="s">
        <x:v>161</x:v>
      </x:c>
      <x:c r="J19" s="7" t="s">
        <x:v>162</x:v>
      </x:c>
    </x:row>
    <x:row r="20" ht="30" hidden="0" customHeight="1">
      <x:c r="A20" s="7" t="s">
        <x:v>145</x:v>
      </x:c>
      <x:c r="B20" s="7" t="s">
        <x:v>165</x:v>
      </x:c>
      <x:c r="D20" s="4" t="s">
        <x:v>150</x:v>
      </x:c>
      <x:c r="F20" s="12" t="str">
        <x:f aca="0">IF(COUNT(C20,E20)=2,C20*E20,"Por cotizar")</x:f>
        <x:v>Por cotizar</x:v>
      </x:c>
      <x:c r="G20" s="7" t="s">
        <x:v>145</x:v>
      </x:c>
      <x:c r="H20" s="7" t="str">
        <x:v>Cotizar uniones de la estructura y refuerzos. Tapas superiores: previsión de 12 escuadras/apoyos metálicos (4 por tapa), sujetos al montaje final. Definir apoyo de repisas y extremos de listones. No justificar una unión resistente pegando sobre canto decorativo. Tornillos de herrajes incluidos no cubren este lote.</x:v>
      </x:c>
      <x:c r="J20" s="7" t="s">
        <x:v>166</x:v>
      </x:c>
    </x:row>
    <x:row r="21" ht="30" hidden="0" customHeight="1">
      <x:c r="A21" s="7" t="s">
        <x:v>167</x:v>
      </x:c>
      <x:c r="B21" s="7" t="s">
        <x:v>168</x:v>
      </x:c>
      <x:c r="D21" s="4" t="s">
        <x:v>169</x:v>
      </x:c>
      <x:c r="F21" s="12" t="str">
        <x:f aca="0">IF(COUNT(C21,E21)=2,C21*E21,"Por cotizar")</x:f>
        <x:v>Por cotizar</x:v>
      </x:c>
      <x:c r="G21" s="7" t="s">
        <x:v>167</x:v>
      </x:c>
      <x:c r="H21" s="7" t="s">
        <x:v>170</x:v>
      </x:c>
      <x:c r="J21" s="7" t="s">
        <x:v>171</x:v>
      </x:c>
    </x:row>
    <x:row r="23" ht="24" hidden="0" customHeight="1">
      <x:c r="A23" s="8" t="s">
        <x:v>172</x:v>
      </x:c>
      <x:c r="F23" s="12" t="n">
        <x:f aca="0">SUM(F7:F21)</x:f>
        <x:v>3005953</x:v>
      </x:c>
      <x:c r="H23" s="7" t="str">
        <x:v>Parcial: quedan brazos, 9 agarres, barras, apoyos, anclajes, uniones y servicios. Cinco láminas corresponden al clóset por separado. No descontar ahorro conjunto sin igual acabado y plano aprobado.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6" topLeftCell="A7" activePane="bottomLeft" state="frozen"/>
    </x:sheetView>
  </x:sheetViews>
  <x:sheetFormatPr defaultColWidth="8.6796875" defaultRowHeight="15"/>
  <x:cols>
    <x:col min="1" max="1" width="14" hidden="0" customWidth="1"/>
    <x:col min="2" max="2" width="28" hidden="0" customWidth="1"/>
    <x:col min="3" max="3" width="110" hidden="0" customWidth="1"/>
    <x:col min="4" max="4" width="46" hidden="0" customWidth="1"/>
  </x:cols>
  <x:sheetData>
    <x:row r="2" ht="19.700000762939453" hidden="0">
      <x:c r="A2" s="1" t="str">
        <x:v>Clóset definitivo: fabricación y montaje</x:v>
      </x:c>
    </x:row>
    <x:row r="3" ht="15" hidden="0">
      <x:c r="A3" s="2" t="str">
        <x:v>Opción 2 elegida como definitiva por el usuario. Revisión de consolidación: 27/10/2026.</x:v>
      </x:c>
    </x:row>
    <x:row r="4" ht="15" hidden="0">
      <x:c r="A4" s="2" t="str">
        <x:v>Diseño y distribución cerrados. Para liberar fabricación: confirmar herrajes, uniones, anclajes y acabado.</x:v>
      </x:c>
    </x:row>
    <x:row r="6" ht="36" hidden="0" customHeight="1">
      <x:c r="A6" s="3" t="s">
        <x:v>113</x:v>
      </x:c>
      <x:c r="B6" s="3" t="s">
        <x:v>173</x:v>
      </x:c>
      <x:c r="C6" s="3" t="s">
        <x:v>174</x:v>
      </x:c>
      <x:c r="D6" s="3" t="s">
        <x:v>175</x:v>
      </x:c>
    </x:row>
    <x:row r="7" ht="39.75" hidden="0" customHeight="1">
      <x:c r="A7" s="4" t="s">
        <x:v>119</x:v>
      </x:c>
      <x:c r="B7" s="7" t="s">
        <x:v>176</x:v>
      </x:c>
      <x:c r="C7" s="7" t="s">
        <x:v>177</x:v>
      </x:c>
      <x:c r="D7" s="7" t="s">
        <x:v>178</x:v>
      </x:c>
    </x:row>
    <x:row r="8" ht="45" hidden="0" customHeight="1">
      <x:c r="A8" s="4" t="s">
        <x:v>179</x:v>
      </x:c>
      <x:c r="B8" s="7" t="s">
        <x:v>180</x:v>
      </x:c>
      <x:c r="C8" s="7" t="s">
        <x:v>181</x:v>
      </x:c>
      <x:c r="D8" s="7" t="s">
        <x:v>182</x:v>
      </x:c>
    </x:row>
    <x:row r="9" ht="39.75" hidden="0" customHeight="1">
      <x:c r="A9" s="4" t="s">
        <x:v>183</x:v>
      </x:c>
      <x:c r="B9" s="7" t="s">
        <x:v>184</x:v>
      </x:c>
      <x:c r="C9" s="7" t="s">
        <x:v>185</x:v>
      </x:c>
      <x:c r="D9" s="7" t="s">
        <x:v>186</x:v>
      </x:c>
    </x:row>
    <x:row r="10" ht="90" hidden="0" customHeight="1">
      <x:c r="A10" s="4" t="str">
        <x:v>Modelado</x:v>
      </x:c>
      <x:c r="B10" s="7" t="s">
        <x:v>187</x:v>
      </x:c>
      <x:c r="C10" s="7" t="str">
        <x:v>75 piezas RH15, incluidos 17 refuerzos. Las flechas del auditor son estimaciones con E=2000 MPa y fluencia ×2. La base de cajón supone colaboración perfecta entre tablero y listón: no valida la unión real. El cálculo no acredita una carga de uso ni reemplaza definir apoyos, adhesivo y tornillos. Las tapas superiores también reciben esfuerzos de bisagras.</x:v>
      </x:c>
      <x:c r="D10" s="7" t="s">
        <x:v>188</x:v>
      </x:c>
    </x:row>
    <x:row r="11" ht="45" hidden="0" customHeight="1">
      <x:c r="A11" s="4" t="str">
        <x:v>Previsión</x:v>
      </x:c>
      <x:c r="B11" s="7" t="s">
        <x:v>189</x:v>
      </x:c>
      <x:c r="C11" s="7" t="str">
        <x:v>Anclaje a paredes laterales como preferencia. Los calzos se ajustan a cada punto, sin asumir holgura constante. Las 16 fijaciones son una previsión; producto y capacidad según muro real. Divisores trabados por pisos, tapas y travesaños; sin carga en cielo falso.</x:v>
      </x:c>
      <x:c r="D11" s="7" t="s">
        <x:v>190</x:v>
      </x:c>
    </x:row>
    <x:row r="12" ht="45" hidden="0" customHeight="1">
      <x:c r="A12" s="4" t="s">
        <x:v>179</x:v>
      </x:c>
      <x:c r="B12" s="7" t="s">
        <x:v>191</x:v>
      </x:c>
      <x:c r="C12" s="7" t="s">
        <x:v>192</x:v>
      </x:c>
      <x:c r="D12" s="7" t="s">
        <x:v>193</x:v>
      </x:c>
    </x:row>
    <x:row r="13" ht="60" hidden="0" customHeight="1">
      <x:c r="A13" s="4" t="s">
        <x:v>179</x:v>
      </x:c>
      <x:c r="B13" s="7" t="s">
        <x:v>194</x:v>
      </x:c>
      <x:c r="C13" s="7" t="s">
        <x:v>195</x:v>
      </x:c>
      <x:c r="D13" s="7" t="s">
        <x:v>196</x:v>
      </x:c>
    </x:row>
    <x:row r="14" ht="39.75" hidden="0" customHeight="1">
      <x:c r="A14" s="4" t="s">
        <x:v>197</x:v>
      </x:c>
      <x:c r="B14" s="7" t="s">
        <x:v>198</x:v>
      </x:c>
      <x:c r="C14" s="7" t="str">
        <x:v>HBM306-01 parche candidata. Cuatro bisagras por tapa como previsión. Confirmar compatibilidad con el brazo, tabla por peso/tamaño y plantilla para RH15. La unión de cada tapa superior a los laterales debe transmitir esfuerzos de puerta; prever cuatro apoyos metálicos por tapa.</x:v>
      </x:c>
      <x:c r="D14" s="7" t="s">
        <x:v>199</x:v>
      </x:c>
    </x:row>
    <x:row r="15" ht="39.75" hidden="0" customHeight="1">
      <x:c r="A15" s="4" t="s">
        <x:v>197</x:v>
      </x:c>
      <x:c r="B15" s="7" t="s">
        <x:v>200</x:v>
      </x:c>
      <x:c r="C15" s="7" t="str">
        <x:v>Seis brazos grises previstos, dos por tapa de 518 mm. Laterales ≈5,07 kg y central ≈4,21 kg, sin accesorios. Seleccionar fuerza por tabla vigente, altura, peso real y puntos de montaje. Retirada la propuesta 120/100 N basada en rangos generales.</x:v>
      </x:c>
      <x:c r="D15" s="7" t="s">
        <x:v>201</x:v>
      </x:c>
    </x:row>
    <x:row r="16" ht="39.75" hidden="0" customHeight="1">
      <x:c r="A16" s="4" t="s">
        <x:v>197</x:v>
      </x:c>
      <x:c r="B16" s="7" t="s">
        <x:v>202</x:v>
      </x:c>
      <x:c r="C16" s="7" t="str">
        <x:v>Cuatro hojas de 1755 × 500,5 × 15 y dos de 1002 × 415,5 × 15. Pesos estimados 8,56 y 4,06 kg. Mantener 32 bisagras como previsión hasta validar cantidad y montaje por tabla del proveedor; no sumar capacidades de pares.</x:v>
      </x:c>
      <x:c r="D16" s="7" t="s">
        <x:v>203</x:v>
      </x:c>
    </x:row>
    <x:row r="17" ht="39.75" hidden="0" customHeight="1">
      <x:c r="A17" s="4" t="s">
        <x:v>179</x:v>
      </x:c>
      <x:c r="B17" s="7" t="str">
        <x:v>Agarre de frentes</x:v>
      </x:c>
      <x:c r="C17" s="7" t="str">
        <x:v>Nueve agarres por cotizar para seis hojas y tres tapas. Los tres cajones quedan sin manijas, con separación de 30 mm para introducir los dedos. No requieren riel push para abrirse por ese espacio.</x:v>
      </x:c>
      <x:c r="D17" s="7" t="s">
        <x:v>204</x:v>
      </x:c>
    </x:row>
    <x:row r="18" ht="39.75" hidden="0" customHeight="1">
      <x:c r="A18" s="4" t="s">
        <x:v>205</x:v>
      </x:c>
      <x:c r="B18" s="7" t="s">
        <x:v>206</x:v>
      </x:c>
      <x:c r="C18" s="7" t="s">
        <x:v>207</x:v>
      </x:c>
      <x:c r="D18" s="7" t="s">
        <x:v>208</x:v>
      </x:c>
    </x:row>
    <x:row r="19" ht="39.75" hidden="0" customHeight="1">
      <x:c r="A19" s="4" t="s">
        <x:v>209</x:v>
      </x:c>
      <x:c r="B19" s="7" t="s">
        <x:v>210</x:v>
      </x:c>
      <x:c r="C19" s="7" t="s">
        <x:v>211</x:v>
      </x:c>
      <x:c r="D19" s="7" t="s">
        <x:v>212</x:v>
      </x:c>
    </x:row>
    <x:row r="20" ht="39.75" hidden="0" customHeight="1">
      <x:c r="A20" s="4" t="s">
        <x:v>209</x:v>
      </x:c>
      <x:c r="B20" s="7" t="s">
        <x:v>213</x:v>
      </x:c>
      <x:c r="C20" s="7" t="str">
        <x:v>Se conservan dimensiones terminadas, cantos y sentido de veta E propuesto. Confirmar acabado/color, canteado de piezas estrechas, superficies de unión y plano de corte. Cantos en superficies que deban encolarse se resuelven con el taller, antes de cortar.</x:v>
      </x:c>
      <x:c r="D20" s="7" t="s">
        <x:v>214</x:v>
      </x:c>
    </x:row>
    <x:row r="21" ht="39.75" hidden="0" customHeight="1">
      <x:c r="A21" s="4" t="s">
        <x:v>209</x:v>
      </x:c>
      <x:c r="B21" s="7" t="s">
        <x:v>215</x:v>
      </x:c>
      <x:c r="C21" s="7" t="str">
        <x:v>Subtotal parcial con precios de referencia. Restan brazos, nueve agarres, barras, soportes, apoyos, anclajes, uniones y servicios. El clóset usa cinco láminas por separado. Con cocina final y el mismo tablero/acabado se encontró encaje conjunto en ocho láminas en vez de nueve; sujeto a plano aprobado.</x:v>
      </x:c>
      <x:c r="D21" s="7" t="s">
        <x:v>216</x:v>
      </x:c>
    </x:row>
  </x:sheetData>
  <x:pageMargins left="0.7" right="0.7" top="0.75" bottom="0.75" header="0.3" footer="0.3"/>
</x:worksheet>
</file>