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9d343811e94b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tes" sheetId="1" r:id="R6b5593c1329440f1"/>
    <x:sheet xmlns:r="http://schemas.openxmlformats.org/officeDocument/2006/relationships" name="Instrucciones" sheetId="2" r:id="R34c805e8be5f4c03"/>
    <x:sheet xmlns:r="http://schemas.openxmlformats.org/officeDocument/2006/relationships" name="Control del pedido" sheetId="3" r:id="Rcb07d4eb49e749e0"/>
    <x:sheet xmlns:r="http://schemas.openxmlformats.org/officeDocument/2006/relationships" name="Recepción y canteo" sheetId="4" r:id="R95b08080002f4800"/>
  </x:sheets>
</x:workbook>
</file>

<file path=xl/sharedStrings.xml><?xml version="1.0" encoding="utf-8"?>
<x:sst xmlns:x="http://schemas.openxmlformats.org/spreadsheetml/2006/main">
  <x:si>
    <x:t xml:space="preserve">Ancho (mm)</x:t>
  </x:si>
  <x:si>
    <x:t xml:space="preserve">Alto (mm)</x:t>
  </x:si>
  <x:si>
    <x:t xml:space="preserve">Cantidad</x:t>
  </x:si>
  <x:si>
    <x:t xml:space="preserve">Descripción</x:t>
  </x:si>
  <x:si>
    <x:t xml:space="preserve">Veta</x:t>
  </x:si>
  <x:si>
    <x:t xml:space="preserve">Canto Superior</x:t>
  </x:si>
  <x:si>
    <x:t xml:space="preserve">Canto Inferior</x:t>
  </x:si>
  <x:si>
    <x:t xml:space="preserve">Canto Izquierdo</x:t>
  </x:si>
  <x:si>
    <x:t xml:space="preserve">Canto Derecho</x:t>
  </x:si>
  <x:si>
    <x:t xml:space="preserve">Servicios</x:t>
  </x:si>
  <x:si>
    <x:t xml:space="preserve">PLANTILLA DE CORTES - GUÍA DE SERVICIOS</x:t>
  </x:si>
  <x:si>
    <x:t xml:space="preserve">═══════════════════════════════════════════════════════════════════</x:t>
  </x:si>
  <x:si>
    <x:t xml:space="preserve">CÓMO USAR ESTA PLANTILLA:</x:t>
  </x:si>
  <x:si>
    <x:t xml:space="preserve">1. Ve a la hoja "Cortes"</x:t>
  </x:si>
  <x:si>
    <x:t xml:space="preserve">2. Llena las columnas A-I con medidas, veta y cantos</x:t>
  </x:si>
  <x:si>
    <x:t xml:space="preserve">3. En la columna J "Servicios" escribe lo que necesitas en texto libre</x:t>
  </x:si>
  <x:si>
    <x:t xml:space="preserve">4. La IA interpretará automáticamente los servicios al importar</x:t>
  </x:si>
  <x:si>
    <x:t xml:space="preserve">5. Guarda el archivo y súbelo a la aplicación</x:t>
  </x:si>
  <x:si>
    <x:t xml:space="preserve">COLUMNAS BÁSICAS (A-E):</x:t>
  </x:si>
  <x:si>
    <x:t xml:space="preserve">• Ancho (mm)    →  Máximo 2420 mm (área útil de corte)</x:t>
  </x:si>
  <x:si>
    <x:t xml:space="preserve">• Alto (mm)     →  Máximo 2130 mm (área útil de corte)</x:t>
  </x:si>
  <x:si>
    <x:t xml:space="preserve">• Cantidad      →  Número de piezas iguales (mínimo 1)</x:t>
  </x:si>
  <x:si>
    <x:t xml:space="preserve">• Descripción   →  Nombre o referencia de la pieza</x:t>
  </x:si>
  <x:si>
    <x:t xml:space="preserve">• Veta          →  Horizontal o Vertical (usa el desplegable ▼)</x:t>
  </x:si>
  <x:si>
    <x:t xml:space="preserve">CANTOS (Columnas F-I) - Usa el desplegable:</x:t>
  </x:si>
  <x:si>
    <x:t xml:space="preserve">▼ Blanco</x:t>
  </x:si>
  <x:si>
    <x:t xml:space="preserve">▼ Negro</x:t>
  </x:si>
  <x:si>
    <x:t xml:space="preserve">▼ Madera clara</x:t>
  </x:si>
  <x:si>
    <x:t xml:space="preserve">▼ Madera oscura</x:t>
  </x:si>
  <x:si>
    <x:t xml:space="preserve">▼ Gris</x:t>
  </x:si>
  <x:si>
    <x:t xml:space="preserve">▼ (vacío = sin canto)</x:t>
  </x:si>
  <x:si>
    <x:t xml:space="preserve">COLUMNA SERVICIOS (J) - Texto libre:</x:t>
  </x:si>
  <x:si>
    <x:t xml:space="preserve">Escribe los servicios que necesitas separados por coma o "+".</x:t>
  </x:si>
  <x:si>
    <x:t xml:space="preserve">La IA interpretará automáticamente lo que escribas.</x:t>
  </x:si>
  <x:si>
    <x:t xml:space="preserve">─────────────────────────────────────────────────────────────────</x:t>
  </x:si>
  <x:si>
    <x:t xml:space="preserve">1.  PERFORACIÓN BISAGRA</x:t>
  </x:si>
  <x:si>
    <x:t xml:space="preserve">Perforaciones para bisagras de puertas.</x:t>
  </x:si>
  <x:si>
    <x:t xml:space="preserve">Indica la cantidad y en qué dimensión van.</x:t>
  </x:si>
  <x:si>
    <x:t xml:space="preserve">Ejemplo: "Perforación x4 en alto"</x:t>
  </x:si>
  <x:si>
    <x:t xml:space="preserve">Ejemplo: "Bisagra x2"</x:t>
  </x:si>
  <x:si>
    <x:t xml:space="preserve">Ejemplo: "Perforación x6 en ancho"</x:t>
  </x:si>
  <x:si>
    <x:t xml:space="preserve">2.  RANURA FONDO</x:t>
  </x:si>
  <x:si>
    <x:t xml:space="preserve">Ranura para insertar el fondo del mueble.</x:t>
  </x:si>
  <x:si>
    <x:t xml:space="preserve">Opciones de grosor: 3mm o 6mm. Indica el lado.</x:t>
  </x:si>
  <x:si>
    <x:t xml:space="preserve">Ejemplo: "Ranura fondo 6mm en ancho"</x:t>
  </x:si>
  <x:si>
    <x:t xml:space="preserve">Ejemplo: "Ranura 3mm"</x:t>
  </x:si>
  <x:si>
    <x:t xml:space="preserve">Ejemplo: "Ranura fondo en alto"</x:t>
  </x:si>
  <x:si>
    <x:t xml:space="preserve">3.  NARIZ (engrosado de mesón)</x:t>
  </x:si>
  <x:si>
    <x:t xml:space="preserve">Engrosado para mesones y superficies.</x:t>
  </x:si>
  <x:si>
    <x:t xml:space="preserve">Notación de lados:</x:t>
  </x:si>
  <x:si>
    <x:t xml:space="preserve">1L = 1 lado largo (superior)</x:t>
  </x:si>
  <x:si>
    <x:t xml:space="preserve">2L = 2 lados largos (superior + inferior)</x:t>
  </x:si>
  <x:si>
    <x:t xml:space="preserve">1A = 1 lado ancho (izquierdo)</x:t>
  </x:si>
  <x:si>
    <x:t xml:space="preserve">2A = 2 lados anchos (izquierdo + derecho)</x:t>
  </x:si>
  <x:si>
    <x:t xml:space="preserve">4L = los 4 lados</x:t>
  </x:si>
  <x:si>
    <x:t xml:space="preserve">Opcionalmente indica el ancho en mm (default: 70mm).</x:t>
  </x:si>
  <x:si>
    <x:t xml:space="preserve">Ejemplo: "Nariz 2L 70mm"</x:t>
  </x:si>
  <x:si>
    <x:t xml:space="preserve">Ejemplo: "Nariz 1L + 1A"</x:t>
  </x:si>
  <x:si>
    <x:t xml:space="preserve">Ejemplo: "Nariz 4L 100mm"</x:t>
  </x:si>
  <x:si>
    <x:t xml:space="preserve">4.  SANDWICH (doble grosor)</x:t>
  </x:si>
  <x:si>
    <x:t xml:space="preserve">Duplica el grosor de la pieza pegando dos tableros.</x:t>
  </x:si>
  <x:si>
    <x:t xml:space="preserve">Solo escribe "Sandwich".</x:t>
  </x:si>
  <x:si>
    <x:t xml:space="preserve">Ejemplo: "Sandwich"</x:t>
  </x:si>
  <x:si>
    <x:t xml:space="preserve">5.  CALADO (hueco interior)</x:t>
  </x:si>
  <x:si>
    <x:t xml:space="preserve">Corte rectangular interior en la pieza.</x:t>
  </x:si>
  <x:si>
    <x:t xml:space="preserve">Indica dimensiones del hueco (ancho x alto).</x:t>
  </x:si>
  <x:si>
    <x:t xml:space="preserve">Opciones: "centrado", "enchape interior", "batiente".</x:t>
  </x:si>
  <x:si>
    <x:t xml:space="preserve">Ejemplo: "Calado 400x300 centrado"</x:t>
  </x:si>
  <x:si>
    <x:t xml:space="preserve">Ejemplo: "Calado 500x200 con enchape interior"</x:t>
  </x:si>
  <x:si>
    <x:t xml:space="preserve">Ejemplo: "Calado con batiente"</x:t>
  </x:si>
  <x:si>
    <x:t xml:space="preserve">6.  MANIGAVETA (muesca para tirador de gaveta)</x:t>
  </x:si>
  <x:si>
    <x:t xml:space="preserve">Muesca en un borde para abrir la gaveta sin manija.</x:t>
  </x:si>
  <x:si>
    <x:t xml:space="preserve">Indica el lado: superior, inferior, izquierdo o derecho.</x:t>
  </x:si>
  <x:si>
    <x:t xml:space="preserve">Ejemplo: "Manigaveta superior"</x:t>
  </x:si>
  <x:si>
    <x:t xml:space="preserve">Ejemplo: "Manigaveta izquierdo"</x:t>
  </x:si>
  <x:si>
    <x:t xml:space="preserve">7.  CHAFLÁN (corte en ángulo)</x:t>
  </x:si>
  <x:si>
    <x:t xml:space="preserve">Corte en ángulo en uno de los bordes.</x:t>
  </x:si>
  <x:si>
    <x:t xml:space="preserve">Ejemplo: "Chaflán inferior"</x:t>
  </x:si>
  <x:si>
    <x:t xml:space="preserve">Ejemplo: "Chaflán superior"</x:t>
  </x:si>
  <x:si>
    <x:t xml:space="preserve">8.  MANIJA CHAFLÁN (enchape + chaflán)</x:t>
  </x:si>
  <x:si>
    <x:t xml:space="preserve">Combinación de enchape con corte en chaflán.</x:t>
  </x:si>
  <x:si>
    <x:t xml:space="preserve">Indica el lado.</x:t>
  </x:si>
  <x:si>
    <x:t xml:space="preserve">Ejemplo: "Manija chaflán superior"</x:t>
  </x:si>
  <x:si>
    <x:t xml:space="preserve">Ejemplo: "Manija chaflán derecho"</x:t>
  </x:si>
  <x:si>
    <x:t xml:space="preserve">9.  CORTE CIRCULAR (mesa redonda)</x:t>
  </x:si>
  <x:si>
    <x:t xml:space="preserve">Corte en forma de círculo.</x:t>
  </x:si>
  <x:si>
    <x:t xml:space="preserve">Indica el diámetro en mm o cm.</x:t>
  </x:si>
  <x:si>
    <x:t xml:space="preserve">Ejemplo: "Circular 800mm"</x:t>
  </x:si>
  <x:si>
    <x:t xml:space="preserve">Ejemplo: "Corte circular 60cm"</x:t>
  </x:si>
  <x:si>
    <x:t xml:space="preserve">COMBINACIONES:</x:t>
  </x:si>
  <x:si>
    <x:t xml:space="preserve">Puedes combinar varios servicios en una misma pieza</x:t>
  </x:si>
  <x:si>
    <x:t xml:space="preserve">separándolos con coma o "+".</x:t>
  </x:si>
  <x:si>
    <x:t xml:space="preserve">Ejemplo: "Nariz 2L + perforación x4 + ranura 6mm"</x:t>
  </x:si>
  <x:si>
    <x:t xml:space="preserve">Ejemplo: "Sandwich, manigaveta superior"</x:t>
  </x:si>
  <x:si>
    <x:t xml:space="preserve">Ejemplo: "Calado 400x300, enchape interior, bisagra x2"</x:t>
  </x:si>
  <x:si>
    <x:t xml:space="preserve">TIPS:</x:t>
  </x:si>
  <x:si>
    <x:t xml:space="preserve">• Usa los desplegables (▼) para Veta y Cantos</x:t>
  </x:si>
  <x:si>
    <x:t xml:space="preserve">• Puedes editar o borrar los ejemplos de las filas 2-5</x:t>
  </x:si>
  <x:si>
    <x:t xml:space="preserve">• Máximo 500 cortes por importación</x:t>
  </x:si>
  <x:si>
    <x:t xml:space="preserve">• Si no necesitas servicios, deja la columna J vacía</x:t>
  </x:si>
  <x:si>
    <x:t xml:space="preserve">• No te preocupes por el formato exacto, la IA es flexible</x:t>
  </x:si>
  <x:si>
    <x:t xml:space="preserve">Pedido de corte · MEDIDAS FINALES CON CANTO · Fondo blanco RH6</x:t>
  </x:si>
  <x:si>
    <x:t xml:space="preserve">Material</x:t>
  </x:si>
  <x:si>
    <x:t xml:space="preserve">Fondo melamina blanco RH6, 6 mm</x:t>
  </x:si>
  <x:si>
    <x:t xml:space="preserve">Origen</x:t>
  </x:si>
  <x:si>
    <x:t xml:space="preserve">Medidas</x:t>
  </x:si>
  <x:si>
    <x:t xml:space="preserve">Criterio solicitado: Ancho/Alto son medidas FINALES CON CANTO INCLUIDO. El proveedor descuenta cada canto una sola vez, incluso si entrega alguna pieza sin cantear. No cortar el tablero a estas medidas sin descontar el canto. Confirmar este procedimiento con la sucursal.</x:t>
  </x:si>
  <x:si>
    <x:t xml:space="preserve">Cantidad total</x:t>
  </x:si>
  <x:si>
    <x:t xml:space="preserve">Referencias</x:t>
  </x:si>
  <x:si>
    <x:t xml:space="preserve">Veta y orientación</x:t>
  </x:si>
  <x:si>
    <x:t xml:space="preserve">Ancho de plantilla = largo en sentido de veta; Alto = ancho transversal. Por eso las filas usan Veta Horizontal. Puede girarse la pieza al armar.</x:t>
  </x:si>
  <x:si>
    <x:t xml:space="preserve">Cantos</x:t>
  </x:si>
  <x:si>
    <x:t xml:space="preserve">Superior=Largo1; Inferior=Largo2; Izquierdo=Corto1; Derecho=Corto2. Celda vacía: sin canto. Cada columna indica Rígido 2 mm o Flexible 0,45 mm. Todos los bordes canteados de una pieza usan el mismo tipo.</x:t>
  </x:si>
  <x:si>
    <x:t xml:space="preserve">Decorativo y carga</x:t>
  </x:si>
  <x:si>
    <x:t xml:space="preserve">Fondo blanco RH6. Las columnas F–I indican tipo y espesor, no color. Versión para revisión del pedido: si el importador exige colores, el asesor debe asignar la referencia del canto conservando tipo y espesor.</x:t>
  </x:si>
  <x:si>
    <x:t xml:space="preserve">Servicios J vacío: sin mecanizados automáticos. Si entregan bordes pendientes, registrarlos en Recepción y canteo; el tablero debe conservar el descuento correspondiente para que alcance su medida final al cantear en casa.</x:t>
  </x:si>
  <x:si>
    <x:t xml:space="preserve">Fuera de este pedido</x:t>
  </x:si>
  <x:si>
    <x:t xml:space="preserve">Cocina P071 (faja 570 × 60) y P072–P074, seis piezas: cortar de sobrantes en el armado; espejo, granito, pino y herrajes se gestionan aparte. Solicitar los sobrantes aprovechables.</x:t>
  </x:si>
  <x:si>
    <x:t xml:space="preserve">Antes de liberar</x:t>
  </x:si>
  <x:si>
    <x:t xml:space="preserve">Pieza</x:t>
  </x:si>
  <x:si>
    <x:t xml:space="preserve">Referencia / módulo</x:t>
  </x:si>
  <x:si>
    <x:t xml:space="preserve">Medida terminada</x:t>
  </x:si>
  <x:si>
    <x:t xml:space="preserve">Corte de tablero con sobremedida</x:t>
  </x:si>
  <x:si>
    <x:t xml:space="preserve">Observación de armado (NO es Servicio J)</x:t>
  </x:si>
  <x:si>
    <x:t xml:space="preserve">Recepción: bordes que faltan por cantear</x:t>
  </x:si>
  <x:si>
    <x:t xml:space="preserve">Al recibir: en J–M anota cuántas unidades tienen ese borde SIN canto (0 = todas canteadas). Deja vacío hasta revisar. Amarillo = editable; gris = borde sin canto solicitado. Los cálculos son de material pendiente; no descuentan espesor otra vez.</x:t>
  </x:si>
  <x:si>
    <x:t xml:space="preserve">Referencias por revisar</x:t>
  </x:si>
  <x:si>
    <x:t xml:space="preserve">Rígido neto m</x:t>
  </x:si>
  <x:si>
    <x:t xml:space="preserve">Bordes rígidos</x:t>
  </x:si>
  <x:si>
    <x:t xml:space="preserve">Estimado con reserva, m</x:t>
  </x:si>
  <x:si>
    <x:t xml:space="preserve">Metros disponibles</x:t>
  </x:si>
  <x:si>
    <x:t xml:space="preserve">Comprar m</x:t>
  </x:si>
  <x:si>
    <x:t xml:space="preserve">Flexible neto m</x:t>
  </x:si>
  <x:si>
    <x:t xml:space="preserve">Bordes flexibles</x:t>
  </x:si>
  <x:si>
    <x:t xml:space="preserve">Extra por borde, m</x:t>
  </x:si>
  <x:si>
    <x:t xml:space="preserve">Reserva adicional</x:t>
  </x:si>
  <x:si>
    <x:t xml:space="preserve">Largo final</x:t>
  </x:si>
  <x:si>
    <x:t xml:space="preserve">Ancho final</x:t>
  </x:si>
  <x:si>
    <x:t xml:space="preserve">Sup</x:t>
  </x:si>
  <x:si>
    <x:t xml:space="preserve">Inf</x:t>
  </x:si>
  <x:si>
    <x:t xml:space="preserve">Izq</x:t>
  </x:si>
  <x:si>
    <x:t xml:space="preserve">Der</x:t>
  </x:si>
  <x:si>
    <x:t xml:space="preserve">Sup sin canto</x:t>
  </x:si>
  <x:si>
    <x:t xml:space="preserve">Inf sin canto</x:t>
  </x:si>
  <x:si>
    <x:t xml:space="preserve">Izq sin canto</x:t>
  </x:si>
  <x:si>
    <x:t xml:space="preserve">Der sin canto</x:t>
  </x:si>
  <x:si>
    <x:t xml:space="preserve">Estado de revisión</x:t>
  </x:si>
  <x:si>
    <x:t xml:space="preserve">Previsión / observación</x:t>
  </x:si>
</x:sst>
</file>

<file path=xl/styles.xml><?xml version="1.0" encoding="utf-8"?>
<x:styleSheet xmlns:x="http://schemas.openxmlformats.org/spreadsheetml/2006/main">
  <x:numFmts count="1">
    <x:numFmt numFmtId="165" formatCode="0.000"/>
  </x:numFmts>
  <x:fonts count="6">
    <x:font>
      <x:sz val="12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color theme="1"/>
      <x:name val="Calibri"/>
      <x:family val="2"/>
      <x:scheme val="minor"/>
    </x:font>
    <x:font>
      <x:sz val="16"/>
      <x:color theme="1"/>
      <x:name val="Calibri"/>
      <x:family val="2"/>
      <x:scheme val="minor"/>
    </x:font>
    <x:font>
      <x:sz val="10"/>
      <x:color rgb="FFFFFFFF"/>
      <x:name val="Calibri"/>
      <x:family val="2"/>
      <x:scheme val="minor"/>
    </x:font>
    <x:font>
      <x:sz val="10"/>
      <x:color theme="1"/>
      <x:name val="Arial"/>
      <x:family val="2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53B35"/>
      </x:patternFill>
    </x:fill>
    <x:fill>
      <x:patternFill patternType="solid">
        <x:fgColor rgb="FFEEEEEE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Font="1" applyAlignment="1">
      <x:alignment vertical="center"/>
    </x:xf>
    <x:xf numFmtId="0" fontId="1" fillId="0" borderId="0" xfId="0" applyFont="1" applyAlignment="1">
      <x:alignment vertical="center" wrapText="1"/>
    </x:xf>
    <x:xf numFmtId="2" fontId="1" fillId="0" borderId="0" xfId="0" applyNumberFormat="1" applyFont="1" applyAlignment="1">
      <x:alignment vertical="center"/>
    </x:xf>
    <x:xf numFmtId="1" fontId="1" fillId="0" borderId="0" xfId="0" applyNumberFormat="1" applyFont="1" applyAlignment="1">
      <x:alignment vertical="center"/>
    </x:xf>
    <x:xf numFmtId="0" fontId="2" fillId="0" borderId="0" xfId="0" applyFont="1"/>
    <x:xf numFmtId="0" fontId="3" fillId="0" borderId="0" xfId="0" applyFont="1"/>
    <x:xf numFmtId="0" fontId="2" fillId="0" borderId="0" xfId="0" applyFont="1" applyAlignment="1">
      <x:alignment wrapText="1"/>
    </x:xf>
    <x:xf numFmtId="0" fontId="2" fillId="2" borderId="0" xfId="0" applyFont="1" applyFill="1"/>
    <x:xf numFmtId="0" fontId="4" fillId="3" borderId="0" xfId="0" applyFont="1" applyFill="1" applyAlignment="1">
      <x:alignment wrapText="1"/>
    </x:xf>
    <x:xf numFmtId="9" fontId="2" fillId="2" borderId="0" xfId="0" applyNumberFormat="1" applyFont="1" applyFill="1"/>
    <x:xf numFmtId="0" fontId="2" fillId="4" borderId="0" xfId="0" applyFont="1" applyFill="1"/>
    <x:xf numFmtId="165" fontId="2" fillId="0" borderId="0" xfId="0" applyNumberFormat="1" applyFont="1"/>
    <x:xf numFmtId="0" fontId="2" fillId="0" borderId="0" xfId="0" applyFont="1" applyAlignment="1">
      <x:alignment wrapText="1"/>
    </x:xf>
    <x:xf numFmtId="0" fontId="2" fillId="0" borderId="0" xfId="0" applyFont="1"/>
    <x:xf numFmtId="0" fontId="2" fillId="2" borderId="0" xfId="0" applyFont="1" applyFill="1" applyAlignment="1">
      <x:alignment wrapText="1"/>
    </x:xf>
    <x:xf numFmtId="0" fontId="2" fillId="2" borderId="0" xfId="0" applyFont="1" applyFill="1"/>
    <x:xf numFmtId="0" fontId="2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165" fontId="5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2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bbe68890ae4e96" /><Relationship Type="http://schemas.openxmlformats.org/officeDocument/2006/relationships/theme" Target="/xl/theme/theme1.xml" Id="R166a771bcf0d4972" /><Relationship Type="http://schemas.openxmlformats.org/officeDocument/2006/relationships/sharedStrings" Target="/xl/sharedStrings.xml" Id="Re470369e7ce14aec" /><Relationship Type="http://schemas.openxmlformats.org/officeDocument/2006/relationships/worksheet" Target="/xl/worksheets/sheet1.xml" Id="R6b5593c1329440f1" /><Relationship Type="http://schemas.openxmlformats.org/officeDocument/2006/relationships/worksheet" Target="/xl/worksheets/sheet2.xml" Id="R34c805e8be5f4c03" /><Relationship Type="http://schemas.openxmlformats.org/officeDocument/2006/relationships/worksheet" Target="/xl/worksheets/sheet3.xml" Id="Rcb07d4eb49e749e0" /><Relationship Type="http://schemas.openxmlformats.org/officeDocument/2006/relationships/worksheet" Target="/xl/worksheets/sheet4.xml" Id="R95b08080002f48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baseColWidth="10" defaultRowHeight="14.399999618530273"/>
  <cols>
    <col min="1" max="2" width="14.796875" customWidth="1"/>
    <col min="3" max="3" width="10.796875" customWidth="1"/>
    <col min="4" max="4" width="74" customWidth="1"/>
    <col min="5" max="5" width="12.796875" customWidth="1"/>
    <col min="6" max="9" width="20" customWidth="1"/>
    <col min="10" max="10" width="40.796875" customWidth="1"/>
  </cols>
  <sheetData>
    <row r="1" ht="3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ht="66" customHeight="1">
      <c r="A2" s="3" t="n">
        <v>176</v>
      </c>
      <c r="B2" s="3" t="n">
        <v>781</v>
      </c>
      <c r="C2" s="4" t="n">
        <v>1</v>
      </c>
      <c r="D2" s="2" t="str">
        <v>Cocina P004 · B1 Condimentero 18 · Fondo clavado atrás · Fondo blanco RH6 · FINAL CON CANTO</v>
      </c>
      <c r="E2" s="1" t="str">
        <v>Horizontal</v>
      </c>
      <c r="F2" s="1"/>
      <c r="G2" s="1"/>
      <c r="H2" s="1"/>
      <c r="I2" s="1"/>
      <c r="J2" s="1"/>
    </row>
    <row r="3" ht="66" customHeight="1">
      <c r="A3" s="3" t="n">
        <v>666</v>
      </c>
      <c r="B3" s="3" t="n">
        <v>781</v>
      </c>
      <c r="C3" s="4" t="n">
        <v>1</v>
      </c>
      <c r="D3" s="2" t="str">
        <v>Cocina P015 · B3 Cubiertero y puertas 67 · Fondo clavado atrás · Fondo blanco RH6 · FINAL CON CANTO</v>
      </c>
      <c r="E3" s="1" t="str">
        <v>Horizontal</v>
      </c>
      <c r="F3" s="1"/>
      <c r="G3" s="1"/>
      <c r="H3" s="1"/>
      <c r="I3" s="1"/>
      <c r="J3" s="1"/>
    </row>
    <row r="4" ht="66" customHeight="1">
      <c r="A4" s="3" t="n">
        <v>696</v>
      </c>
      <c r="B4" s="3" t="n">
        <v>781</v>
      </c>
      <c r="C4" s="4" t="n">
        <v>1</v>
      </c>
      <c r="D4" s="2" t="str">
        <v>Cocina P026 · B5 Lavaplatos 70 · Fondo clavado atrás · Fondo blanco RH6 · FINAL CON CANTO</v>
      </c>
      <c r="E4" s="1" t="str">
        <v>Horizontal</v>
      </c>
      <c r="F4" s="1"/>
      <c r="G4" s="1"/>
      <c r="H4" s="1"/>
      <c r="I4" s="1"/>
      <c r="J4" s="1"/>
    </row>
    <row r="5" ht="66" customHeight="1">
      <c r="A5" s="3" t="n">
        <v>396</v>
      </c>
      <c r="B5" s="3" t="n">
        <v>781</v>
      </c>
      <c r="C5" s="4" t="n">
        <v>1</v>
      </c>
      <c r="D5" s="2" t="str">
        <v>Cocina P033 · B4 Basurero y puerta 40 · Fondo clavado atrás · Fondo blanco RH6 · FINAL CON CANTO</v>
      </c>
      <c r="E5" s="1" t="str">
        <v>Horizontal</v>
      </c>
      <c r="F5" s="1"/>
      <c r="G5" s="1"/>
      <c r="H5" s="1"/>
      <c r="I5" s="1"/>
      <c r="J5" s="1"/>
    </row>
    <row r="6" ht="66" customHeight="1">
      <c r="A6" s="3" t="n">
        <v>191</v>
      </c>
      <c r="B6" s="3" t="n">
        <v>696</v>
      </c>
      <c r="C6" s="4" t="n">
        <v>1</v>
      </c>
      <c r="D6" s="2" t="str">
        <v>Cocina P042 · S1 Alacena 19,5 · Fondo · Fondo blanco RH6 · FINAL CON CANTO</v>
      </c>
      <c r="E6" s="1" t="str">
        <v>Horizontal</v>
      </c>
      <c r="F6" s="1"/>
      <c r="G6" s="1"/>
      <c r="H6" s="1"/>
      <c r="I6" s="1"/>
      <c r="J6" s="1"/>
    </row>
    <row r="7" ht="66" customHeight="1">
      <c r="A7" s="3" t="n">
        <v>596</v>
      </c>
      <c r="B7" s="3" t="n">
        <v>446</v>
      </c>
      <c r="C7" s="4" t="n">
        <v>1</v>
      </c>
      <c r="D7" s="2" t="str">
        <v>Cocina P048 · S2 Gabinete ducto 60 · Fondo · Fondo blanco RH6 · FINAL CON CANTO</v>
      </c>
      <c r="E7" s="1" t="str">
        <v>Horizontal</v>
      </c>
      <c r="F7" s="1"/>
      <c r="G7" s="1"/>
      <c r="H7" s="1"/>
      <c r="I7" s="1"/>
      <c r="J7" s="1"/>
    </row>
    <row r="8" ht="66" customHeight="1">
      <c r="A8" s="3" t="n">
        <v>651</v>
      </c>
      <c r="B8" s="3" t="n">
        <v>696</v>
      </c>
      <c r="C8" s="4" t="n">
        <v>1</v>
      </c>
      <c r="D8" s="2" t="str">
        <v>Cocina P053 · S3 Alacena 65,5 · Fondo · Fondo blanco RH6 · FINAL CON CANTO</v>
      </c>
      <c r="E8" s="1" t="str">
        <v>Horizontal</v>
      </c>
      <c r="F8" s="1"/>
      <c r="G8" s="1"/>
      <c r="H8" s="1"/>
      <c r="I8" s="1"/>
      <c r="J8" s="1"/>
    </row>
    <row r="9" ht="66" customHeight="1">
      <c r="A9" s="3" t="n">
        <v>711</v>
      </c>
      <c r="B9" s="3" t="n">
        <v>696</v>
      </c>
      <c r="C9" s="4" t="n">
        <v>1</v>
      </c>
      <c r="D9" s="2" t="str">
        <v>Cocina P062 · S4 Platero 71,5 · Fondo · Fondo blanco RH6 · FINAL CON CANTO</v>
      </c>
      <c r="E9" s="1" t="str">
        <v>Horizontal</v>
      </c>
      <c r="F9" s="1"/>
      <c r="G9" s="1"/>
      <c r="H9" s="1"/>
      <c r="I9" s="1"/>
      <c r="J9" s="1"/>
    </row>
    <row r="10" ht="66" customHeight="1">
      <c r="A10" s="3" t="n">
        <v>396</v>
      </c>
      <c r="B10" s="3" t="n">
        <v>696</v>
      </c>
      <c r="C10" s="4" t="n">
        <v>1</v>
      </c>
      <c r="D10" s="2" t="str">
        <v>Cocina P068 · S5 Alacena 40 · Fondo · Fondo blanco RH6 · FINAL CON CANTO</v>
      </c>
      <c r="E10" s="1" t="str">
        <v>Horizontal</v>
      </c>
      <c r="F10" s="1"/>
      <c r="G10" s="1"/>
      <c r="H10" s="1"/>
      <c r="I10" s="1"/>
      <c r="J10" s="1"/>
    </row>
    <row r="11" ht="66" customHeight="1">
      <c r="A11" s="3" t="n">
        <v>496</v>
      </c>
      <c r="B11" s="3" t="n">
        <v>446</v>
      </c>
      <c r="C11" s="4" t="n">
        <v>1</v>
      </c>
      <c r="D11" s="2" t="str">
        <v>Baño F01 · ESPEJO · Fondo blanco de 6 mm · Fondo blanco RH6 · FINAL CON CANTO</v>
      </c>
      <c r="E11" s="1" t="str">
        <v>Horizontal</v>
      </c>
      <c r="F11" s="1" t="str">
        <v>Flexible 0,45 mm</v>
      </c>
      <c r="G11" s="1" t="str">
        <v>Flexible 0,45 mm</v>
      </c>
      <c r="H11" s="1" t="str">
        <v>Flexible 0,45 mm</v>
      </c>
      <c r="I11" s="1" t="str">
        <v>Flexible 0,45 mm</v>
      </c>
      <c r="J11" s="1"/>
    </row>
    <row r="12" ht="15.600000381469727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ht="15.600000381469727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ht="15.600000381469727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ht="15.600000381469727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ht="15.600000381469727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ht="15.600000381469727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ht="15.600000381469727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ht="15.600000381469727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ht="15.600000381469727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ht="15.600000381469727">
      <c r="A21" s="1"/>
      <c r="B21" s="1"/>
      <c r="C21" s="1"/>
      <c r="D21" s="1"/>
      <c r="E21" s="1"/>
      <c r="F21" s="1"/>
      <c r="G21" s="1"/>
      <c r="H21" s="1"/>
      <c r="I21" s="1"/>
      <c r="J21" s="1"/>
    </row>
  </sheetData>
  <autoFilter ref="A1:J11"/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baseColWidth="10" defaultRowHeight="14.399999618530273"/>
  <x:cols>
    <x:col min="1" max="1" width="75.796875" customWidth="1"/>
  </x:cols>
  <x:sheetData>
    <x:row r="1" ht="15.600000381469727"/>
    <x:row r="2" ht="15.600000381469727">
      <x:c r="A2" t="s">
        <x:v>10</x:v>
      </x:c>
    </x:row>
    <x:row r="3" ht="15.600000381469727"/>
    <x:row r="4" ht="15.600000381469727">
      <x:c r="A4" t="s">
        <x:v>11</x:v>
      </x:c>
    </x:row>
    <x:row r="5" ht="15.600000381469727"/>
    <x:row r="6" ht="15.600000381469727">
      <x:c r="A6" t="s">
        <x:v>12</x:v>
      </x:c>
    </x:row>
    <x:row r="7" ht="15.600000381469727"/>
    <x:row r="8" ht="15.600000381469727">
      <x:c r="A8" t="s">
        <x:v>13</x:v>
      </x:c>
    </x:row>
    <x:row r="9" ht="15.600000381469727">
      <x:c r="A9" t="s">
        <x:v>14</x:v>
      </x:c>
    </x:row>
    <x:row r="10" ht="15.600000381469727">
      <x:c r="A10" t="s">
        <x:v>15</x:v>
      </x:c>
    </x:row>
    <x:row r="11" ht="15.600000381469727">
      <x:c r="A11" t="s">
        <x:v>16</x:v>
      </x:c>
    </x:row>
    <x:row r="12" ht="15.600000381469727">
      <x:c r="A12" t="s">
        <x:v>17</x:v>
      </x:c>
    </x:row>
    <x:row r="13" ht="15.600000381469727"/>
    <x:row r="14" ht="15.600000381469727">
      <x:c r="A14" t="s">
        <x:v>11</x:v>
      </x:c>
    </x:row>
    <x:row r="15" ht="15.600000381469727"/>
    <x:row r="16" ht="15.600000381469727">
      <x:c r="A16" t="s">
        <x:v>18</x:v>
      </x:c>
    </x:row>
    <x:row r="17" ht="15.600000381469727"/>
    <x:row r="18" ht="15.600000381469727">
      <x:c r="A18" t="s">
        <x:v>19</x:v>
      </x:c>
    </x:row>
    <x:row r="19" ht="15.600000381469727">
      <x:c r="A19" t="s">
        <x:v>20</x:v>
      </x:c>
    </x:row>
    <x:row r="20" ht="15.600000381469727">
      <x:c r="A20" t="s">
        <x:v>21</x:v>
      </x:c>
    </x:row>
    <x:row r="21" ht="15.600000381469727">
      <x:c r="A21" t="s">
        <x:v>22</x:v>
      </x:c>
    </x:row>
    <x:row r="22" ht="15.600000381469727">
      <x:c r="A22" t="s">
        <x:v>23</x:v>
      </x:c>
    </x:row>
    <x:row r="23" ht="15.600000381469727"/>
    <x:row r="24" ht="15.600000381469727">
      <x:c r="A24" t="s">
        <x:v>11</x:v>
      </x:c>
    </x:row>
    <x:row r="25" ht="15.600000381469727"/>
    <x:row r="26" ht="15.600000381469727">
      <x:c r="A26" t="s">
        <x:v>24</x:v>
      </x:c>
    </x:row>
    <x:row r="27" ht="15.600000381469727"/>
    <x:row r="28" ht="15.600000381469727">
      <x:c r="A28" t="s">
        <x:v>25</x:v>
      </x:c>
    </x:row>
    <x:row r="29" ht="15.600000381469727">
      <x:c r="A29" t="s">
        <x:v>26</x:v>
      </x:c>
    </x:row>
    <x:row r="30" ht="15.600000381469727">
      <x:c r="A30" t="s">
        <x:v>27</x:v>
      </x:c>
    </x:row>
    <x:row r="31" ht="15.600000381469727">
      <x:c r="A31" t="s">
        <x:v>28</x:v>
      </x:c>
    </x:row>
    <x:row r="32" ht="15.600000381469727">
      <x:c r="A32" t="s">
        <x:v>29</x:v>
      </x:c>
    </x:row>
    <x:row r="33" ht="15.600000381469727">
      <x:c r="A33" t="s">
        <x:v>30</x:v>
      </x:c>
    </x:row>
    <x:row r="34" ht="15.600000381469727"/>
    <x:row r="35" ht="15.600000381469727">
      <x:c r="A35" t="s">
        <x:v>11</x:v>
      </x:c>
    </x:row>
    <x:row r="36" ht="15.600000381469727"/>
    <x:row r="37" ht="15.600000381469727">
      <x:c r="A37" t="s">
        <x:v>31</x:v>
      </x:c>
    </x:row>
    <x:row r="38" ht="15.600000381469727"/>
    <x:row r="39" ht="15.600000381469727">
      <x:c r="A39" t="s">
        <x:v>32</x:v>
      </x:c>
    </x:row>
    <x:row r="40" ht="15.600000381469727">
      <x:c r="A40" t="s">
        <x:v>33</x:v>
      </x:c>
    </x:row>
    <x:row r="41" ht="15.600000381469727"/>
    <x:row r="42" ht="15.600000381469727">
      <x:c r="A42" t="s">
        <x:v>34</x:v>
      </x:c>
    </x:row>
    <x:row r="43" ht="15.600000381469727"/>
    <x:row r="44" ht="15.600000381469727">
      <x:c r="A44" t="s">
        <x:v>35</x:v>
      </x:c>
    </x:row>
    <x:row r="45" ht="15.600000381469727">
      <x:c r="A45" t="s">
        <x:v>36</x:v>
      </x:c>
    </x:row>
    <x:row r="46" ht="15.600000381469727">
      <x:c r="A46" t="s">
        <x:v>37</x:v>
      </x:c>
    </x:row>
    <x:row r="47" ht="15.600000381469727"/>
    <x:row r="48" ht="15.600000381469727">
      <x:c r="A48" t="s">
        <x:v>38</x:v>
      </x:c>
    </x:row>
    <x:row r="49" ht="15.600000381469727">
      <x:c r="A49" t="s">
        <x:v>39</x:v>
      </x:c>
    </x:row>
    <x:row r="50" ht="15.600000381469727">
      <x:c r="A50" t="s">
        <x:v>40</x:v>
      </x:c>
    </x:row>
    <x:row r="51" ht="15.600000381469727"/>
    <x:row r="52" ht="15.600000381469727">
      <x:c r="A52" t="s">
        <x:v>34</x:v>
      </x:c>
    </x:row>
    <x:row r="53" ht="15.600000381469727"/>
    <x:row r="54" ht="15.600000381469727">
      <x:c r="A54" t="s">
        <x:v>41</x:v>
      </x:c>
    </x:row>
    <x:row r="55" ht="15.600000381469727">
      <x:c r="A55" t="s">
        <x:v>42</x:v>
      </x:c>
    </x:row>
    <x:row r="56" ht="15.600000381469727">
      <x:c r="A56" t="s">
        <x:v>43</x:v>
      </x:c>
    </x:row>
    <x:row r="57" ht="15.600000381469727"/>
    <x:row r="58" ht="15.600000381469727">
      <x:c r="A58" t="s">
        <x:v>44</x:v>
      </x:c>
    </x:row>
    <x:row r="59" ht="15.600000381469727">
      <x:c r="A59" t="s">
        <x:v>45</x:v>
      </x:c>
    </x:row>
    <x:row r="60" ht="15.600000381469727">
      <x:c r="A60" t="s">
        <x:v>46</x:v>
      </x:c>
    </x:row>
    <x:row r="61" ht="15.600000381469727"/>
    <x:row r="62" ht="15.600000381469727">
      <x:c r="A62" t="s">
        <x:v>34</x:v>
      </x:c>
    </x:row>
    <x:row r="63" ht="15.600000381469727"/>
    <x:row r="64" ht="15.600000381469727">
      <x:c r="A64" t="s">
        <x:v>47</x:v>
      </x:c>
    </x:row>
    <x:row r="65" ht="15.600000381469727">
      <x:c r="A65" t="s">
        <x:v>48</x:v>
      </x:c>
    </x:row>
    <x:row r="66" ht="15.600000381469727">
      <x:c r="A66" t="s">
        <x:v>49</x:v>
      </x:c>
    </x:row>
    <x:row r="67" ht="15.600000381469727">
      <x:c r="A67" t="s">
        <x:v>50</x:v>
      </x:c>
    </x:row>
    <x:row r="68" ht="15.600000381469727">
      <x:c r="A68" t="s">
        <x:v>51</x:v>
      </x:c>
    </x:row>
    <x:row r="69" ht="15.600000381469727">
      <x:c r="A69" t="s">
        <x:v>52</x:v>
      </x:c>
    </x:row>
    <x:row r="70" ht="15.600000381469727">
      <x:c r="A70" t="s">
        <x:v>53</x:v>
      </x:c>
    </x:row>
    <x:row r="71" ht="15.600000381469727">
      <x:c r="A71" t="s">
        <x:v>54</x:v>
      </x:c>
    </x:row>
    <x:row r="72" ht="15.600000381469727">
      <x:c r="A72" t="s">
        <x:v>55</x:v>
      </x:c>
    </x:row>
    <x:row r="73" ht="15.600000381469727"/>
    <x:row r="74" ht="15.600000381469727">
      <x:c r="A74" t="s">
        <x:v>56</x:v>
      </x:c>
    </x:row>
    <x:row r="75" ht="15.600000381469727">
      <x:c r="A75" t="s">
        <x:v>57</x:v>
      </x:c>
    </x:row>
    <x:row r="76" ht="15.600000381469727">
      <x:c r="A76" t="s">
        <x:v>58</x:v>
      </x:c>
    </x:row>
    <x:row r="77" ht="15.600000381469727"/>
    <x:row r="78" ht="15.600000381469727">
      <x:c r="A78" t="s">
        <x:v>34</x:v>
      </x:c>
    </x:row>
    <x:row r="79" ht="15.600000381469727"/>
    <x:row r="80" ht="15.600000381469727">
      <x:c r="A80" t="s">
        <x:v>59</x:v>
      </x:c>
    </x:row>
    <x:row r="81" ht="15.600000381469727">
      <x:c r="A81" t="s">
        <x:v>60</x:v>
      </x:c>
    </x:row>
    <x:row r="82" ht="15.600000381469727">
      <x:c r="A82" t="s">
        <x:v>61</x:v>
      </x:c>
    </x:row>
    <x:row r="83" ht="15.600000381469727"/>
    <x:row r="84" ht="15.600000381469727">
      <x:c r="A84" t="s">
        <x:v>62</x:v>
      </x:c>
    </x:row>
    <x:row r="85" ht="15.600000381469727"/>
    <x:row r="86" ht="15.600000381469727">
      <x:c r="A86" t="s">
        <x:v>34</x:v>
      </x:c>
    </x:row>
    <x:row r="87" ht="15.600000381469727"/>
    <x:row r="88" ht="15.600000381469727">
      <x:c r="A88" t="s">
        <x:v>63</x:v>
      </x:c>
    </x:row>
    <x:row r="89" ht="15.600000381469727">
      <x:c r="A89" t="s">
        <x:v>64</x:v>
      </x:c>
    </x:row>
    <x:row r="90" ht="15.600000381469727">
      <x:c r="A90" t="s">
        <x:v>65</x:v>
      </x:c>
    </x:row>
    <x:row r="91" ht="15.600000381469727">
      <x:c r="A91" t="s">
        <x:v>66</x:v>
      </x:c>
    </x:row>
    <x:row r="92" ht="15.600000381469727"/>
    <x:row r="93" ht="15.600000381469727">
      <x:c r="A93" t="s">
        <x:v>67</x:v>
      </x:c>
    </x:row>
    <x:row r="94" ht="15.600000381469727">
      <x:c r="A94" t="s">
        <x:v>68</x:v>
      </x:c>
    </x:row>
    <x:row r="95" ht="15.600000381469727">
      <x:c r="A95" t="s">
        <x:v>69</x:v>
      </x:c>
    </x:row>
    <x:row r="96" ht="15.600000381469727"/>
    <x:row r="97" ht="15.600000381469727">
      <x:c r="A97" t="s">
        <x:v>34</x:v>
      </x:c>
    </x:row>
    <x:row r="98" ht="15.600000381469727"/>
    <x:row r="99" ht="15.600000381469727">
      <x:c r="A99" t="s">
        <x:v>70</x:v>
      </x:c>
    </x:row>
    <x:row r="100" ht="15.600000381469727">
      <x:c r="A100" t="s">
        <x:v>71</x:v>
      </x:c>
    </x:row>
    <x:row r="101" ht="15.600000381469727">
      <x:c r="A101" t="s">
        <x:v>72</x:v>
      </x:c>
    </x:row>
    <x:row r="102" ht="15.600000381469727"/>
    <x:row r="103" ht="15.600000381469727">
      <x:c r="A103" t="s">
        <x:v>73</x:v>
      </x:c>
    </x:row>
    <x:row r="104" ht="15.600000381469727">
      <x:c r="A104" t="s">
        <x:v>74</x:v>
      </x:c>
    </x:row>
    <x:row r="105" ht="15.600000381469727"/>
    <x:row r="106" ht="15.600000381469727">
      <x:c r="A106" t="s">
        <x:v>34</x:v>
      </x:c>
    </x:row>
    <x:row r="107" ht="15.600000381469727"/>
    <x:row r="108" ht="15.600000381469727">
      <x:c r="A108" t="s">
        <x:v>75</x:v>
      </x:c>
    </x:row>
    <x:row r="109" ht="15.600000381469727">
      <x:c r="A109" t="s">
        <x:v>76</x:v>
      </x:c>
    </x:row>
    <x:row r="110" ht="15.600000381469727">
      <x:c r="A110" t="s">
        <x:v>72</x:v>
      </x:c>
    </x:row>
    <x:row r="111" ht="15.600000381469727"/>
    <x:row r="112" ht="15.600000381469727">
      <x:c r="A112" t="s">
        <x:v>77</x:v>
      </x:c>
    </x:row>
    <x:row r="113" ht="15.600000381469727">
      <x:c r="A113" t="s">
        <x:v>78</x:v>
      </x:c>
    </x:row>
    <x:row r="114" ht="15.600000381469727"/>
    <x:row r="115" ht="15.600000381469727">
      <x:c r="A115" t="s">
        <x:v>34</x:v>
      </x:c>
    </x:row>
    <x:row r="116" ht="15.600000381469727"/>
    <x:row r="117" ht="15.600000381469727">
      <x:c r="A117" t="s">
        <x:v>79</x:v>
      </x:c>
    </x:row>
    <x:row r="118" ht="15.600000381469727">
      <x:c r="A118" t="s">
        <x:v>80</x:v>
      </x:c>
    </x:row>
    <x:row r="119" ht="15.600000381469727">
      <x:c r="A119" t="s">
        <x:v>81</x:v>
      </x:c>
    </x:row>
    <x:row r="120" ht="15.600000381469727"/>
    <x:row r="121" ht="15.600000381469727">
      <x:c r="A121" t="s">
        <x:v>82</x:v>
      </x:c>
    </x:row>
    <x:row r="122" ht="15.600000381469727">
      <x:c r="A122" t="s">
        <x:v>83</x:v>
      </x:c>
    </x:row>
    <x:row r="123" ht="15.600000381469727"/>
    <x:row r="124" ht="15.600000381469727">
      <x:c r="A124" t="s">
        <x:v>34</x:v>
      </x:c>
    </x:row>
    <x:row r="125" ht="15.600000381469727"/>
    <x:row r="126" ht="15.600000381469727">
      <x:c r="A126" t="s">
        <x:v>84</x:v>
      </x:c>
    </x:row>
    <x:row r="127" ht="15.600000381469727">
      <x:c r="A127" t="s">
        <x:v>85</x:v>
      </x:c>
    </x:row>
    <x:row r="128" ht="15.600000381469727">
      <x:c r="A128" t="s">
        <x:v>86</x:v>
      </x:c>
    </x:row>
    <x:row r="129" ht="15.600000381469727"/>
    <x:row r="130" ht="15.600000381469727">
      <x:c r="A130" t="s">
        <x:v>87</x:v>
      </x:c>
    </x:row>
    <x:row r="131" ht="15.600000381469727">
      <x:c r="A131" t="s">
        <x:v>88</x:v>
      </x:c>
    </x:row>
    <x:row r="132" ht="15.600000381469727"/>
    <x:row r="133" ht="15.600000381469727">
      <x:c r="A133" t="s">
        <x:v>11</x:v>
      </x:c>
    </x:row>
    <x:row r="134" ht="15.600000381469727"/>
    <x:row r="135" ht="15.600000381469727">
      <x:c r="A135" t="s">
        <x:v>89</x:v>
      </x:c>
    </x:row>
    <x:row r="136" ht="15.600000381469727">
      <x:c r="A136" t="s">
        <x:v>90</x:v>
      </x:c>
    </x:row>
    <x:row r="137" ht="15.600000381469727">
      <x:c r="A137" t="s">
        <x:v>91</x:v>
      </x:c>
    </x:row>
    <x:row r="138" ht="15.600000381469727"/>
    <x:row r="139" ht="15.600000381469727">
      <x:c r="A139" t="s">
        <x:v>92</x:v>
      </x:c>
    </x:row>
    <x:row r="140" ht="15.600000381469727">
      <x:c r="A140" t="s">
        <x:v>93</x:v>
      </x:c>
    </x:row>
    <x:row r="141" ht="15.600000381469727">
      <x:c r="A141" t="s">
        <x:v>94</x:v>
      </x:c>
    </x:row>
    <x:row r="142" ht="15.600000381469727"/>
    <x:row r="143" ht="15.600000381469727">
      <x:c r="A143" t="s">
        <x:v>11</x:v>
      </x:c>
    </x:row>
    <x:row r="144" ht="15.600000381469727"/>
    <x:row r="145" ht="15.600000381469727">
      <x:c r="A145" t="s">
        <x:v>95</x:v>
      </x:c>
    </x:row>
    <x:row r="146" ht="15.600000381469727"/>
    <x:row r="147" ht="15.600000381469727">
      <x:c r="A147" t="s">
        <x:v>96</x:v>
      </x:c>
    </x:row>
    <x:row r="148" ht="15.600000381469727">
      <x:c r="A148" t="s">
        <x:v>97</x:v>
      </x:c>
    </x:row>
    <x:row r="149" ht="15.600000381469727">
      <x:c r="A149" t="s">
        <x:v>98</x:v>
      </x:c>
    </x:row>
    <x:row r="150" ht="15.600000381469727">
      <x:c r="A150" t="s">
        <x:v>99</x:v>
      </x:c>
    </x:row>
    <x:row r="151" ht="15.600000381469727">
      <x:c r="A151" t="s">
        <x:v>100</x:v>
      </x:c>
    </x:row>
    <x:row r="152" ht="15.600000381469727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baseColWidth="10" defaultColWidth="8.796875" defaultRowHeight="15.600000381469727"/>
  <x:cols>
    <x:col min="1" max="1" width="22" customWidth="1"/>
    <x:col min="2" max="2" width="45" customWidth="1"/>
    <x:col min="3" max="3" width="23" customWidth="1"/>
    <x:col min="4" max="4" width="31" customWidth="1"/>
    <x:col min="5" max="5" width="100" customWidth="1"/>
  </x:cols>
  <x:sheetData>
    <x:row r="1">
      <x:c r="A1" s="5"/>
      <x:c r="B1" s="5"/>
      <x:c r="C1" s="5"/>
      <x:c r="D1" s="5"/>
      <x:c r="E1" s="5"/>
    </x:row>
    <x:row r="2" ht="21">
      <x:c r="A2" s="6" t="s">
        <x:v>101</x:v>
      </x:c>
      <x:c r="B2" s="5"/>
      <x:c r="C2" s="5"/>
      <x:c r="D2" s="5"/>
      <x:c r="E2" s="5"/>
    </x:row>
    <x:row r="3">
      <x:c r="A3" s="5"/>
      <x:c r="B3" s="5"/>
      <x:c r="C3" s="5"/>
      <x:c r="D3" s="5"/>
      <x:c r="E3" s="5"/>
    </x:row>
    <x:row r="4" ht="37.95000076293945" customHeight="1">
      <x:c r="A4" s="5" t="s">
        <x:v>102</x:v>
      </x:c>
      <x:c r="B4" s="13" t="s">
        <x:v>103</x:v>
      </x:c>
      <x:c r="C4" s="14"/>
      <x:c r="D4" s="14"/>
      <x:c r="E4" s="14"/>
    </x:row>
    <x:row r="5" ht="37.95000076293945" customHeight="1">
      <x:c r="A5" s="5" t="s">
        <x:v>104</x:v>
      </x:c>
      <x:c r="B5" s="13" t="str">
        <x:v>Pedido único revisado 29/10/2026: S2 de 450 mm con soporte de campana P075/P076, faja P071 de retal. Clóset con marco completo C3-025 a C3-030 sin panel trasero. Un solo tipo de canto por pieza y medidas finales con canto. Sustituye versiones anteriores.</x:v>
      </x:c>
      <x:c r="C5" s="14"/>
      <x:c r="D5" s="14"/>
      <x:c r="E5" s="14"/>
    </x:row>
    <x:row r="6" ht="64.05000305175781" customHeight="1">
      <x:c r="A6" s="5" t="s">
        <x:v>105</x:v>
      </x:c>
      <x:c r="B6" s="13" t="s">
        <x:v>106</x:v>
      </x:c>
      <x:c r="C6" s="14"/>
      <x:c r="D6" s="14"/>
      <x:c r="E6" s="14"/>
    </x:row>
    <x:row r="7" ht="37.95000076293945" customHeight="1">
      <x:c r="A7" s="5" t="s">
        <x:v>107</x:v>
      </x:c>
      <x:c r="B7" s="13" t="n">
        <x:f>SUM(Cortes!C2:C11)</x:f>
        <x:v>10</x:v>
      </x:c>
      <x:c r="C7" s="14"/>
      <x:c r="D7" s="14"/>
      <x:c r="E7" s="14"/>
    </x:row>
    <x:row r="8" ht="37.95000076293945" customHeight="1">
      <x:c r="A8" s="5" t="s">
        <x:v>108</x:v>
      </x:c>
      <x:c r="B8" s="13" t="n">
        <x:f>COUNT(Cortes!A2:A11)</x:f>
        <x:v>10</x:v>
      </x:c>
      <x:c r="C8" s="14"/>
      <x:c r="D8" s="14"/>
      <x:c r="E8" s="14"/>
    </x:row>
    <x:row r="9" ht="52.04999923706055" customHeight="1">
      <x:c r="A9" s="5" t="s">
        <x:v>109</x:v>
      </x:c>
      <x:c r="B9" s="13" t="s">
        <x:v>110</x:v>
      </x:c>
      <x:c r="C9" s="14"/>
      <x:c r="D9" s="14"/>
      <x:c r="E9" s="14"/>
    </x:row>
    <x:row r="10" ht="52.04999923706055" customHeight="1">
      <x:c r="A10" s="5" t="s">
        <x:v>111</x:v>
      </x:c>
      <x:c r="B10" s="13" t="s">
        <x:v>112</x:v>
      </x:c>
      <x:c r="C10" s="14"/>
      <x:c r="D10" s="14"/>
      <x:c r="E10" s="14"/>
    </x:row>
    <x:row r="11" ht="52.04999923706055" customHeight="1">
      <x:c r="A11" s="8" t="s">
        <x:v>113</x:v>
      </x:c>
      <x:c r="B11" s="15" t="s">
        <x:v>114</x:v>
      </x:c>
      <x:c r="C11" s="16"/>
      <x:c r="D11" s="16"/>
      <x:c r="E11" s="16"/>
    </x:row>
    <x:row r="12" ht="52.04999923706055" customHeight="1">
      <x:c r="A12" s="5" t="s">
        <x:v>9</x:v>
      </x:c>
      <x:c r="B12" s="13" t="s">
        <x:v>115</x:v>
      </x:c>
      <x:c r="C12" s="14"/>
      <x:c r="D12" s="14"/>
      <x:c r="E12" s="14"/>
    </x:row>
    <x:row r="13" ht="52.04999923706055" customHeight="1">
      <x:c r="A13" s="5" t="s">
        <x:v>116</x:v>
      </x:c>
      <x:c r="B13" s="13" t="s">
        <x:v>117</x:v>
      </x:c>
      <x:c r="C13" s="14"/>
      <x:c r="D13" s="14"/>
      <x:c r="E13" s="14"/>
    </x:row>
    <x:row r="14" ht="100" customHeight="1">
      <x:c r="A14" s="8" t="s">
        <x:v>118</x:v>
      </x:c>
      <x:c r="B14" s="17" t="str">
        <x:v>Confirmar medidas en obra, referencia de RH/canto y descuento de canto del proveedor. S2: P075/P076 incluidos; cuatro escuadras y plantilla real de campana en el armado, salidas de recirculación libres. Seleccionar fuerza de brazos para puerta de aproximadamente 2,7 kg.</x:v>
      </x:c>
      <x:c r="C14" s="16"/>
      <x:c r="D14" s="16"/>
      <x:c r="E14" s="16"/>
    </x:row>
    <x:row r="15">
      <x:c r="A15" s="5"/>
      <x:c r="B15" s="5"/>
      <x:c r="C15" s="5"/>
      <x:c r="D15" s="5"/>
      <x:c r="E15" s="5"/>
    </x:row>
    <x:row r="16" ht="42" customHeight="1">
      <x:c r="A16" s="9" t="s">
        <x:v>119</x:v>
      </x:c>
      <x:c r="B16" s="9" t="s">
        <x:v>120</x:v>
      </x:c>
      <x:c r="C16" s="9" t="s">
        <x:v>121</x:v>
      </x:c>
      <x:c r="D16" s="9" t="s">
        <x:v>122</x:v>
      </x:c>
      <x:c r="E16" s="9" t="s">
        <x:v>123</x:v>
      </x:c>
    </x:row>
    <x:row r="17" ht="37.95000076293945" customHeight="1">
      <x:c r="A17" s="5" t="str">
        <x:v>Cocina P004</x:v>
      </x:c>
      <x:c r="B17" s="18" t="str">
        <x:v>B1 Condimentero 18 · Fondo clavado atrás</x:v>
      </x:c>
      <x:c r="C17" s="18" t="str">
        <x:v>176 × 781</x:v>
      </x:c>
      <x:c r="D17" s="18" t="str">
        <x:v>176 × 781</x:v>
      </x:c>
      <x:c r="E17" s="18" t="str">
        <x:v>—</x:v>
      </x:c>
    </x:row>
    <x:row r="18" ht="37.95000076293945" customHeight="1">
      <x:c r="A18" s="5" t="str">
        <x:v>Cocina P015</x:v>
      </x:c>
      <x:c r="B18" s="18" t="str">
        <x:v>B3 Cubiertero y puertas 67 · Fondo clavado atrás</x:v>
      </x:c>
      <x:c r="C18" s="18" t="str">
        <x:v>666 × 781</x:v>
      </x:c>
      <x:c r="D18" s="18" t="str">
        <x:v>666 × 781</x:v>
      </x:c>
      <x:c r="E18" s="18" t="str">
        <x:v>—</x:v>
      </x:c>
    </x:row>
    <x:row r="19" ht="37.95000076293945" customHeight="1">
      <x:c r="A19" s="5" t="str">
        <x:v>Cocina P026</x:v>
      </x:c>
      <x:c r="B19" s="18" t="str">
        <x:v>B5 Lavaplatos 70 · Fondo clavado atrás</x:v>
      </x:c>
      <x:c r="C19" s="18" t="str">
        <x:v>696 × 781</x:v>
      </x:c>
      <x:c r="D19" s="18" t="str">
        <x:v>696 × 781</x:v>
      </x:c>
      <x:c r="E19" s="18" t="str">
        <x:v>—</x:v>
      </x:c>
    </x:row>
    <x:row r="20" ht="37.95000076293945" customHeight="1">
      <x:c r="A20" s="5" t="str">
        <x:v>Cocina P033</x:v>
      </x:c>
      <x:c r="B20" s="18" t="str">
        <x:v>B4 Basurero y puerta 40 · Fondo clavado atrás</x:v>
      </x:c>
      <x:c r="C20" s="18" t="str">
        <x:v>396 × 781</x:v>
      </x:c>
      <x:c r="D20" s="18" t="str">
        <x:v>396 × 781</x:v>
      </x:c>
      <x:c r="E20" s="18" t="str">
        <x:v>—</x:v>
      </x:c>
    </x:row>
    <x:row r="21" ht="37.95000076293945" customHeight="1">
      <x:c r="A21" s="5" t="str">
        <x:v>Cocina P042</x:v>
      </x:c>
      <x:c r="B21" s="18" t="str">
        <x:v>S1 Alacena 19,5 · Fondo</x:v>
      </x:c>
      <x:c r="C21" s="18" t="str">
        <x:v>191 × 696</x:v>
      </x:c>
      <x:c r="D21" s="18" t="str">
        <x:v>191 × 696</x:v>
      </x:c>
      <x:c r="E21" s="18" t="str">
        <x:v>—</x:v>
      </x:c>
    </x:row>
    <x:row r="22" ht="37.95000076293945" customHeight="1">
      <x:c r="A22" s="5" t="str">
        <x:v>Cocina P048</x:v>
      </x:c>
      <x:c r="B22" s="18" t="str">
        <x:v>S2 Gabinete ducto 60 · Fondo</x:v>
      </x:c>
      <x:c r="C22" s="18" t="str">
        <x:v>596 × 446</x:v>
      </x:c>
      <x:c r="D22" s="18" t="str">
        <x:v>596 × 446</x:v>
      </x:c>
      <x:c r="E22" s="18" t="str">
        <x:v>—</x:v>
      </x:c>
    </x:row>
    <x:row r="23" ht="37.95000076293945" customHeight="1">
      <x:c r="A23" s="5" t="str">
        <x:v>Cocina P053</x:v>
      </x:c>
      <x:c r="B23" s="18" t="str">
        <x:v>S3 Alacena 65,5 · Fondo</x:v>
      </x:c>
      <x:c r="C23" s="18" t="str">
        <x:v>651 × 696</x:v>
      </x:c>
      <x:c r="D23" s="18" t="str">
        <x:v>651 × 696</x:v>
      </x:c>
      <x:c r="E23" s="18" t="str">
        <x:v>—</x:v>
      </x:c>
    </x:row>
    <x:row r="24" ht="37.95000076293945" customHeight="1">
      <x:c r="A24" s="5" t="str">
        <x:v>Cocina P062</x:v>
      </x:c>
      <x:c r="B24" s="18" t="str">
        <x:v>S4 Platero 71,5 · Fondo</x:v>
      </x:c>
      <x:c r="C24" s="18" t="str">
        <x:v>711 × 696</x:v>
      </x:c>
      <x:c r="D24" s="18" t="str">
        <x:v>711 × 696</x:v>
      </x:c>
      <x:c r="E24" s="18" t="str">
        <x:v>—</x:v>
      </x:c>
    </x:row>
    <x:row r="25" ht="37.95000076293945" customHeight="1">
      <x:c r="A25" s="5" t="str">
        <x:v>Cocina P068</x:v>
      </x:c>
      <x:c r="B25" s="18" t="str">
        <x:v>S5 Alacena 40 · Fondo</x:v>
      </x:c>
      <x:c r="C25" s="18" t="str">
        <x:v>396 × 696</x:v>
      </x:c>
      <x:c r="D25" s="18" t="str">
        <x:v>396 × 696</x:v>
      </x:c>
      <x:c r="E25" s="18" t="str">
        <x:v>—</x:v>
      </x:c>
    </x:row>
    <x:row r="26" ht="90" customHeight="1">
      <x:c r="A26" s="5" t="str">
        <x:v>Baño F01</x:v>
      </x:c>
      <x:c r="B26" s="18" t="str">
        <x:v>ESPEJO · Fondo blanco de 6 mm</x:v>
      </x:c>
      <x:c r="C26" s="18" t="str">
        <x:v>496 × 446</x:v>
      </x:c>
      <x:c r="D26" s="18" t="str">
        <x:v>495,1 × 445,1</x:v>
      </x:c>
      <x:c r="E26" s="18" t="str">
        <x:v>Fondo aplicado por detrás, retranqueado 2 mm de los bordes. Reutilización de sobrantes de cocina solo se comprobará en la optimización conjunta final. No soporta el anclaje del gabinete. Canto flexible 0,45 mm en todo el perímetro; mantener sellados recortes y perforaciones.</x:v>
      </x:c>
    </x:row>
    <x:row r="27">
      <x:c r="A27" s="5"/>
      <x:c r="B27" s="5"/>
      <x:c r="C27" s="5"/>
      <x:c r="D27" s="5"/>
      <x:c r="E27" s="5"/>
    </x:row>
    <x:row r="28">
      <x:c r="A28" s="5"/>
      <x:c r="B28" s="5"/>
      <x:c r="C28" s="5"/>
      <x:c r="D28" s="5"/>
      <x:c r="E28" s="5"/>
    </x:row>
    <x:row r="29">
      <x:c r="A29" s="5"/>
      <x:c r="B29" s="5"/>
      <x:c r="C29" s="5"/>
      <x:c r="D29" s="5"/>
      <x:c r="E29" s="5"/>
    </x:row>
    <x:row r="30">
      <x:c r="A30" s="5"/>
      <x:c r="B30" s="5"/>
      <x:c r="C30" s="5"/>
      <x:c r="D30" s="5"/>
      <x:c r="E30" s="5"/>
    </x:row>
  </x:sheetData>
  <x:mergeCells>
    <x:mergeCell ref="B14:E14"/>
    <x:mergeCell ref="B9:E9"/>
    <x:mergeCell ref="B10:E10"/>
    <x:mergeCell ref="B11:E11"/>
    <x:mergeCell ref="B12:E12"/>
    <x:mergeCell ref="B13:E13"/>
    <x:mergeCell ref="B4:E4"/>
    <x:mergeCell ref="B5:E5"/>
    <x:mergeCell ref="B6:E6"/>
    <x:mergeCell ref="B7:E7"/>
    <x:mergeCell ref="B8:E8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Views>
    <sheetView showGridLines="0" workbookViewId="0">
      <pane ySplit="9" topLeftCell="A10" activePane="bottomLeft" state="frozen"/>
    </sheetView>
  </sheetViews>
  <sheetFormatPr baseColWidth="10" defaultColWidth="8.796875" defaultRowHeight="15.600000381469727"/>
  <cols>
    <col min="1" max="1" width="20" customWidth="1"/>
    <col min="2" max="2" width="43" customWidth="1"/>
    <col min="3" max="3" width="11" customWidth="1"/>
    <col min="4" max="5" width="14" customWidth="1"/>
    <col min="6" max="9" width="13" customWidth="1"/>
    <col min="10" max="13" width="16" customWidth="1"/>
    <col min="14" max="15" width="19" customWidth="1"/>
    <col min="16" max="16" width="24" customWidth="1"/>
    <col min="17" max="17" width="85" customWidth="1"/>
  </cols>
  <sheetData>
    <row r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ht="21">
      <c r="A2" s="6" t="s">
        <v>124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ht="45" customHeight="1">
      <c r="A3" s="13" t="s">
        <v>125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</row>
    <row r="4">
      <c r="A4" s="5" t="s">
        <v>126</v>
      </c>
      <c r="B4" s="5"/>
      <c r="C4" s="5" t="n">
        <f>COUNTIFS(P10:P19,"POR REVISAR")</f>
        <v>1</v>
      </c>
      <c r="D4" s="5" t="s">
        <v>127</v>
      </c>
      <c r="E4" s="5"/>
      <c r="F4" s="5" t="str">
        <f>IF(C4&gt;0,"Revisar entrega",SUM(N10:N19))</f>
        <v>Revisar entrega</v>
      </c>
      <c r="G4" s="5" t="s">
        <v>128</v>
      </c>
      <c r="H4" s="5"/>
      <c r="I4" s="5" t="str">
        <f>IF(C4&gt;0,"Revisar entrega",SUMPRODUCT(J10:J19,--(F10:F19="R"))+SUMPRODUCT(K10:K19,--(G10:G19="R"))+SUMPRODUCT(L10:L19,--(H10:H19="R"))+SUMPRODUCT(M10:M19,--(I10:I19="R")))</f>
        <v>Revisar entrega</v>
      </c>
      <c r="J4" s="5" t="s">
        <v>129</v>
      </c>
      <c r="K4" s="5"/>
      <c r="L4" s="5" t="str">
        <f>IF(C4&gt;0,"Revisar entrega",ROUNDUP((F4+I4*$C$6)*(1+$C$7),0))</f>
        <v>Revisar entrega</v>
      </c>
      <c r="M4" s="5" t="s">
        <v>130</v>
      </c>
      <c r="N4" s="5"/>
      <c r="O4" s="8">
        <v>0</v>
      </c>
      <c r="P4" s="5" t="s">
        <v>131</v>
      </c>
      <c r="Q4" s="5" t="str">
        <f>IF(C4&gt;0,"Revisar entrega",MAX(L4-O4,0))</f>
        <v>Revisar entrega</v>
      </c>
    </row>
    <row r="5">
      <c r="A5" s="5"/>
      <c r="B5" s="5"/>
      <c r="C5" s="5"/>
      <c r="D5" s="5" t="s">
        <v>132</v>
      </c>
      <c r="E5" s="5"/>
      <c r="F5" s="5" t="str">
        <f>IF(C4&gt;0,"Revisar entrega",SUM(O10:O19))</f>
        <v>Revisar entrega</v>
      </c>
      <c r="G5" s="5" t="s">
        <v>133</v>
      </c>
      <c r="H5" s="5"/>
      <c r="I5" s="5" t="str">
        <f>IF(C4&gt;0,"Revisar entrega",SUMPRODUCT(J10:J19,--(F10:F19="F"))+SUMPRODUCT(K10:K19,--(G10:G19="F"))+SUMPRODUCT(L10:L19,--(H10:H19="F"))+SUMPRODUCT(M10:M19,--(I10:I19="F")))</f>
        <v>Revisar entrega</v>
      </c>
      <c r="J5" s="5" t="s">
        <v>129</v>
      </c>
      <c r="K5" s="5"/>
      <c r="L5" s="5" t="str">
        <f>IF(C4&gt;0,"Revisar entrega",ROUNDUP((F5+I5*$C$6)*(1+$C$7),0))</f>
        <v>Revisar entrega</v>
      </c>
      <c r="M5" s="5" t="s">
        <v>130</v>
      </c>
      <c r="N5" s="5"/>
      <c r="O5" s="8">
        <v>0</v>
      </c>
      <c r="P5" s="5" t="s">
        <v>131</v>
      </c>
      <c r="Q5" s="5" t="str">
        <f>IF(C4&gt;0,"Revisar entrega",MAX(L5-O5,0))</f>
        <v>Revisar entrega</v>
      </c>
    </row>
    <row r="6">
      <c r="A6" s="5" t="s">
        <v>134</v>
      </c>
      <c r="B6" s="5"/>
      <c r="C6" s="8">
        <v>0.1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>
      <c r="A7" s="5" t="s">
        <v>135</v>
      </c>
      <c r="B7" s="5"/>
      <c r="C7" s="10">
        <v>0.2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ht="48" customHeight="1">
      <c r="A9" s="9" t="s">
        <v>119</v>
      </c>
      <c r="B9" s="9" t="s">
        <v>3</v>
      </c>
      <c r="C9" s="9" t="s">
        <v>2</v>
      </c>
      <c r="D9" s="9" t="s">
        <v>136</v>
      </c>
      <c r="E9" s="9" t="s">
        <v>137</v>
      </c>
      <c r="F9" s="9" t="s">
        <v>138</v>
      </c>
      <c r="G9" s="9" t="s">
        <v>139</v>
      </c>
      <c r="H9" s="9" t="s">
        <v>140</v>
      </c>
      <c r="I9" s="9" t="s">
        <v>141</v>
      </c>
      <c r="J9" s="9" t="s">
        <v>142</v>
      </c>
      <c r="K9" s="9" t="s">
        <v>143</v>
      </c>
      <c r="L9" s="9" t="s">
        <v>144</v>
      </c>
      <c r="M9" s="9" t="s">
        <v>145</v>
      </c>
      <c r="N9" s="9" t="s">
        <v>127</v>
      </c>
      <c r="O9" s="9" t="s">
        <v>132</v>
      </c>
      <c r="P9" s="9" t="s">
        <v>146</v>
      </c>
      <c r="Q9" s="9" t="s">
        <v>147</v>
      </c>
    </row>
    <row r="10" ht="58.04999923706055" customHeight="1">
      <c r="A10" s="5" t="str">
        <v>Cocina P004</v>
      </c>
      <c r="B10" s="7" t="str">
        <v>Fondo clavado atrás</v>
      </c>
      <c r="C10" s="5" t="n">
        <v>1</v>
      </c>
      <c r="D10" s="5" t="n">
        <v>176</v>
      </c>
      <c r="E10" s="5" t="n">
        <v>781</v>
      </c>
      <c r="F10" s="5" t="str">
        <v>—</v>
      </c>
      <c r="G10" s="5" t="str">
        <v>—</v>
      </c>
      <c r="H10" s="5" t="str">
        <v>—</v>
      </c>
      <c r="I10" s="5" t="str">
        <v>—</v>
      </c>
      <c r="J10" s="22" t="n">
        <v>0</v>
      </c>
      <c r="K10" s="22" t="n">
        <v>0</v>
      </c>
      <c r="L10" s="22" t="n">
        <v>0</v>
      </c>
      <c r="M10" s="22" t="n">
        <v>0</v>
      </c>
      <c r="N10" s="19" t="n">
        <f t="shared" ref="N10:N19" si="0">IF(COUNT(J10:M10)&lt;4,"Por revisar",(IF(F10="R",J10*D10,0)+IF(G10="R",K10*D10,0)+IF(H10="R",L10*E10,0)+IF(I10="R",M10*E10,0))/1000)</f>
        <v>0</v>
      </c>
      <c r="O10" s="19" t="n">
        <f t="shared" ref="O10:O19" si="1">IF(COUNT(J10:M10)&lt;4,"Por revisar",(IF(F10="F",J10*D10,0)+IF(G10="F",K10*D10,0)+IF(H10="F",L10*E10,0)+IF(I10="F",M10*E10,0))/1000)</f>
        <v>0</v>
      </c>
      <c r="P10" s="20" t="str">
        <v>SIN CANTO SOLICITADO</v>
      </c>
      <c r="Q10" s="21" t="str">
        <v>Sin canto · —</v>
      </c>
    </row>
    <row r="11" ht="58.04999923706055" customHeight="1">
      <c r="A11" s="5" t="str">
        <v>Cocina P015</v>
      </c>
      <c r="B11" s="7" t="str">
        <v>Fondo clavado atrás</v>
      </c>
      <c r="C11" s="5" t="n">
        <v>1</v>
      </c>
      <c r="D11" s="5" t="n">
        <v>666</v>
      </c>
      <c r="E11" s="5" t="n">
        <v>781</v>
      </c>
      <c r="F11" s="5" t="str">
        <v>—</v>
      </c>
      <c r="G11" s="5" t="str">
        <v>—</v>
      </c>
      <c r="H11" s="5" t="str">
        <v>—</v>
      </c>
      <c r="I11" s="5" t="str">
        <v>—</v>
      </c>
      <c r="J11" s="22" t="n">
        <v>0</v>
      </c>
      <c r="K11" s="22" t="n">
        <v>0</v>
      </c>
      <c r="L11" s="22" t="n">
        <v>0</v>
      </c>
      <c r="M11" s="22" t="n">
        <v>0</v>
      </c>
      <c r="N11" s="19" t="n">
        <f t="shared" si="0">IF(COUNT(J11:M11)&lt;4,"Por revisar",(IF(F11="R",J11*D11,0)+IF(G11="R",K11*D11,0)+IF(H11="R",L11*E11,0)+IF(I11="R",M11*E11,0))/1000)</f>
        <v>0</v>
      </c>
      <c r="O11" s="19" t="n">
        <f t="shared" si="1">IF(COUNT(J11:M11)&lt;4,"Por revisar",(IF(F11="F",J11*D11,0)+IF(G11="F",K11*D11,0)+IF(H11="F",L11*E11,0)+IF(I11="F",M11*E11,0))/1000)</f>
        <v>0</v>
      </c>
      <c r="P11" s="20" t="str">
        <v>SIN CANTO SOLICITADO</v>
      </c>
      <c r="Q11" s="21" t="str">
        <v>Sin canto · —</v>
      </c>
    </row>
    <row r="12" ht="58.04999923706055" customHeight="1">
      <c r="A12" s="5" t="str">
        <v>Cocina P026</v>
      </c>
      <c r="B12" s="7" t="str">
        <v>Fondo clavado atrás</v>
      </c>
      <c r="C12" s="5" t="n">
        <v>1</v>
      </c>
      <c r="D12" s="5" t="n">
        <v>696</v>
      </c>
      <c r="E12" s="5" t="n">
        <v>781</v>
      </c>
      <c r="F12" s="5" t="str">
        <v>—</v>
      </c>
      <c r="G12" s="5" t="str">
        <v>—</v>
      </c>
      <c r="H12" s="5" t="str">
        <v>—</v>
      </c>
      <c r="I12" s="5" t="str">
        <v>—</v>
      </c>
      <c r="J12" s="22" t="n">
        <v>0</v>
      </c>
      <c r="K12" s="22" t="n">
        <v>0</v>
      </c>
      <c r="L12" s="22" t="n">
        <v>0</v>
      </c>
      <c r="M12" s="22" t="n">
        <v>0</v>
      </c>
      <c r="N12" s="19" t="n">
        <f t="shared" si="0">IF(COUNT(J12:M12)&lt;4,"Por revisar",(IF(F12="R",J12*D12,0)+IF(G12="R",K12*D12,0)+IF(H12="R",L12*E12,0)+IF(I12="R",M12*E12,0))/1000)</f>
        <v>0</v>
      </c>
      <c r="O12" s="19" t="n">
        <f t="shared" si="1">IF(COUNT(J12:M12)&lt;4,"Por revisar",(IF(F12="F",J12*D12,0)+IF(G12="F",K12*D12,0)+IF(H12="F",L12*E12,0)+IF(I12="F",M12*E12,0))/1000)</f>
        <v>0</v>
      </c>
      <c r="P12" s="20" t="str">
        <v>SIN CANTO SOLICITADO</v>
      </c>
      <c r="Q12" s="21" t="str">
        <v>Sin canto · —</v>
      </c>
    </row>
    <row r="13" ht="58.04999923706055" customHeight="1">
      <c r="A13" s="5" t="str">
        <v>Cocina P033</v>
      </c>
      <c r="B13" s="7" t="str">
        <v>Fondo clavado atrás</v>
      </c>
      <c r="C13" s="5" t="n">
        <v>1</v>
      </c>
      <c r="D13" s="5" t="n">
        <v>396</v>
      </c>
      <c r="E13" s="5" t="n">
        <v>781</v>
      </c>
      <c r="F13" s="5" t="str">
        <v>—</v>
      </c>
      <c r="G13" s="5" t="str">
        <v>—</v>
      </c>
      <c r="H13" s="5" t="str">
        <v>—</v>
      </c>
      <c r="I13" s="5" t="str">
        <v>—</v>
      </c>
      <c r="J13" s="22" t="n">
        <v>0</v>
      </c>
      <c r="K13" s="22" t="n">
        <v>0</v>
      </c>
      <c r="L13" s="22" t="n">
        <v>0</v>
      </c>
      <c r="M13" s="22" t="n">
        <v>0</v>
      </c>
      <c r="N13" s="19" t="n">
        <f t="shared" si="0">IF(COUNT(J13:M13)&lt;4,"Por revisar",(IF(F13="R",J13*D13,0)+IF(G13="R",K13*D13,0)+IF(H13="R",L13*E13,0)+IF(I13="R",M13*E13,0))/1000)</f>
        <v>0</v>
      </c>
      <c r="O13" s="19" t="n">
        <f t="shared" si="1">IF(COUNT(J13:M13)&lt;4,"Por revisar",(IF(F13="F",J13*D13,0)+IF(G13="F",K13*D13,0)+IF(H13="F",L13*E13,0)+IF(I13="F",M13*E13,0))/1000)</f>
        <v>0</v>
      </c>
      <c r="P13" s="20" t="str">
        <v>SIN CANTO SOLICITADO</v>
      </c>
      <c r="Q13" s="21" t="str">
        <v>Sin canto · —</v>
      </c>
    </row>
    <row r="14" ht="58.04999923706055" customHeight="1">
      <c r="A14" s="5" t="str">
        <v>Cocina P042</v>
      </c>
      <c r="B14" s="7" t="str">
        <v>Fondo</v>
      </c>
      <c r="C14" s="5" t="n">
        <v>1</v>
      </c>
      <c r="D14" s="5" t="n">
        <v>191</v>
      </c>
      <c r="E14" s="5" t="n">
        <v>696</v>
      </c>
      <c r="F14" s="5" t="str">
        <v>—</v>
      </c>
      <c r="G14" s="5" t="str">
        <v>—</v>
      </c>
      <c r="H14" s="5" t="str">
        <v>—</v>
      </c>
      <c r="I14" s="5" t="str">
        <v>—</v>
      </c>
      <c r="J14" s="22" t="n">
        <v>0</v>
      </c>
      <c r="K14" s="22" t="n">
        <v>0</v>
      </c>
      <c r="L14" s="22" t="n">
        <v>0</v>
      </c>
      <c r="M14" s="22" t="n">
        <v>0</v>
      </c>
      <c r="N14" s="19" t="n">
        <f t="shared" si="0">IF(COUNT(J14:M14)&lt;4,"Por revisar",(IF(F14="R",J14*D14,0)+IF(G14="R",K14*D14,0)+IF(H14="R",L14*E14,0)+IF(I14="R",M14*E14,0))/1000)</f>
        <v>0</v>
      </c>
      <c r="O14" s="19" t="n">
        <f t="shared" si="1">IF(COUNT(J14:M14)&lt;4,"Por revisar",(IF(F14="F",J14*D14,0)+IF(G14="F",K14*D14,0)+IF(H14="F",L14*E14,0)+IF(I14="F",M14*E14,0))/1000)</f>
        <v>0</v>
      </c>
      <c r="P14" s="20" t="str">
        <v>SIN CANTO SOLICITADO</v>
      </c>
      <c r="Q14" s="21" t="str">
        <v>Sin canto · —</v>
      </c>
    </row>
    <row r="15" ht="58.04999923706055" customHeight="1">
      <c r="A15" s="5" t="str">
        <v>Cocina P048</v>
      </c>
      <c r="B15" s="7" t="str">
        <v>Fondo</v>
      </c>
      <c r="C15" s="5" t="n">
        <v>1</v>
      </c>
      <c r="D15" s="5" t="n">
        <v>596</v>
      </c>
      <c r="E15" s="5" t="n">
        <v>446</v>
      </c>
      <c r="F15" s="5" t="str">
        <v>—</v>
      </c>
      <c r="G15" s="5" t="str">
        <v>—</v>
      </c>
      <c r="H15" s="5" t="str">
        <v>—</v>
      </c>
      <c r="I15" s="5" t="str">
        <v>—</v>
      </c>
      <c r="J15" s="22" t="n">
        <v>0</v>
      </c>
      <c r="K15" s="22" t="n">
        <v>0</v>
      </c>
      <c r="L15" s="22" t="n">
        <v>0</v>
      </c>
      <c r="M15" s="22" t="n">
        <v>0</v>
      </c>
      <c r="N15" s="19" t="n">
        <f t="shared" si="0">IF(COUNT(J15:M15)&lt;4,"Por revisar",(IF(F15="R",J15*D15,0)+IF(G15="R",K15*D15,0)+IF(H15="R",L15*E15,0)+IF(I15="R",M15*E15,0))/1000)</f>
        <v>0</v>
      </c>
      <c r="O15" s="19" t="n">
        <f t="shared" si="1">IF(COUNT(J15:M15)&lt;4,"Por revisar",(IF(F15="F",J15*D15,0)+IF(G15="F",K15*D15,0)+IF(H15="F",L15*E15,0)+IF(I15="F",M15*E15,0))/1000)</f>
        <v>0</v>
      </c>
      <c r="P15" s="20" t="str">
        <v>SIN CANTO SOLICITADO</v>
      </c>
      <c r="Q15" s="21" t="str">
        <v>Sin canto · —</v>
      </c>
    </row>
    <row r="16" ht="58.04999923706055" customHeight="1">
      <c r="A16" s="5" t="str">
        <v>Cocina P053</v>
      </c>
      <c r="B16" s="7" t="str">
        <v>Fondo</v>
      </c>
      <c r="C16" s="5" t="n">
        <v>1</v>
      </c>
      <c r="D16" s="5" t="n">
        <v>651</v>
      </c>
      <c r="E16" s="5" t="n">
        <v>696</v>
      </c>
      <c r="F16" s="5" t="str">
        <v>—</v>
      </c>
      <c r="G16" s="5" t="str">
        <v>—</v>
      </c>
      <c r="H16" s="5" t="str">
        <v>—</v>
      </c>
      <c r="I16" s="5" t="str">
        <v>—</v>
      </c>
      <c r="J16" s="22" t="n">
        <v>0</v>
      </c>
      <c r="K16" s="22" t="n">
        <v>0</v>
      </c>
      <c r="L16" s="22" t="n">
        <v>0</v>
      </c>
      <c r="M16" s="22" t="n">
        <v>0</v>
      </c>
      <c r="N16" s="19" t="n">
        <f t="shared" si="0">IF(COUNT(J16:M16)&lt;4,"Por revisar",(IF(F16="R",J16*D16,0)+IF(G16="R",K16*D16,0)+IF(H16="R",L16*E16,0)+IF(I16="R",M16*E16,0))/1000)</f>
        <v>0</v>
      </c>
      <c r="O16" s="19" t="n">
        <f t="shared" si="1">IF(COUNT(J16:M16)&lt;4,"Por revisar",(IF(F16="F",J16*D16,0)+IF(G16="F",K16*D16,0)+IF(H16="F",L16*E16,0)+IF(I16="F",M16*E16,0))/1000)</f>
        <v>0</v>
      </c>
      <c r="P16" s="20" t="str">
        <v>SIN CANTO SOLICITADO</v>
      </c>
      <c r="Q16" s="21" t="str">
        <v>Sin canto · —</v>
      </c>
    </row>
    <row r="17" ht="58.04999923706055" customHeight="1">
      <c r="A17" s="5" t="str">
        <v>Cocina P062</v>
      </c>
      <c r="B17" s="7" t="str">
        <v>Fondo</v>
      </c>
      <c r="C17" s="5" t="n">
        <v>1</v>
      </c>
      <c r="D17" s="5" t="n">
        <v>711</v>
      </c>
      <c r="E17" s="5" t="n">
        <v>696</v>
      </c>
      <c r="F17" s="5" t="str">
        <v>—</v>
      </c>
      <c r="G17" s="5" t="str">
        <v>—</v>
      </c>
      <c r="H17" s="5" t="str">
        <v>—</v>
      </c>
      <c r="I17" s="5" t="str">
        <v>—</v>
      </c>
      <c r="J17" s="22" t="n">
        <v>0</v>
      </c>
      <c r="K17" s="22" t="n">
        <v>0</v>
      </c>
      <c r="L17" s="22" t="n">
        <v>0</v>
      </c>
      <c r="M17" s="22" t="n">
        <v>0</v>
      </c>
      <c r="N17" s="19" t="n">
        <f t="shared" si="0">IF(COUNT(J17:M17)&lt;4,"Por revisar",(IF(F17="R",J17*D17,0)+IF(G17="R",K17*D17,0)+IF(H17="R",L17*E17,0)+IF(I17="R",M17*E17,0))/1000)</f>
        <v>0</v>
      </c>
      <c r="O17" s="19" t="n">
        <f t="shared" si="1">IF(COUNT(J17:M17)&lt;4,"Por revisar",(IF(F17="F",J17*D17,0)+IF(G17="F",K17*D17,0)+IF(H17="F",L17*E17,0)+IF(I17="F",M17*E17,0))/1000)</f>
        <v>0</v>
      </c>
      <c r="P17" s="20" t="str">
        <v>SIN CANTO SOLICITADO</v>
      </c>
      <c r="Q17" s="21" t="str">
        <v>Sin canto · —</v>
      </c>
    </row>
    <row r="18" ht="58.04999923706055" customHeight="1">
      <c r="A18" s="5" t="str">
        <v>Cocina P068</v>
      </c>
      <c r="B18" s="7" t="str">
        <v>Fondo</v>
      </c>
      <c r="C18" s="5" t="n">
        <v>1</v>
      </c>
      <c r="D18" s="5" t="n">
        <v>396</v>
      </c>
      <c r="E18" s="5" t="n">
        <v>696</v>
      </c>
      <c r="F18" s="5" t="str">
        <v>—</v>
      </c>
      <c r="G18" s="5" t="str">
        <v>—</v>
      </c>
      <c r="H18" s="5" t="str">
        <v>—</v>
      </c>
      <c r="I18" s="5" t="str">
        <v>—</v>
      </c>
      <c r="J18" s="22" t="n">
        <v>0</v>
      </c>
      <c r="K18" s="22" t="n">
        <v>0</v>
      </c>
      <c r="L18" s="22" t="n">
        <v>0</v>
      </c>
      <c r="M18" s="22" t="n">
        <v>0</v>
      </c>
      <c r="N18" s="19" t="n">
        <f t="shared" si="0">IF(COUNT(J18:M18)&lt;4,"Por revisar",(IF(F18="R",J18*D18,0)+IF(G18="R",K18*D18,0)+IF(H18="R",L18*E18,0)+IF(I18="R",M18*E18,0))/1000)</f>
        <v>0</v>
      </c>
      <c r="O18" s="19" t="n">
        <f t="shared" si="1">IF(COUNT(J18:M18)&lt;4,"Por revisar",(IF(F18="F",J18*D18,0)+IF(G18="F",K18*D18,0)+IF(H18="F",L18*E18,0)+IF(I18="F",M18*E18,0))/1000)</f>
        <v>0</v>
      </c>
      <c r="P18" s="20" t="str">
        <v>SIN CANTO SOLICITADO</v>
      </c>
      <c r="Q18" s="21" t="str">
        <v>Sin canto · —</v>
      </c>
    </row>
    <row r="19" ht="58.04999923706055" customHeight="1">
      <c r="A19" s="5" t="str">
        <v>Baño F01</v>
      </c>
      <c r="B19" s="7" t="str">
        <v>Fondo blanco de 6 mm</v>
      </c>
      <c r="C19" s="5" t="n">
        <v>1</v>
      </c>
      <c r="D19" s="5" t="n">
        <v>496</v>
      </c>
      <c r="E19" s="5" t="n">
        <v>446</v>
      </c>
      <c r="F19" s="5" t="str">
        <v>F</v>
      </c>
      <c r="G19" s="5" t="str">
        <v>F</v>
      </c>
      <c r="H19" s="5" t="str">
        <v>F</v>
      </c>
      <c r="I19" s="5" t="str">
        <v>F</v>
      </c>
      <c r="J19" s="23"/>
      <c r="K19" s="23"/>
      <c r="L19" s="23"/>
      <c r="M19" s="23"/>
      <c r="N19" s="19" t="str">
        <f t="shared" si="0">IF(COUNT(J19:M19)&lt;4,"Por revisar",(IF(F19="R",J19*D19,0)+IF(G19="R",K19*D19,0)+IF(H19="R",L19*E19,0)+IF(I19="R",M19*E19,0))/1000)</f>
        <v>Por revisar</v>
      </c>
      <c r="O19" s="19" t="str">
        <f t="shared" si="1">IF(COUNT(J19:M19)&lt;4,"Por revisar",(IF(F19="F",J19*D19,0)+IF(G19="F",K19*D19,0)+IF(H19="F",L19*E19,0)+IF(I19="F",M19*E19,0))/1000)</f>
        <v>Por revisar</v>
      </c>
      <c r="P19" s="20" t="str">
        <f>IF(COUNT(J19:M19)&lt;4,"POR REVISAR",IF(SUM(J19:M19)=0,"RECIBIDO CONFORME","CANTEAR A MANO"))</f>
        <v>POR REVISAR</v>
      </c>
      <c r="Q19" s="21" t="str">
        <v>Normal · Fondo aplicado por detrás, retranqueado 2 mm de los bordes. Reutilización de sobrantes de cocina solo se comprobará en la optimización conjunta final. No soporta el anclaje del gabinete. Canto flexible 0,45 mm en todo el perímetro; mantener sellados recortes y perforaciones.</v>
      </c>
    </row>
  </sheetData>
  <mergeCells>
    <mergeCell ref="A3:Q3"/>
  </mergeCells>
  <dataValidations count="1">
    <dataValidation type="whole" operator="between" allowBlank="1" showErrorMessage="1" sqref="J10:M19">
      <formula1>0</formula1>
      <formula2>$C10</formula2>
    </dataValidation>
  </dataValidations>
  <pageMargins left="0.7" right="0.7" top="0.75" bottom="0.75" header="0.3" footer="0.3"/>
</worksheet>
</file>