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ea92c4b63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tes" sheetId="1" r:id="R7473679bfd3f4b4a"/>
    <x:sheet xmlns:r="http://schemas.openxmlformats.org/officeDocument/2006/relationships" name="Instrucciones" sheetId="2" r:id="R6210ea2a283743de"/>
    <x:sheet xmlns:r="http://schemas.openxmlformats.org/officeDocument/2006/relationships" name="Control del pedido" sheetId="3" r:id="Ree589a79c803496b"/>
    <x:sheet xmlns:r="http://schemas.openxmlformats.org/officeDocument/2006/relationships" name="Recepción y canteo" sheetId="4" r:id="R920c20e011a24a27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56" formatCode="&quot;上午/下午 &quot;hh&quot;時&quot;mm&quot;分&quot;ss&quot;秒 &quot;"/>
    <x:numFmt numFmtId="200" formatCode="0.00"/>
    <x:numFmt numFmtId="201" formatCode="0"/>
    <x:numFmt numFmtId="202" formatCode="0%"/>
    <x:numFmt numFmtId="203" formatCode="0.000"/>
  </x:numFmts>
  <x:fonts count="6">
    <x:font>
      <x:sz val="12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2"/>
      <x:color theme="1"/>
      <x:name val="Arial"/>
      <x:family val="2"/>
      <x:scheme val="minor"/>
    </x:font>
    <x:font>
      <x:sz val="10"/>
      <x:color theme="1"/>
      <x:name val="Arial"/>
      <x:family val="2"/>
      <x:scheme val="minor"/>
    </x:font>
    <x:font>
      <x:sz val="16"/>
      <x:color theme="1"/>
      <x:name val="Arial"/>
      <x:family val="2"/>
      <x:scheme val="minor"/>
    </x:font>
    <x:font>
      <x:sz val="10"/>
      <x:color rgb="FFFFFFFF"/>
      <x:name val="Arial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3B35"/>
      </x:patternFill>
    </x:fill>
    <x:fill>
      <x:patternFill patternType="solid">
        <x:fgColor rgb="FF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 applyNumberFormat="1"/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2" fontId="3" fillId="2" borderId="0" xfId="0" applyNumberFormat="1" applyFont="1" applyFill="1" applyBorder="1"/>
    <x:xf numFmtId="0" fontId="3" fillId="4" borderId="0" xfId="0" applyNumberFormat="1" applyFont="1" applyFill="1" applyBorder="1"/>
    <x:xf numFmtId="203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b206a0e17448d" /><Relationship Type="http://schemas.openxmlformats.org/officeDocument/2006/relationships/theme" Target="/xl/theme/theme1.xml" Id="R918db3a032764728" /><Relationship Type="http://schemas.openxmlformats.org/officeDocument/2006/relationships/sheetMetadata" Target="/xl/metadata1.xml" Id="R172c877541974ebe" /><Relationship Type="http://schemas.openxmlformats.org/officeDocument/2006/relationships/sharedStrings" Target="/xl/sharedStrings.xml" Id="R2204909f5f3d4035" /><Relationship Type="http://schemas.openxmlformats.org/officeDocument/2006/relationships/worksheet" Target="/xl/worksheets/sheet1.xml" Id="R7473679bfd3f4b4a" /><Relationship Type="http://schemas.openxmlformats.org/officeDocument/2006/relationships/worksheet" Target="/xl/worksheets/sheet2.xml" Id="R6210ea2a283743de" /><Relationship Type="http://schemas.openxmlformats.org/officeDocument/2006/relationships/worksheet" Target="/xl/worksheets/sheet3.xml" Id="Ree589a79c803496b" /><Relationship Type="http://schemas.openxmlformats.org/officeDocument/2006/relationships/worksheet" Target="/xl/worksheets/sheet4.xml" Id="R920c20e011a24a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.83203125" customWidth="1"/>
    <col min="2" max="2" width="14.83203125" customWidth="1"/>
    <col min="3" max="3" width="10.83203125" customWidth="1"/>
    <col min="4" max="4" width="74" hidden="0" customWidth="1"/>
    <col min="5" max="5" width="12.83203125" customWidth="1"/>
    <col min="6" max="6" width="20" hidden="0" customWidth="1"/>
    <col min="7" max="7" width="20" hidden="0" customWidth="1"/>
    <col min="8" max="8" width="20" hidden="0" customWidth="1"/>
    <col min="9" max="9" width="20" hidden="0" customWidth="1"/>
    <col min="10" max="10" width="40.83203125" customWidth="1"/>
  </cols>
  <sheetData>
    <row r="1" ht="30" customHeight="1">
      <c r="A1" t="str">
        <v>Ancho (mm)</v>
      </c>
      <c r="B1" t="str">
        <v>Alto (mm)</v>
      </c>
      <c r="C1" t="str">
        <v>Cantidad</v>
      </c>
      <c r="D1" t="str">
        <v>Descripción</v>
      </c>
      <c r="E1" t="str">
        <v>Veta</v>
      </c>
      <c r="F1" t="str">
        <v>Canto Superior</v>
      </c>
      <c r="G1" t="str">
        <v>Canto Inferior</v>
      </c>
      <c r="H1" t="str">
        <v>Canto Izquierdo</v>
      </c>
      <c r="I1" t="str">
        <v>Canto Derecho</v>
      </c>
      <c r="J1" t="str">
        <v>Servicios</v>
      </c>
    </row>
    <row r="2" ht="66" customHeight="1">
      <c r="A2" s="5" t="n">
        <v>176</v>
      </c>
      <c r="B2" s="5" t="n">
        <v>781</v>
      </c>
      <c r="C2" s="6" t="n">
        <v>1</v>
      </c>
      <c r="D2" s="4" t="str">
        <v>Cocina P004 · B1 Condimentero 18 · Fondo clavado atrás · Fondo blanco RH6 · FINAL CON CANTO</v>
      </c>
      <c r="E2" s="3" t="str">
        <v>Horizontal</v>
      </c>
      <c r="F2" s="3"/>
      <c r="G2" s="3"/>
      <c r="H2" s="3"/>
      <c r="I2" s="3"/>
      <c r="J2" s="3"/>
    </row>
    <row r="3" ht="66" customHeight="1">
      <c r="A3" s="5" t="n">
        <v>666</v>
      </c>
      <c r="B3" s="5" t="n">
        <v>781</v>
      </c>
      <c r="C3" s="6" t="n">
        <v>1</v>
      </c>
      <c r="D3" s="4" t="str">
        <v>Cocina P015 · B3 Cubiertero y puertas 67 · Fondo clavado atrás · Fondo blanco RH6 · FINAL CON CANTO</v>
      </c>
      <c r="E3" s="3" t="str">
        <v>Horizontal</v>
      </c>
      <c r="F3" s="3"/>
      <c r="G3" s="3"/>
      <c r="H3" s="3"/>
      <c r="I3" s="3"/>
      <c r="J3" s="3"/>
    </row>
    <row r="4" ht="66" customHeight="1">
      <c r="A4" s="5" t="n">
        <v>696</v>
      </c>
      <c r="B4" s="5" t="n">
        <v>781</v>
      </c>
      <c r="C4" s="6" t="n">
        <v>1</v>
      </c>
      <c r="D4" s="4" t="str">
        <v>Cocina P026 · B5 Lavaplatos 70 · Fondo clavado atrás · Fondo blanco RH6 · FINAL CON CANTO</v>
      </c>
      <c r="E4" s="3" t="str">
        <v>Horizontal</v>
      </c>
      <c r="F4" s="3"/>
      <c r="G4" s="3"/>
      <c r="H4" s="3"/>
      <c r="I4" s="3"/>
      <c r="J4" s="3"/>
    </row>
    <row r="5" ht="66" customHeight="1">
      <c r="A5" s="5" t="n">
        <v>396</v>
      </c>
      <c r="B5" s="5" t="n">
        <v>781</v>
      </c>
      <c r="C5" s="6" t="n">
        <v>1</v>
      </c>
      <c r="D5" s="4" t="str">
        <v>Cocina P033 · B4 Basurero y puerta 40 · Fondo clavado atrás · Fondo blanco RH6 · FINAL CON CANTO</v>
      </c>
      <c r="E5" s="3" t="str">
        <v>Horizontal</v>
      </c>
      <c r="F5" s="3"/>
      <c r="G5" s="3"/>
      <c r="H5" s="3"/>
      <c r="I5" s="3"/>
      <c r="J5" s="3"/>
    </row>
    <row r="6" ht="66" customHeight="1">
      <c r="A6" s="5" t="n">
        <v>191</v>
      </c>
      <c r="B6" s="5" t="n">
        <v>696</v>
      </c>
      <c r="C6" s="6" t="n">
        <v>1</v>
      </c>
      <c r="D6" s="4" t="str">
        <v>Cocina P042 · S1 Alacena 19,5 · Fondo · Fondo blanco RH6 · FINAL CON CANTO</v>
      </c>
      <c r="E6" s="3" t="str">
        <v>Horizontal</v>
      </c>
      <c r="F6" s="3"/>
      <c r="G6" s="3"/>
      <c r="H6" s="3"/>
      <c r="I6" s="3"/>
      <c r="J6" s="3"/>
    </row>
    <row r="7" ht="66" customHeight="1">
      <c r="A7" s="5" t="n">
        <v>596</v>
      </c>
      <c r="B7" s="5" t="n">
        <v>346</v>
      </c>
      <c r="C7" s="6" t="n">
        <v>1</v>
      </c>
      <c r="D7" s="4" t="str">
        <v>Cocina P048 · S2 Gabinete ducto 60 · Fondo · Fondo blanco RH6 · FINAL CON CANTO</v>
      </c>
      <c r="E7" s="3" t="str">
        <v>Horizontal</v>
      </c>
      <c r="F7" s="3"/>
      <c r="G7" s="3"/>
      <c r="H7" s="3"/>
      <c r="I7" s="3"/>
      <c r="J7" s="3"/>
    </row>
    <row r="8" ht="66" customHeight="1">
      <c r="A8" s="5" t="n">
        <v>651</v>
      </c>
      <c r="B8" s="5" t="n">
        <v>696</v>
      </c>
      <c r="C8" s="6" t="n">
        <v>1</v>
      </c>
      <c r="D8" s="4" t="str">
        <v>Cocina P053 · S3 Alacena 65,5 · Fondo · Fondo blanco RH6 · FINAL CON CANTO</v>
      </c>
      <c r="E8" s="3" t="str">
        <v>Horizontal</v>
      </c>
      <c r="F8" s="3"/>
      <c r="G8" s="3"/>
      <c r="H8" s="3"/>
      <c r="I8" s="3"/>
      <c r="J8" s="3"/>
    </row>
    <row r="9" ht="66" customHeight="1">
      <c r="A9" s="5" t="n">
        <v>711</v>
      </c>
      <c r="B9" s="5" t="n">
        <v>696</v>
      </c>
      <c r="C9" s="6" t="n">
        <v>1</v>
      </c>
      <c r="D9" s="4" t="str">
        <v>Cocina P062 · S4 Platero 71,5 · Fondo · Fondo blanco RH6 · FINAL CON CANTO</v>
      </c>
      <c r="E9" s="3" t="str">
        <v>Horizontal</v>
      </c>
      <c r="F9" s="3"/>
      <c r="G9" s="3"/>
      <c r="H9" s="3"/>
      <c r="I9" s="3"/>
      <c r="J9" s="3"/>
    </row>
    <row r="10" ht="66" customHeight="1">
      <c r="A10" s="5" t="n">
        <v>396</v>
      </c>
      <c r="B10" s="5" t="n">
        <v>696</v>
      </c>
      <c r="C10" s="6" t="n">
        <v>1</v>
      </c>
      <c r="D10" s="4" t="str">
        <v>Cocina P068 · S5 Alacena 40 · Fondo · Fondo blanco RH6 · FINAL CON CANTO</v>
      </c>
      <c r="E10" s="3" t="str">
        <v>Horizontal</v>
      </c>
      <c r="F10" s="3"/>
      <c r="G10" s="3"/>
      <c r="H10" s="3"/>
      <c r="I10" s="3"/>
      <c r="J10" s="3"/>
    </row>
    <row r="11" ht="66" customHeight="1">
      <c r="A11" s="5" t="n">
        <v>496</v>
      </c>
      <c r="B11" s="5" t="n">
        <v>446</v>
      </c>
      <c r="C11" s="6" t="n">
        <v>1</v>
      </c>
      <c r="D11" s="4" t="str">
        <v>Baño F01 · ESPEJO · Fondo blanco de 6 mm · Fondo blanco RH6 · FINAL CON CANTO</v>
      </c>
      <c r="E11" s="3" t="str">
        <v>Horizontal</v>
      </c>
      <c r="F11" s="3" t="str">
        <v>Flexible 0,45 mm</v>
      </c>
      <c r="G11" s="3" t="str">
        <v>Flexible 0,45 mm</v>
      </c>
      <c r="H11" s="3" t="str">
        <v>Flexible 0,45 mm</v>
      </c>
      <c r="I11" s="3" t="str">
        <v>Flexible 0,45 mm</v>
      </c>
      <c r="J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</row>
  </sheetData>
  <autoFilter ref="A1:J11"/>
  <pageMargins left="0.7" right="0.7" top="0.75" bottom="0.75" header="0.3" footer="0.3"/>
</worksheet>
</file>

<file path=xl/worksheets/sheet2.xml><?xml version="1.0" encoding="utf-8"?>
<x:worksheet xmlns:x="http://schemas.openxmlformats.org/spreadsheetml/2006/main">
  <x:cols>
    <x:col min="1" max="1" width="75.83203125" customWidth="1"/>
  </x:cols>
  <x:sheetData>
    <x:row r="1">
      <x:c r="A1" t="str"/>
    </x:row>
    <x:row r="2">
      <x:c r="A2" t="str">
        <x:v>  PLANTILLA DE CORTES - GUÍA DE SERVICIOS</x:v>
      </x:c>
    </x:row>
    <x:row r="3">
      <x:c r="A3" t="str"/>
    </x:row>
    <x:row r="4">
      <x:c r="A4" t="str">
        <x:v>  ═══════════════════════════════════════════════════════════════════</x:v>
      </x:c>
    </x:row>
    <x:row r="5">
      <x:c r="A5" t="str"/>
    </x:row>
    <x:row r="6">
      <x:c r="A6" t="str">
        <x:v>  CÓMO USAR ESTA PLANTILLA:</x:v>
      </x:c>
    </x:row>
    <x:row r="7">
      <x:c r="A7" t="str"/>
    </x:row>
    <x:row r="8">
      <x:c r="A8" t="str">
        <x:v>     1. Ve a la hoja "Cortes"</x:v>
      </x:c>
    </x:row>
    <x:row r="9">
      <x:c r="A9" t="str">
        <x:v>     2. Llena las columnas A-I con medidas, veta y cantos</x:v>
      </x:c>
    </x:row>
    <x:row r="10">
      <x:c r="A10" t="str">
        <x:v>     3. En la columna J "Servicios" escribe lo que necesitas en texto libre</x:v>
      </x:c>
    </x:row>
    <x:row r="11">
      <x:c r="A11" t="str">
        <x:v>     4. La IA interpretará automáticamente los servicios al importar</x:v>
      </x:c>
    </x:row>
    <x:row r="12">
      <x:c r="A12" t="str">
        <x:v>     5. Guarda el archivo y súbelo a la aplicación</x:v>
      </x:c>
    </x:row>
    <x:row r="13">
      <x:c r="A13" t="str"/>
    </x:row>
    <x:row r="14">
      <x:c r="A14" t="str">
        <x:v>  ═══════════════════════════════════════════════════════════════════</x:v>
      </x:c>
    </x:row>
    <x:row r="15">
      <x:c r="A15" t="str"/>
    </x:row>
    <x:row r="16">
      <x:c r="A16" t="str">
        <x:v>  COLUMNAS BÁSICAS (A-E):</x:v>
      </x:c>
    </x:row>
    <x:row r="17">
      <x:c r="A17" t="str"/>
    </x:row>
    <x:row r="18">
      <x:c r="A18" t="str">
        <x:v>     • Ancho (mm)    →  Máximo 2420 mm (área útil de corte)</x:v>
      </x:c>
    </x:row>
    <x:row r="19">
      <x:c r="A19" t="str">
        <x:v>     • Alto (mm)     →  Máximo 2130 mm (área útil de corte)</x:v>
      </x:c>
    </x:row>
    <x:row r="20">
      <x:c r="A20" t="str">
        <x:v>     • Cantidad      →  Número de piezas iguales (mínimo 1)</x:v>
      </x:c>
    </x:row>
    <x:row r="21">
      <x:c r="A21" t="str">
        <x:v>     • Descripción   →  Nombre o referencia de la pieza</x:v>
      </x:c>
    </x:row>
    <x:row r="22">
      <x:c r="A22" t="str">
        <x:v>     • Veta          →  Horizontal o Vertical (usa el desplegable ▼)</x:v>
      </x:c>
    </x:row>
    <x:row r="23">
      <x:c r="A23" t="str"/>
    </x:row>
    <x:row r="24">
      <x:c r="A24" t="str">
        <x:v>  ═══════════════════════════════════════════════════════════════════</x:v>
      </x:c>
    </x:row>
    <x:row r="25">
      <x:c r="A25" t="str"/>
    </x:row>
    <x:row r="26">
      <x:c r="A26" t="str">
        <x:v>  CANTOS (Columnas F-I) - Usa el desplegable:</x:v>
      </x:c>
    </x:row>
    <x:row r="27">
      <x:c r="A27" t="str"/>
    </x:row>
    <x:row r="28">
      <x:c r="A28" t="str">
        <x:v>     ▼ Blanco</x:v>
      </x:c>
    </x:row>
    <x:row r="29">
      <x:c r="A29" t="str">
        <x:v>     ▼ Negro</x:v>
      </x:c>
    </x:row>
    <x:row r="30">
      <x:c r="A30" t="str">
        <x:v>     ▼ Madera clara</x:v>
      </x:c>
    </x:row>
    <x:row r="31">
      <x:c r="A31" t="str">
        <x:v>     ▼ Madera oscura</x:v>
      </x:c>
    </x:row>
    <x:row r="32">
      <x:c r="A32" t="str">
        <x:v>     ▼ Gris</x:v>
      </x:c>
    </x:row>
    <x:row r="33">
      <x:c r="A33" t="str">
        <x:v>     ▼ (vacío = sin canto)</x:v>
      </x:c>
    </x:row>
    <x:row r="34">
      <x:c r="A34" t="str"/>
    </x:row>
    <x:row r="35">
      <x:c r="A35" t="str">
        <x:v>  ═══════════════════════════════════════════════════════════════════</x:v>
      </x:c>
    </x:row>
    <x:row r="36">
      <x:c r="A36" t="str"/>
    </x:row>
    <x:row r="37">
      <x:c r="A37" t="str">
        <x:v>  COLUMNA SERVICIOS (J) - Texto libre:</x:v>
      </x:c>
    </x:row>
    <x:row r="38">
      <x:c r="A38" t="str"/>
    </x:row>
    <x:row r="39">
      <x:c r="A39" t="str">
        <x:v>     Escribe los servicios que necesitas separados por coma o "+".</x:v>
      </x:c>
    </x:row>
    <x:row r="40">
      <x:c r="A40" t="str">
        <x:v>     La IA interpretará automáticamente lo que escribas.</x:v>
      </x:c>
    </x:row>
    <x:row r="41">
      <x:c r="A41" t="str"/>
    </x:row>
    <x:row r="42">
      <x:c r="A42" t="str">
        <x:v>  ─────────────────────────────────────────────────────────────────</x:v>
      </x:c>
    </x:row>
    <x:row r="43">
      <x:c r="A43" t="str"/>
    </x:row>
    <x:row r="44">
      <x:c r="A44" t="str">
        <x:v>  1.  PERFORACIÓN BISAGRA</x:v>
      </x:c>
    </x:row>
    <x:row r="45">
      <x:c r="A45" t="str">
        <x:v>     Perforaciones para bisagras de puertas.</x:v>
      </x:c>
    </x:row>
    <x:row r="46">
      <x:c r="A46" t="str">
        <x:v>     Indica la cantidad y en qué dimensión van.</x:v>
      </x:c>
    </x:row>
    <x:row r="47">
      <x:c r="A47" t="str"/>
    </x:row>
    <x:row r="48">
      <x:c r="A48" t="str">
        <x:v>     Ejemplo: "Perforación x4 en alto"</x:v>
      </x:c>
    </x:row>
    <x:row r="49">
      <x:c r="A49" t="str">
        <x:v>     Ejemplo: "Bisagra x2"</x:v>
      </x:c>
    </x:row>
    <x:row r="50">
      <x:c r="A50" t="str">
        <x:v>     Ejemplo: "Perforación x6 en ancho"</x:v>
      </x:c>
    </x:row>
    <x:row r="51">
      <x:c r="A51" t="str"/>
    </x:row>
    <x:row r="52">
      <x:c r="A52" t="str">
        <x:v>  ─────────────────────────────────────────────────────────────────</x:v>
      </x:c>
    </x:row>
    <x:row r="53">
      <x:c r="A53" t="str"/>
    </x:row>
    <x:row r="54">
      <x:c r="A54" t="str">
        <x:v>  2.  RANURA FONDO</x:v>
      </x:c>
    </x:row>
    <x:row r="55">
      <x:c r="A55" t="str">
        <x:v>     Ranura para insertar el fondo del mueble.</x:v>
      </x:c>
    </x:row>
    <x:row r="56">
      <x:c r="A56" t="str">
        <x:v>     Opciones de grosor: 3mm o 6mm. Indica el lado.</x:v>
      </x:c>
    </x:row>
    <x:row r="57">
      <x:c r="A57" t="str"/>
    </x:row>
    <x:row r="58">
      <x:c r="A58" t="str">
        <x:v>     Ejemplo: "Ranura fondo 6mm en ancho"</x:v>
      </x:c>
    </x:row>
    <x:row r="59">
      <x:c r="A59" t="str">
        <x:v>     Ejemplo: "Ranura 3mm"</x:v>
      </x:c>
    </x:row>
    <x:row r="60">
      <x:c r="A60" t="str">
        <x:v>     Ejemplo: "Ranura fondo en alto"</x:v>
      </x:c>
    </x:row>
    <x:row r="61">
      <x:c r="A61" t="str"/>
    </x:row>
    <x:row r="62">
      <x:c r="A62" t="str">
        <x:v>  ─────────────────────────────────────────────────────────────────</x:v>
      </x:c>
    </x:row>
    <x:row r="63">
      <x:c r="A63" t="str"/>
    </x:row>
    <x:row r="64">
      <x:c r="A64" t="str">
        <x:v>  3.  NARIZ (engrosado de mesón)</x:v>
      </x:c>
    </x:row>
    <x:row r="65">
      <x:c r="A65" t="str">
        <x:v>     Engrosado para mesones y superficies.</x:v>
      </x:c>
    </x:row>
    <x:row r="66">
      <x:c r="A66" t="str">
        <x:v>     Notación de lados:</x:v>
      </x:c>
    </x:row>
    <x:row r="67">
      <x:c r="A67" t="str">
        <x:v>       1L = 1 lado largo (superior)</x:v>
      </x:c>
    </x:row>
    <x:row r="68">
      <x:c r="A68" t="str">
        <x:v>       2L = 2 lados largos (superior + inferior)</x:v>
      </x:c>
    </x:row>
    <x:row r="69">
      <x:c r="A69" t="str">
        <x:v>       1A = 1 lado ancho (izquierdo)</x:v>
      </x:c>
    </x:row>
    <x:row r="70">
      <x:c r="A70" t="str">
        <x:v>       2A = 2 lados anchos (izquierdo + derecho)</x:v>
      </x:c>
    </x:row>
    <x:row r="71">
      <x:c r="A71" t="str">
        <x:v>       4L = los 4 lados</x:v>
      </x:c>
    </x:row>
    <x:row r="72">
      <x:c r="A72" t="str">
        <x:v>     Opcionalmente indica el ancho en mm (default: 70mm).</x:v>
      </x:c>
    </x:row>
    <x:row r="73">
      <x:c r="A73" t="str"/>
    </x:row>
    <x:row r="74">
      <x:c r="A74" t="str">
        <x:v>     Ejemplo: "Nariz 2L 70mm"</x:v>
      </x:c>
    </x:row>
    <x:row r="75">
      <x:c r="A75" t="str">
        <x:v>     Ejemplo: "Nariz 1L + 1A"</x:v>
      </x:c>
    </x:row>
    <x:row r="76">
      <x:c r="A76" t="str">
        <x:v>     Ejemplo: "Nariz 4L 100mm"</x:v>
      </x:c>
    </x:row>
    <x:row r="77">
      <x:c r="A77" t="str"/>
    </x:row>
    <x:row r="78">
      <x:c r="A78" t="str">
        <x:v>  ─────────────────────────────────────────────────────────────────</x:v>
      </x:c>
    </x:row>
    <x:row r="79">
      <x:c r="A79" t="str"/>
    </x:row>
    <x:row r="80">
      <x:c r="A80" t="str">
        <x:v>  4.  SANDWICH (doble grosor)</x:v>
      </x:c>
    </x:row>
    <x:row r="81">
      <x:c r="A81" t="str">
        <x:v>     Duplica el grosor de la pieza pegando dos tableros.</x:v>
      </x:c>
    </x:row>
    <x:row r="82">
      <x:c r="A82" t="str">
        <x:v>     Solo escribe "Sandwich".</x:v>
      </x:c>
    </x:row>
    <x:row r="83">
      <x:c r="A83" t="str"/>
    </x:row>
    <x:row r="84">
      <x:c r="A84" t="str">
        <x:v>     Ejemplo: "Sandwich"</x:v>
      </x:c>
    </x:row>
    <x:row r="85">
      <x:c r="A85" t="str"/>
    </x:row>
    <x:row r="86">
      <x:c r="A86" t="str">
        <x:v>  ─────────────────────────────────────────────────────────────────</x:v>
      </x:c>
    </x:row>
    <x:row r="87">
      <x:c r="A87" t="str"/>
    </x:row>
    <x:row r="88">
      <x:c r="A88" t="str">
        <x:v>  5.  CALADO (hueco interior)</x:v>
      </x:c>
    </x:row>
    <x:row r="89">
      <x:c r="A89" t="str">
        <x:v>     Corte rectangular interior en la pieza.</x:v>
      </x:c>
    </x:row>
    <x:row r="90">
      <x:c r="A90" t="str">
        <x:v>     Indica dimensiones del hueco (ancho x alto).</x:v>
      </x:c>
    </x:row>
    <x:row r="91">
      <x:c r="A91" t="str">
        <x:v>     Opciones: "centrado", "enchape interior", "batiente".</x:v>
      </x:c>
    </x:row>
    <x:row r="92">
      <x:c r="A92" t="str"/>
    </x:row>
    <x:row r="93">
      <x:c r="A93" t="str">
        <x:v>     Ejemplo: "Calado 400x300 centrado"</x:v>
      </x:c>
    </x:row>
    <x:row r="94">
      <x:c r="A94" t="str">
        <x:v>     Ejemplo: "Calado 500x200 con enchape interior"</x:v>
      </x:c>
    </x:row>
    <x:row r="95">
      <x:c r="A95" t="str">
        <x:v>     Ejemplo: "Calado con batiente"</x:v>
      </x:c>
    </x:row>
    <x:row r="96">
      <x:c r="A96" t="str"/>
    </x:row>
    <x:row r="97">
      <x:c r="A97" t="str">
        <x:v>  ─────────────────────────────────────────────────────────────────</x:v>
      </x:c>
    </x:row>
    <x:row r="98">
      <x:c r="A98" t="str"/>
    </x:row>
    <x:row r="99">
      <x:c r="A99" t="str">
        <x:v>  6.  MANIGAVETA (muesca para tirador de gaveta)</x:v>
      </x:c>
    </x:row>
    <x:row r="100">
      <x:c r="A100" t="str">
        <x:v>     Muesca en un borde para abrir la gaveta sin manija.</x:v>
      </x:c>
    </x:row>
    <x:row r="101">
      <x:c r="A101" t="str">
        <x:v>     Indica el lado: superior, inferior, izquierdo o derecho.</x:v>
      </x:c>
    </x:row>
    <x:row r="102">
      <x:c r="A102" t="str"/>
    </x:row>
    <x:row r="103">
      <x:c r="A103" t="str">
        <x:v>     Ejemplo: "Manigaveta superior"</x:v>
      </x:c>
    </x:row>
    <x:row r="104">
      <x:c r="A104" t="str">
        <x:v>     Ejemplo: "Manigaveta izquierdo"</x:v>
      </x:c>
    </x:row>
    <x:row r="105">
      <x:c r="A105" t="str"/>
    </x:row>
    <x:row r="106">
      <x:c r="A106" t="str">
        <x:v>  ─────────────────────────────────────────────────────────────────</x:v>
      </x:c>
    </x:row>
    <x:row r="107">
      <x:c r="A107" t="str"/>
    </x:row>
    <x:row r="108">
      <x:c r="A108" t="str">
        <x:v>  7.  CHAFLÁN (corte en ángulo)</x:v>
      </x:c>
    </x:row>
    <x:row r="109">
      <x:c r="A109" t="str">
        <x:v>     Corte en ángulo en uno de los bordes.</x:v>
      </x:c>
    </x:row>
    <x:row r="110">
      <x:c r="A110" t="str">
        <x:v>     Indica el lado: superior, inferior, izquierdo o derecho.</x:v>
      </x:c>
    </x:row>
    <x:row r="111">
      <x:c r="A111" t="str"/>
    </x:row>
    <x:row r="112">
      <x:c r="A112" t="str">
        <x:v>     Ejemplo: "Chaflán inferior"</x:v>
      </x:c>
    </x:row>
    <x:row r="113">
      <x:c r="A113" t="str">
        <x:v>     Ejemplo: "Chaflán superior"</x:v>
      </x:c>
    </x:row>
    <x:row r="114">
      <x:c r="A114" t="str"/>
    </x:row>
    <x:row r="115">
      <x:c r="A115" t="str">
        <x:v>  ─────────────────────────────────────────────────────────────────</x:v>
      </x:c>
    </x:row>
    <x:row r="116">
      <x:c r="A116" t="str"/>
    </x:row>
    <x:row r="117">
      <x:c r="A117" t="str">
        <x:v>  8.  MANIJA CHAFLÁN (enchape + chaflán)</x:v>
      </x:c>
    </x:row>
    <x:row r="118">
      <x:c r="A118" t="str">
        <x:v>     Combinación de enchape con corte en chaflán.</x:v>
      </x:c>
    </x:row>
    <x:row r="119">
      <x:c r="A119" t="str">
        <x:v>     Indica el lado.</x:v>
      </x:c>
    </x:row>
    <x:row r="120">
      <x:c r="A120" t="str"/>
    </x:row>
    <x:row r="121">
      <x:c r="A121" t="str">
        <x:v>     Ejemplo: "Manija chaflán superior"</x:v>
      </x:c>
    </x:row>
    <x:row r="122">
      <x:c r="A122" t="str">
        <x:v>     Ejemplo: "Manija chaflán derecho"</x:v>
      </x:c>
    </x:row>
    <x:row r="123">
      <x:c r="A123" t="str"/>
    </x:row>
    <x:row r="124">
      <x:c r="A124" t="str">
        <x:v>  ─────────────────────────────────────────────────────────────────</x:v>
      </x:c>
    </x:row>
    <x:row r="125">
      <x:c r="A125" t="str"/>
    </x:row>
    <x:row r="126">
      <x:c r="A126" t="str">
        <x:v>  9.  CORTE CIRCULAR (mesa redonda)</x:v>
      </x:c>
    </x:row>
    <x:row r="127">
      <x:c r="A127" t="str">
        <x:v>     Corte en forma de círculo.</x:v>
      </x:c>
    </x:row>
    <x:row r="128">
      <x:c r="A128" t="str">
        <x:v>     Indica el diámetro en mm o cm.</x:v>
      </x:c>
    </x:row>
    <x:row r="129">
      <x:c r="A129" t="str"/>
    </x:row>
    <x:row r="130">
      <x:c r="A130" t="str">
        <x:v>     Ejemplo: "Circular 800mm"</x:v>
      </x:c>
    </x:row>
    <x:row r="131">
      <x:c r="A131" t="str">
        <x:v>     Ejemplo: "Corte circular 60cm"</x:v>
      </x:c>
    </x:row>
    <x:row r="132">
      <x:c r="A132" t="str"/>
    </x:row>
    <x:row r="133">
      <x:c r="A133" t="str">
        <x:v>  ═══════════════════════════════════════════════════════════════════</x:v>
      </x:c>
    </x:row>
    <x:row r="134">
      <x:c r="A134" t="str"/>
    </x:row>
    <x:row r="135">
      <x:c r="A135" t="str">
        <x:v>  COMBINACIONES:</x:v>
      </x:c>
    </x:row>
    <x:row r="136">
      <x:c r="A136" t="str">
        <x:v>     Puedes combinar varios servicios en una misma pieza</x:v>
      </x:c>
    </x:row>
    <x:row r="137">
      <x:c r="A137" t="str">
        <x:v>     separándolos con coma o "+".</x:v>
      </x:c>
    </x:row>
    <x:row r="138">
      <x:c r="A138" t="str"/>
    </x:row>
    <x:row r="139">
      <x:c r="A139" t="str">
        <x:v>     Ejemplo: "Nariz 2L + perforación x4 + ranura 6mm"</x:v>
      </x:c>
    </x:row>
    <x:row r="140">
      <x:c r="A140" t="str">
        <x:v>     Ejemplo: "Sandwich, manigaveta superior"</x:v>
      </x:c>
    </x:row>
    <x:row r="141">
      <x:c r="A141" t="str">
        <x:v>     Ejemplo: "Calado 400x300, enchape interior, bisagra x2"</x:v>
      </x:c>
    </x:row>
    <x:row r="142">
      <x:c r="A142" t="str"/>
    </x:row>
    <x:row r="143">
      <x:c r="A143" t="str">
        <x:v>  ═══════════════════════════════════════════════════════════════════</x:v>
      </x:c>
    </x:row>
    <x:row r="144">
      <x:c r="A144" t="str"/>
    </x:row>
    <x:row r="145">
      <x:c r="A145" t="str">
        <x:v>  TIPS:</x:v>
      </x:c>
    </x:row>
    <x:row r="146">
      <x:c r="A146" t="str"/>
    </x:row>
    <x:row r="147">
      <x:c r="A147" t="str">
        <x:v>     • Usa los desplegables (▼) para Veta y Cantos</x:v>
      </x:c>
    </x:row>
    <x:row r="148">
      <x:c r="A148" t="str">
        <x:v>     • Puedes editar o borrar los ejemplos de las filas 2-5</x:v>
      </x:c>
    </x:row>
    <x:row r="149">
      <x:c r="A149" t="str">
        <x:v>     • Máximo 500 cortes por importación</x:v>
      </x:c>
    </x:row>
    <x:row r="150">
      <x:c r="A150" t="str">
        <x:v>     • Si no necesitas servicios, deja la columna J vacía</x:v>
      </x:c>
    </x:row>
    <x:row r="151">
      <x:c r="A151" t="str">
        <x:v>     • No te preocupes por el formato exacto, la IA es flexible</x:v>
      </x:c>
    </x:row>
    <x:row r="152">
      <x:c r="A15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22" hidden="0" customWidth="1"/>
    <x:col min="2" max="2" width="45" hidden="0" customWidth="1"/>
    <x:col min="3" max="3" width="23" hidden="0" customWidth="1"/>
    <x:col min="4" max="4" width="31" hidden="0" customWidth="1"/>
    <x:col min="5" max="5" width="100" hidden="0" customWidth="1"/>
  </x:cols>
  <x:sheetData>
    <x:row r="1">
      <x:c r="A1" s="8"/>
      <x:c r="B1" s="8"/>
      <x:c r="C1" s="8"/>
      <x:c r="D1" s="8"/>
      <x:c r="E1" s="8"/>
    </x:row>
    <x:row r="2">
      <x:c r="A2" s="9" t="str">
        <x:v>Pedido de corte · MEDIDAS FINALES CON CANTO · Fondo blanco RH6</x:v>
      </x:c>
      <x:c r="B2" s="8"/>
      <x:c r="C2" s="8"/>
      <x:c r="D2" s="8"/>
      <x:c r="E2" s="8"/>
    </x:row>
    <x:row r="3">
      <x:c r="A3" s="8"/>
      <x:c r="B3" s="8"/>
      <x:c r="C3" s="8"/>
      <x:c r="D3" s="8"/>
      <x:c r="E3" s="8"/>
    </x:row>
    <x:row r="4" ht="38" customHeight="1">
      <x:c r="A4" s="8" t="str">
        <x:v>Material</x:v>
      </x:c>
      <x:c r="B4" s="10" t="str">
        <x:v>Fondo melamina blanco RH6, 6 mm</x:v>
      </x:c>
      <x:c r="C4" s="8"/>
      <x:c r="D4" s="8"/>
      <x:c r="E4" s="8"/>
    </x:row>
    <x:row r="5" ht="38" customHeight="1">
      <x:c r="A5" s="8" t="str">
        <x:v>Origen</x:v>
      </x:c>
      <x:c r="B5" s="10" t="str">
        <x:v>Pedido único del proyecto, revisión del 28/10/2026: clóset sin panel trasero, con marco completo C3-025 a C3-030. Sustituye las piezas C3-005 y C3-011 del PDF anterior. Un solo tipo de canto por pieza; contrastado con los tres despieces y manifiestos 3D.</x:v>
      </x:c>
      <x:c r="C5" s="8"/>
      <x:c r="D5" s="8"/>
      <x:c r="E5" s="8"/>
    </x:row>
    <x:row r="6" ht="64" customHeight="1">
      <x:c r="A6" s="8" t="str">
        <x:v>Medidas</x:v>
      </x:c>
      <x:c r="B6" s="10" t="str">
        <x:v>Criterio solicitado: Ancho/Alto son medidas FINALES CON CANTO INCLUIDO. El proveedor descuenta cada canto una sola vez, incluso si entrega alguna pieza sin cantear. No cortar el tablero a estas medidas sin descontar el canto. Confirmar este procedimiento con la sucursal.</x:v>
      </x:c>
      <x:c r="C6" s="8"/>
      <x:c r="D6" s="8"/>
      <x:c r="E6" s="8"/>
    </x:row>
    <x:row r="7" ht="38" customHeight="1">
      <x:c r="A7" s="8" t="str">
        <x:v>Cantidad total</x:v>
      </x:c>
      <x:c r="B7" s="10" t="n">
        <x:f>SUM(Cortes!C2:C11)</x:f>
        <x:v>10</x:v>
      </x:c>
      <x:c r="C7" s="8"/>
      <x:c r="D7" s="8"/>
      <x:c r="E7" s="8"/>
    </x:row>
    <x:row r="8" ht="38" customHeight="1">
      <x:c r="A8" s="8" t="str">
        <x:v>Referencias</x:v>
      </x:c>
      <x:c r="B8" s="10" t="n">
        <x:f>COUNT(Cortes!A2:A11)</x:f>
        <x:v>10</x:v>
      </x:c>
      <x:c r="C8" s="8"/>
      <x:c r="D8" s="8"/>
      <x:c r="E8" s="8"/>
    </x:row>
    <x:row r="9" ht="52" customHeight="1">
      <x:c r="A9" s="8" t="str">
        <x:v>Veta y orientación</x:v>
      </x:c>
      <x:c r="B9" s="10" t="str">
        <x:v>Ancho de plantilla = largo en sentido de veta; Alto = ancho transversal. Por eso las filas usan Veta Horizontal. Puede girarse la pieza al armar.</x:v>
      </x:c>
      <x:c r="C9" s="8"/>
      <x:c r="D9" s="8"/>
      <x:c r="E9" s="8"/>
    </x:row>
    <x:row r="10" ht="52" customHeight="1">
      <x:c r="A10" s="8" t="str">
        <x:v>Cantos</x:v>
      </x:c>
      <x:c r="B10" s="10" t="str">
        <x:v>Superior=Largo1; Inferior=Largo2; Izquierdo=Corto1; Derecho=Corto2. Celda vacía: sin canto. Cada columna indica Rígido 2 mm o Flexible 0,45 mm. Todos los bordes canteados de una pieza usan el mismo tipo.</x:v>
      </x:c>
      <x:c r="C10" s="8"/>
      <x:c r="D10" s="8"/>
      <x:c r="E10" s="8"/>
    </x:row>
    <x:row r="11" ht="52" customHeight="1">
      <x:c r="A11" s="11" t="str">
        <x:v>Decorativo y carga</x:v>
      </x:c>
      <x:c r="B11" s="12" t="str">
        <x:v>Fondo blanco RH6. Las columnas F–I indican tipo y espesor, no color. Versión para revisión del pedido: si el importador exige colores, el asesor debe asignar la referencia del canto conservando tipo y espesor.</x:v>
      </x:c>
      <x:c r="C11" s="11"/>
      <x:c r="D11" s="11"/>
      <x:c r="E11" s="11"/>
    </x:row>
    <x:row r="12" ht="52" customHeight="1">
      <x:c r="A12" s="8" t="str">
        <x:v>Servicios</x:v>
      </x:c>
      <x:c r="B12" s="10" t="str">
        <x:v>Servicios J vacío: sin mecanizados automáticos. Si entregan bordes pendientes, registrarlos en Recepción y canteo; el tablero debe conservar el descuento correspondiente para que alcance su medida final al cantear en casa.</x:v>
      </x:c>
      <x:c r="C12" s="8"/>
      <x:c r="D12" s="8"/>
      <x:c r="E12" s="8"/>
    </x:row>
    <x:row r="13" ht="52" customHeight="1">
      <x:c r="A13" s="8" t="str">
        <x:v>Fuera de este pedido</x:v>
      </x:c>
      <x:c r="B13" s="10" t="str">
        <x:v>Cocina P072–P074, cinco piezas: cortar de sobrantes en el armado; espejo, granito, pino y herrajes se gestionan aparte. Solicitar los sobrantes aprovechables.</x:v>
      </x:c>
      <x:c r="C13" s="8"/>
      <x:c r="D13" s="8"/>
      <x:c r="E13" s="8"/>
    </x:row>
    <x:row r="14" ht="52" customHeight="1">
      <x:c r="A14" s="11" t="str">
        <x:v>Antes de liberar</x:v>
      </x:c>
      <x:c r="B14" s="12" t="str">
        <x:v>Clóset: confirmar en obra eje de puerta a 2880 mm del muro izquierdo; el ancho de 1950 depende de esa cota. Confirmar SKU y suministro del canto.</x:v>
      </x:c>
      <x:c r="C14" s="11"/>
      <x:c r="D14" s="11"/>
      <x:c r="E14" s="11"/>
    </x:row>
    <x:row r="15">
      <x:c r="A15" s="8"/>
      <x:c r="B15" s="8"/>
      <x:c r="C15" s="8"/>
      <x:c r="D15" s="8"/>
      <x:c r="E15" s="8"/>
    </x:row>
    <x:row r="16" ht="42" customHeight="1">
      <x:c r="A16" s="15" t="str">
        <x:v>Pieza</x:v>
      </x:c>
      <x:c r="B16" s="15" t="str">
        <x:v>Referencia / módulo</x:v>
      </x:c>
      <x:c r="C16" s="15" t="str">
        <x:v>Medida terminada</x:v>
      </x:c>
      <x:c r="D16" s="15" t="str">
        <x:v>Corte de tablero con sobremedida</x:v>
      </x:c>
      <x:c r="E16" s="15" t="str">
        <x:v>Observación de armado (NO es Servicio J)</x:v>
      </x:c>
    </x:row>
    <x:row r="17" ht="38" customHeight="1">
      <x:c r="A17" s="8" t="str">
        <x:v>Cocina P004</x:v>
      </x:c>
      <x:c r="B17" s="10" t="str">
        <x:v>B1 Condimentero 18 · Fondo clavado atrás</x:v>
      </x:c>
      <x:c r="C17" s="10" t="str">
        <x:v>176 × 781</x:v>
      </x:c>
      <x:c r="D17" s="10" t="str">
        <x:v>176 × 781</x:v>
      </x:c>
      <x:c r="E17" s="10" t="str">
        <x:v>—</x:v>
      </x:c>
    </x:row>
    <x:row r="18" ht="38" customHeight="1">
      <x:c r="A18" s="8" t="str">
        <x:v>Cocina P015</x:v>
      </x:c>
      <x:c r="B18" s="10" t="str">
        <x:v>B3 Cubiertero y puertas 67 · Fondo clavado atrás</x:v>
      </x:c>
      <x:c r="C18" s="10" t="str">
        <x:v>666 × 781</x:v>
      </x:c>
      <x:c r="D18" s="10" t="str">
        <x:v>666 × 781</x:v>
      </x:c>
      <x:c r="E18" s="10" t="str">
        <x:v>—</x:v>
      </x:c>
    </x:row>
    <x:row r="19" ht="38" customHeight="1">
      <x:c r="A19" s="8" t="str">
        <x:v>Cocina P026</x:v>
      </x:c>
      <x:c r="B19" s="10" t="str">
        <x:v>B5 Lavaplatos 70 · Fondo clavado atrás</x:v>
      </x:c>
      <x:c r="C19" s="10" t="str">
        <x:v>696 × 781</x:v>
      </x:c>
      <x:c r="D19" s="10" t="str">
        <x:v>696 × 781</x:v>
      </x:c>
      <x:c r="E19" s="10" t="str">
        <x:v>—</x:v>
      </x:c>
    </x:row>
    <x:row r="20" ht="38" customHeight="1">
      <x:c r="A20" s="8" t="str">
        <x:v>Cocina P033</x:v>
      </x:c>
      <x:c r="B20" s="10" t="str">
        <x:v>B4 Basurero y puerta 40 · Fondo clavado atrás</x:v>
      </x:c>
      <x:c r="C20" s="10" t="str">
        <x:v>396 × 781</x:v>
      </x:c>
      <x:c r="D20" s="10" t="str">
        <x:v>396 × 781</x:v>
      </x:c>
      <x:c r="E20" s="10" t="str">
        <x:v>—</x:v>
      </x:c>
    </x:row>
    <x:row r="21" ht="38" customHeight="1">
      <x:c r="A21" s="8" t="str">
        <x:v>Cocina P042</x:v>
      </x:c>
      <x:c r="B21" s="10" t="str">
        <x:v>S1 Alacena 19,5 · Fondo</x:v>
      </x:c>
      <x:c r="C21" s="10" t="str">
        <x:v>191 × 696</x:v>
      </x:c>
      <x:c r="D21" s="10" t="str">
        <x:v>191 × 696</x:v>
      </x:c>
      <x:c r="E21" s="10" t="str">
        <x:v>—</x:v>
      </x:c>
    </x:row>
    <x:row r="22" ht="38" customHeight="1">
      <x:c r="A22" s="8" t="str">
        <x:v>Cocina P048</x:v>
      </x:c>
      <x:c r="B22" s="10" t="str">
        <x:v>S2 Gabinete ducto 60 · Fondo</x:v>
      </x:c>
      <x:c r="C22" s="10" t="str">
        <x:v>596 × 346</x:v>
      </x:c>
      <x:c r="D22" s="10" t="str">
        <x:v>596 × 346</x:v>
      </x:c>
      <x:c r="E22" s="10" t="str">
        <x:v>—</x:v>
      </x:c>
    </x:row>
    <x:row r="23" ht="38" customHeight="1">
      <x:c r="A23" s="8" t="str">
        <x:v>Cocina P053</x:v>
      </x:c>
      <x:c r="B23" s="10" t="str">
        <x:v>S3 Alacena 65,5 · Fondo</x:v>
      </x:c>
      <x:c r="C23" s="10" t="str">
        <x:v>651 × 696</x:v>
      </x:c>
      <x:c r="D23" s="10" t="str">
        <x:v>651 × 696</x:v>
      </x:c>
      <x:c r="E23" s="10" t="str">
        <x:v>—</x:v>
      </x:c>
    </x:row>
    <x:row r="24" ht="38" customHeight="1">
      <x:c r="A24" s="8" t="str">
        <x:v>Cocina P062</x:v>
      </x:c>
      <x:c r="B24" s="10" t="str">
        <x:v>S4 Platero 71,5 · Fondo</x:v>
      </x:c>
      <x:c r="C24" s="10" t="str">
        <x:v>711 × 696</x:v>
      </x:c>
      <x:c r="D24" s="10" t="str">
        <x:v>711 × 696</x:v>
      </x:c>
      <x:c r="E24" s="10" t="str">
        <x:v>—</x:v>
      </x:c>
    </x:row>
    <x:row r="25" ht="38" customHeight="1">
      <x:c r="A25" s="8" t="str">
        <x:v>Cocina P068</x:v>
      </x:c>
      <x:c r="B25" s="10" t="str">
        <x:v>S5 Alacena 40 · Fondo</x:v>
      </x:c>
      <x:c r="C25" s="10" t="str">
        <x:v>396 × 696</x:v>
      </x:c>
      <x:c r="D25" s="10" t="str">
        <x:v>396 × 696</x:v>
      </x:c>
      <x:c r="E25" s="10" t="str">
        <x:v>—</x:v>
      </x:c>
    </x:row>
    <x:row r="26" ht="90" customHeight="1">
      <x:c r="A26" s="8" t="str">
        <x:v>Baño F01</x:v>
      </x:c>
      <x:c r="B26" s="10" t="str">
        <x:v>ESPEJO · Fondo blanco de 6 mm</x:v>
      </x:c>
      <x:c r="C26" s="10" t="str">
        <x:v>496 × 446</x:v>
      </x:c>
      <x:c r="D26" s="10" t="str">
        <x:v>495,1 × 445,1</x:v>
      </x:c>
      <x:c r="E26" s="10" t="str">
        <x:v>Fondo aplicado por detrás, retranqueado 2 mm de los bordes. Reutilización de sobrantes de cocina solo se comprobará en la optimización conjunta final. No soporta el anclaje del gabinete. Canto flexible 0,45 mm en todo el perímetro; mantener sellados recortes y perforaciones.</x:v>
      </x:c>
    </x:row>
    <x:row r="27">
      <x:c r="A27" s="8"/>
      <x:c r="B27" s="8"/>
      <x:c r="C27" s="8"/>
      <x:c r="D27" s="8"/>
      <x:c r="E27" s="8"/>
    </x:row>
    <x:row r="28">
      <x:c r="A28" s="8"/>
      <x:c r="B28" s="8"/>
      <x:c r="C28" s="8"/>
      <x:c r="D28" s="8"/>
      <x:c r="E28" s="8"/>
    </x:row>
    <x:row r="29">
      <x:c r="A29" s="8"/>
      <x:c r="B29" s="8"/>
      <x:c r="C29" s="8"/>
      <x:c r="D29" s="8"/>
      <x:c r="E29" s="8"/>
    </x:row>
    <x:row r="30">
      <x:c r="A30" s="8"/>
      <x:c r="B30" s="8"/>
      <x:c r="C30" s="8"/>
      <x:c r="D30" s="8"/>
      <x:c r="E30" s="8"/>
    </x:row>
  </x:sheetData>
  <x:mergeCells>
    <x:mergeCell ref="B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0" hidden="0" customWidth="1"/>
    <x:col min="2" max="2" width="43" hidden="0" customWidth="1"/>
    <x:col min="3" max="3" width="11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9" hidden="0" customWidth="1"/>
    <x:col min="15" max="15" width="19" hidden="0" customWidth="1"/>
    <x:col min="16" max="16" width="24" hidden="0" customWidth="1"/>
    <x:col min="17" max="17" width="85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</x:row>
    <x:row r="2">
      <x:c r="A2" s="9" t="str">
        <x:v>Recepción: bordes que faltan por cantear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3" ht="45" customHeight="1">
      <x:c r="A3" s="10" t="str">
        <x:v>Al recibir: en J–M anota cuántas unidades tienen ese borde SIN canto (0 = todas canteadas). Deja vacío hasta revisar. Amarillo = editable; gris = borde sin canto solicitado. Los cálculos son de material pendiente; no descuentan espesor otra vez.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</x:row>
    <x:row r="4">
      <x:c r="A4" s="8" t="str">
        <x:v>Referencias por revisar</x:v>
      </x:c>
      <x:c r="B4" s="8"/>
      <x:c r="C4" s="8" t="n">
        <x:f>COUNTIFS(P10:P19,"POR REVISAR")</x:f>
        <x:v>1</x:v>
      </x:c>
      <x:c r="D4" s="8" t="str">
        <x:v>Rígido neto m</x:v>
      </x:c>
      <x:c r="E4" s="8"/>
      <x:c r="F4" s="8" t="str">
        <x:f>IF(C4&gt;0,"Revisar entrega",SUM(N10:N19))</x:f>
        <x:v>Revisar entrega</x:v>
      </x:c>
      <x:c r="G4" s="8" t="str">
        <x:v>Bordes rígidos</x:v>
      </x:c>
      <x:c r="H4" s="8"/>
      <x:c r="I4" s="8" t="str">
        <x:f>IF(C4&gt;0,"Revisar entrega",SUMPRODUCT(J10:J19,--(F10:F19="R"))+SUMPRODUCT(K10:K19,--(G10:G19="R"))+SUMPRODUCT(L10:L19,--(H10:H19="R"))+SUMPRODUCT(M10:M19,--(I10:I19="R")))</x:f>
        <x:v>Revisar entrega</x:v>
      </x:c>
      <x:c r="J4" s="8" t="str">
        <x:v>Estimado con reserva, m</x:v>
      </x:c>
      <x:c r="K4" s="8"/>
      <x:c r="L4" s="8" t="str">
        <x:f>IF(C4&gt;0,"Revisar entrega",ROUNDUP((F4+I4*$C$6)*(1+$C$7),0))</x:f>
        <x:v>Revisar entrega</x:v>
      </x:c>
      <x:c r="M4" s="8" t="str">
        <x:v>Metros disponibles</x:v>
      </x:c>
      <x:c r="N4" s="8"/>
      <x:c r="O4" s="11" t="n">
        <x:v>0</x:v>
      </x:c>
      <x:c r="P4" s="8" t="str">
        <x:v>Comprar m</x:v>
      </x:c>
      <x:c r="Q4" s="8" t="str">
        <x:f>IF(C4&gt;0,"Revisar entrega",MAX(L4-O4,0))</x:f>
        <x:v>Revisar entrega</x:v>
      </x:c>
    </x:row>
    <x:row r="5">
      <x:c r="A5" s="8"/>
      <x:c r="B5" s="8"/>
      <x:c r="C5" s="8"/>
      <x:c r="D5" s="8" t="str">
        <x:v>Flexible neto m</x:v>
      </x:c>
      <x:c r="E5" s="8"/>
      <x:c r="F5" s="8" t="str">
        <x:f>IF(C4&gt;0,"Revisar entrega",SUM(O10:O19))</x:f>
        <x:v>Revisar entrega</x:v>
      </x:c>
      <x:c r="G5" s="8" t="str">
        <x:v>Bordes flexibles</x:v>
      </x:c>
      <x:c r="H5" s="8"/>
      <x:c r="I5" s="8" t="str">
        <x:f>IF(C4&gt;0,"Revisar entrega",SUMPRODUCT(J10:J19,--(F10:F19="F"))+SUMPRODUCT(K10:K19,--(G10:G19="F"))+SUMPRODUCT(L10:L19,--(H10:H19="F"))+SUMPRODUCT(M10:M19,--(I10:I19="F")))</x:f>
        <x:v>Revisar entrega</x:v>
      </x:c>
      <x:c r="J5" s="8" t="str">
        <x:v>Estimado con reserva, m</x:v>
      </x:c>
      <x:c r="K5" s="8"/>
      <x:c r="L5" s="8" t="str">
        <x:f>IF(C4&gt;0,"Revisar entrega",ROUNDUP((F5+I5*$C$6)*(1+$C$7),0))</x:f>
        <x:v>Revisar entrega</x:v>
      </x:c>
      <x:c r="M5" s="8" t="str">
        <x:v>Metros disponibles</x:v>
      </x:c>
      <x:c r="N5" s="8"/>
      <x:c r="O5" s="11" t="n">
        <x:v>0</x:v>
      </x:c>
      <x:c r="P5" s="8" t="str">
        <x:v>Comprar m</x:v>
      </x:c>
      <x:c r="Q5" s="8" t="str">
        <x:f>IF(C4&gt;0,"Revisar entrega",MAX(L5-O5,0))</x:f>
        <x:v>Revisar entrega</x:v>
      </x:c>
    </x:row>
    <x:row r="6">
      <x:c r="A6" s="8" t="str">
        <x:v>Extra por borde, m</x:v>
      </x:c>
      <x:c r="B6" s="8"/>
      <x:c r="C6" s="11" t="n">
        <x:v>0.1</x:v>
      </x:c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</x:row>
    <x:row r="7">
      <x:c r="A7" s="8" t="str">
        <x:v>Reserva adicional</x:v>
      </x:c>
      <x:c r="B7" s="8"/>
      <x:c r="C7" s="16" t="n">
        <x:v>0.2</x:v>
      </x:c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</x:row>
    <x:row r="9" ht="48" customHeight="1">
      <x:c r="A9" s="15" t="str">
        <x:v>Pieza</x:v>
      </x:c>
      <x:c r="B9" s="15" t="str">
        <x:v>Descripción</x:v>
      </x:c>
      <x:c r="C9" s="15" t="str">
        <x:v>Cantidad</x:v>
      </x:c>
      <x:c r="D9" s="15" t="str">
        <x:v>Largo final</x:v>
      </x:c>
      <x:c r="E9" s="15" t="str">
        <x:v>Ancho final</x:v>
      </x:c>
      <x:c r="F9" s="15" t="str">
        <x:v>Sup</x:v>
      </x:c>
      <x:c r="G9" s="15" t="str">
        <x:v>Inf</x:v>
      </x:c>
      <x:c r="H9" s="15" t="str">
        <x:v>Izq</x:v>
      </x:c>
      <x:c r="I9" s="15" t="str">
        <x:v>Der</x:v>
      </x:c>
      <x:c r="J9" s="15" t="str">
        <x:v>Sup sin canto</x:v>
      </x:c>
      <x:c r="K9" s="15" t="str">
        <x:v>Inf sin canto</x:v>
      </x:c>
      <x:c r="L9" s="15" t="str">
        <x:v>Izq sin canto</x:v>
      </x:c>
      <x:c r="M9" s="15" t="str">
        <x:v>Der sin canto</x:v>
      </x:c>
      <x:c r="N9" s="15" t="str">
        <x:v>Rígido neto m</x:v>
      </x:c>
      <x:c r="O9" s="15" t="str">
        <x:v>Flexible neto m</x:v>
      </x:c>
      <x:c r="P9" s="15" t="str">
        <x:v>Estado de revisión</x:v>
      </x:c>
      <x:c r="Q9" s="15" t="str">
        <x:v>Previsión / observación</x:v>
      </x:c>
    </x:row>
    <x:row r="10" ht="58" customHeight="1">
      <x:c r="A10" s="8" t="str">
        <x:v>Cocina P004</x:v>
      </x:c>
      <x:c r="B10" s="10" t="str">
        <x:v>Fondo clavado atrás</x:v>
      </x:c>
      <x:c r="C10" s="8" t="n">
        <x:v>1</x:v>
      </x:c>
      <x:c r="D10" s="8" t="n">
        <x:v>176</x:v>
      </x:c>
      <x:c r="E10" s="8" t="n">
        <x:v>781</x:v>
      </x:c>
      <x:c r="F10" s="8" t="str">
        <x:v>—</x:v>
      </x:c>
      <x:c r="G10" s="8" t="str">
        <x:v>—</x:v>
      </x:c>
      <x:c r="H10" s="8" t="str">
        <x:v>—</x:v>
      </x:c>
      <x:c r="I10" s="8" t="str">
        <x:v>—</x:v>
      </x:c>
      <x:c r="J10" s="17" t="n">
        <x:v>0</x:v>
      </x:c>
      <x:c r="K10" s="17" t="n">
        <x:v>0</x:v>
      </x:c>
      <x:c r="L10" s="17" t="n">
        <x:v>0</x:v>
      </x:c>
      <x:c r="M10" s="17" t="n">
        <x:v>0</x:v>
      </x:c>
      <x:c r="N10" s="18" t="n">
        <x:f>IF(COUNT(J10:M10)&lt;4,"Por revisar",(IF(F10="R",J10*D10,0)+IF(G10="R",K10*D10,0)+IF(H10="R",L10*E10,0)+IF(I10="R",M10*E10,0))/1000)</x:f>
        <x:v>0</x:v>
      </x:c>
      <x:c r="O10" s="18" t="n">
        <x:f>IF(COUNT(J10:M10)&lt;4,"Por revisar",(IF(F10="F",J10*D10,0)+IF(G10="F",K10*D10,0)+IF(H10="F",L10*E10,0)+IF(I10="F",M10*E10,0))/1000)</x:f>
        <x:v>0</x:v>
      </x:c>
      <x:c r="P10" s="8" t="str">
        <x:v>SIN CANTO SOLICITADO</x:v>
      </x:c>
      <x:c r="Q10" s="10" t="str">
        <x:v>Sin canto</x:v>
      </x:c>
    </x:row>
    <x:row r="11" ht="58" customHeight="1">
      <x:c r="A11" s="8" t="str">
        <x:v>Cocina P015</x:v>
      </x:c>
      <x:c r="B11" s="10" t="str">
        <x:v>Fondo clavado atrás</x:v>
      </x:c>
      <x:c r="C11" s="8" t="n">
        <x:v>1</x:v>
      </x:c>
      <x:c r="D11" s="8" t="n">
        <x:v>666</x:v>
      </x:c>
      <x:c r="E11" s="8" t="n">
        <x:v>781</x:v>
      </x:c>
      <x:c r="F11" s="8" t="str">
        <x:v>—</x:v>
      </x:c>
      <x:c r="G11" s="8" t="str">
        <x:v>—</x:v>
      </x:c>
      <x:c r="H11" s="8" t="str">
        <x:v>—</x:v>
      </x:c>
      <x:c r="I11" s="8" t="str">
        <x:v>—</x:v>
      </x:c>
      <x:c r="J11" s="17" t="n">
        <x:v>0</x:v>
      </x:c>
      <x:c r="K11" s="17" t="n">
        <x:v>0</x:v>
      </x:c>
      <x:c r="L11" s="17" t="n">
        <x:v>0</x:v>
      </x:c>
      <x:c r="M11" s="17" t="n">
        <x:v>0</x:v>
      </x:c>
      <x:c r="N11" s="18" t="n">
        <x:f>IF(COUNT(J11:M11)&lt;4,"Por revisar",(IF(F11="R",J11*D11,0)+IF(G11="R",K11*D11,0)+IF(H11="R",L11*E11,0)+IF(I11="R",M11*E11,0))/1000)</x:f>
        <x:v>0</x:v>
      </x:c>
      <x:c r="O11" s="18" t="n">
        <x:f>IF(COUNT(J11:M11)&lt;4,"Por revisar",(IF(F11="F",J11*D11,0)+IF(G11="F",K11*D11,0)+IF(H11="F",L11*E11,0)+IF(I11="F",M11*E11,0))/1000)</x:f>
        <x:v>0</x:v>
      </x:c>
      <x:c r="P11" s="8" t="str">
        <x:v>SIN CANTO SOLICITADO</x:v>
      </x:c>
      <x:c r="Q11" s="10" t="str">
        <x:v>Sin canto</x:v>
      </x:c>
    </x:row>
    <x:row r="12" ht="58" customHeight="1">
      <x:c r="A12" s="8" t="str">
        <x:v>Cocina P026</x:v>
      </x:c>
      <x:c r="B12" s="10" t="str">
        <x:v>Fondo clavado atrás</x:v>
      </x:c>
      <x:c r="C12" s="8" t="n">
        <x:v>1</x:v>
      </x:c>
      <x:c r="D12" s="8" t="n">
        <x:v>696</x:v>
      </x:c>
      <x:c r="E12" s="8" t="n">
        <x:v>781</x:v>
      </x:c>
      <x:c r="F12" s="8" t="str">
        <x:v>—</x:v>
      </x:c>
      <x:c r="G12" s="8" t="str">
        <x:v>—</x:v>
      </x:c>
      <x:c r="H12" s="8" t="str">
        <x:v>—</x:v>
      </x:c>
      <x:c r="I12" s="8" t="str">
        <x:v>—</x:v>
      </x:c>
      <x:c r="J12" s="17" t="n">
        <x:v>0</x:v>
      </x:c>
      <x:c r="K12" s="17" t="n">
        <x:v>0</x:v>
      </x:c>
      <x:c r="L12" s="17" t="n">
        <x:v>0</x:v>
      </x:c>
      <x:c r="M12" s="17" t="n">
        <x:v>0</x:v>
      </x:c>
      <x:c r="N12" s="18" t="n">
        <x:f>IF(COUNT(J12:M12)&lt;4,"Por revisar",(IF(F12="R",J12*D12,0)+IF(G12="R",K12*D12,0)+IF(H12="R",L12*E12,0)+IF(I12="R",M12*E12,0))/1000)</x:f>
        <x:v>0</x:v>
      </x:c>
      <x:c r="O12" s="18" t="n">
        <x:f>IF(COUNT(J12:M12)&lt;4,"Por revisar",(IF(F12="F",J12*D12,0)+IF(G12="F",K12*D12,0)+IF(H12="F",L12*E12,0)+IF(I12="F",M12*E12,0))/1000)</x:f>
        <x:v>0</x:v>
      </x:c>
      <x:c r="P12" s="8" t="str">
        <x:v>SIN CANTO SOLICITADO</x:v>
      </x:c>
      <x:c r="Q12" s="10" t="str">
        <x:v>Sin canto</x:v>
      </x:c>
    </x:row>
    <x:row r="13" ht="58" customHeight="1">
      <x:c r="A13" s="8" t="str">
        <x:v>Cocina P033</x:v>
      </x:c>
      <x:c r="B13" s="10" t="str">
        <x:v>Fondo clavado atrás</x:v>
      </x:c>
      <x:c r="C13" s="8" t="n">
        <x:v>1</x:v>
      </x:c>
      <x:c r="D13" s="8" t="n">
        <x:v>396</x:v>
      </x:c>
      <x:c r="E13" s="8" t="n">
        <x:v>781</x:v>
      </x:c>
      <x:c r="F13" s="8" t="str">
        <x:v>—</x:v>
      </x:c>
      <x:c r="G13" s="8" t="str">
        <x:v>—</x:v>
      </x:c>
      <x:c r="H13" s="8" t="str">
        <x:v>—</x:v>
      </x:c>
      <x:c r="I13" s="8" t="str">
        <x:v>—</x:v>
      </x:c>
      <x:c r="J13" s="17" t="n">
        <x:v>0</x:v>
      </x:c>
      <x:c r="K13" s="17" t="n">
        <x:v>0</x:v>
      </x:c>
      <x:c r="L13" s="17" t="n">
        <x:v>0</x:v>
      </x:c>
      <x:c r="M13" s="17" t="n">
        <x:v>0</x:v>
      </x:c>
      <x:c r="N13" s="18" t="n">
        <x:f>IF(COUNT(J13:M13)&lt;4,"Por revisar",(IF(F13="R",J13*D13,0)+IF(G13="R",K13*D13,0)+IF(H13="R",L13*E13,0)+IF(I13="R",M13*E13,0))/1000)</x:f>
        <x:v>0</x:v>
      </x:c>
      <x:c r="O13" s="18" t="n">
        <x:f>IF(COUNT(J13:M13)&lt;4,"Por revisar",(IF(F13="F",J13*D13,0)+IF(G13="F",K13*D13,0)+IF(H13="F",L13*E13,0)+IF(I13="F",M13*E13,0))/1000)</x:f>
        <x:v>0</x:v>
      </x:c>
      <x:c r="P13" s="8" t="str">
        <x:v>SIN CANTO SOLICITADO</x:v>
      </x:c>
      <x:c r="Q13" s="10" t="str">
        <x:v>Sin canto</x:v>
      </x:c>
    </x:row>
    <x:row r="14" ht="58" customHeight="1">
      <x:c r="A14" s="8" t="str">
        <x:v>Cocina P042</x:v>
      </x:c>
      <x:c r="B14" s="10" t="str">
        <x:v>Fondo</x:v>
      </x:c>
      <x:c r="C14" s="8" t="n">
        <x:v>1</x:v>
      </x:c>
      <x:c r="D14" s="8" t="n">
        <x:v>191</x:v>
      </x:c>
      <x:c r="E14" s="8" t="n">
        <x:v>696</x:v>
      </x:c>
      <x:c r="F14" s="8" t="str">
        <x:v>—</x:v>
      </x:c>
      <x:c r="G14" s="8" t="str">
        <x:v>—</x:v>
      </x:c>
      <x:c r="H14" s="8" t="str">
        <x:v>—</x:v>
      </x:c>
      <x:c r="I14" s="8" t="str">
        <x:v>—</x:v>
      </x:c>
      <x:c r="J14" s="17" t="n">
        <x:v>0</x:v>
      </x:c>
      <x:c r="K14" s="17" t="n">
        <x:v>0</x:v>
      </x:c>
      <x:c r="L14" s="17" t="n">
        <x:v>0</x:v>
      </x:c>
      <x:c r="M14" s="17" t="n">
        <x:v>0</x:v>
      </x:c>
      <x:c r="N14" s="18" t="n">
        <x:f>IF(COUNT(J14:M14)&lt;4,"Por revisar",(IF(F14="R",J14*D14,0)+IF(G14="R",K14*D14,0)+IF(H14="R",L14*E14,0)+IF(I14="R",M14*E14,0))/1000)</x:f>
        <x:v>0</x:v>
      </x:c>
      <x:c r="O14" s="18" t="n">
        <x:f>IF(COUNT(J14:M14)&lt;4,"Por revisar",(IF(F14="F",J14*D14,0)+IF(G14="F",K14*D14,0)+IF(H14="F",L14*E14,0)+IF(I14="F",M14*E14,0))/1000)</x:f>
        <x:v>0</x:v>
      </x:c>
      <x:c r="P14" s="8" t="str">
        <x:v>SIN CANTO SOLICITADO</x:v>
      </x:c>
      <x:c r="Q14" s="10" t="str">
        <x:v>Sin canto</x:v>
      </x:c>
    </x:row>
    <x:row r="15" ht="58" customHeight="1">
      <x:c r="A15" s="8" t="str">
        <x:v>Cocina P048</x:v>
      </x:c>
      <x:c r="B15" s="10" t="str">
        <x:v>Fondo</x:v>
      </x:c>
      <x:c r="C15" s="8" t="n">
        <x:v>1</x:v>
      </x:c>
      <x:c r="D15" s="8" t="n">
        <x:v>596</x:v>
      </x:c>
      <x:c r="E15" s="8" t="n">
        <x:v>346</x:v>
      </x:c>
      <x:c r="F15" s="8" t="str">
        <x:v>—</x:v>
      </x:c>
      <x:c r="G15" s="8" t="str">
        <x:v>—</x:v>
      </x:c>
      <x:c r="H15" s="8" t="str">
        <x:v>—</x:v>
      </x:c>
      <x:c r="I15" s="8" t="str">
        <x:v>—</x:v>
      </x:c>
      <x:c r="J15" s="17" t="n">
        <x:v>0</x:v>
      </x:c>
      <x:c r="K15" s="17" t="n">
        <x:v>0</x:v>
      </x:c>
      <x:c r="L15" s="17" t="n">
        <x:v>0</x:v>
      </x:c>
      <x:c r="M15" s="17" t="n">
        <x:v>0</x:v>
      </x:c>
      <x:c r="N15" s="18" t="n">
        <x:f>IF(COUNT(J15:M15)&lt;4,"Por revisar",(IF(F15="R",J15*D15,0)+IF(G15="R",K15*D15,0)+IF(H15="R",L15*E15,0)+IF(I15="R",M15*E15,0))/1000)</x:f>
        <x:v>0</x:v>
      </x:c>
      <x:c r="O15" s="18" t="n">
        <x:f>IF(COUNT(J15:M15)&lt;4,"Por revisar",(IF(F15="F",J15*D15,0)+IF(G15="F",K15*D15,0)+IF(H15="F",L15*E15,0)+IF(I15="F",M15*E15,0))/1000)</x:f>
        <x:v>0</x:v>
      </x:c>
      <x:c r="P15" s="8" t="str">
        <x:v>SIN CANTO SOLICITADO</x:v>
      </x:c>
      <x:c r="Q15" s="10" t="str">
        <x:v>Sin canto</x:v>
      </x:c>
    </x:row>
    <x:row r="16" ht="58" customHeight="1">
      <x:c r="A16" s="8" t="str">
        <x:v>Cocina P053</x:v>
      </x:c>
      <x:c r="B16" s="10" t="str">
        <x:v>Fondo</x:v>
      </x:c>
      <x:c r="C16" s="8" t="n">
        <x:v>1</x:v>
      </x:c>
      <x:c r="D16" s="8" t="n">
        <x:v>651</x:v>
      </x:c>
      <x:c r="E16" s="8" t="n">
        <x:v>696</x:v>
      </x:c>
      <x:c r="F16" s="8" t="str">
        <x:v>—</x:v>
      </x:c>
      <x:c r="G16" s="8" t="str">
        <x:v>—</x:v>
      </x:c>
      <x:c r="H16" s="8" t="str">
        <x:v>—</x:v>
      </x:c>
      <x:c r="I16" s="8" t="str">
        <x:v>—</x:v>
      </x:c>
      <x:c r="J16" s="17" t="n">
        <x:v>0</x:v>
      </x:c>
      <x:c r="K16" s="17" t="n">
        <x:v>0</x:v>
      </x:c>
      <x:c r="L16" s="17" t="n">
        <x:v>0</x:v>
      </x:c>
      <x:c r="M16" s="17" t="n">
        <x:v>0</x:v>
      </x:c>
      <x:c r="N16" s="18" t="n">
        <x:f>IF(COUNT(J16:M16)&lt;4,"Por revisar",(IF(F16="R",J16*D16,0)+IF(G16="R",K16*D16,0)+IF(H16="R",L16*E16,0)+IF(I16="R",M16*E16,0))/1000)</x:f>
        <x:v>0</x:v>
      </x:c>
      <x:c r="O16" s="18" t="n">
        <x:f>IF(COUNT(J16:M16)&lt;4,"Por revisar",(IF(F16="F",J16*D16,0)+IF(G16="F",K16*D16,0)+IF(H16="F",L16*E16,0)+IF(I16="F",M16*E16,0))/1000)</x:f>
        <x:v>0</x:v>
      </x:c>
      <x:c r="P16" s="8" t="str">
        <x:v>SIN CANTO SOLICITADO</x:v>
      </x:c>
      <x:c r="Q16" s="10" t="str">
        <x:v>Sin canto</x:v>
      </x:c>
    </x:row>
    <x:row r="17" ht="58" customHeight="1">
      <x:c r="A17" s="8" t="str">
        <x:v>Cocina P062</x:v>
      </x:c>
      <x:c r="B17" s="10" t="str">
        <x:v>Fondo</x:v>
      </x:c>
      <x:c r="C17" s="8" t="n">
        <x:v>1</x:v>
      </x:c>
      <x:c r="D17" s="8" t="n">
        <x:v>711</x:v>
      </x:c>
      <x:c r="E17" s="8" t="n">
        <x:v>696</x:v>
      </x:c>
      <x:c r="F17" s="8" t="str">
        <x:v>—</x:v>
      </x:c>
      <x:c r="G17" s="8" t="str">
        <x:v>—</x:v>
      </x:c>
      <x:c r="H17" s="8" t="str">
        <x:v>—</x:v>
      </x:c>
      <x:c r="I17" s="8" t="str">
        <x:v>—</x:v>
      </x:c>
      <x:c r="J17" s="17" t="n">
        <x:v>0</x:v>
      </x:c>
      <x:c r="K17" s="17" t="n">
        <x:v>0</x:v>
      </x:c>
      <x:c r="L17" s="17" t="n">
        <x:v>0</x:v>
      </x:c>
      <x:c r="M17" s="17" t="n">
        <x:v>0</x:v>
      </x:c>
      <x:c r="N17" s="18" t="n">
        <x:f>IF(COUNT(J17:M17)&lt;4,"Por revisar",(IF(F17="R",J17*D17,0)+IF(G17="R",K17*D17,0)+IF(H17="R",L17*E17,0)+IF(I17="R",M17*E17,0))/1000)</x:f>
        <x:v>0</x:v>
      </x:c>
      <x:c r="O17" s="18" t="n">
        <x:f>IF(COUNT(J17:M17)&lt;4,"Por revisar",(IF(F17="F",J17*D17,0)+IF(G17="F",K17*D17,0)+IF(H17="F",L17*E17,0)+IF(I17="F",M17*E17,0))/1000)</x:f>
        <x:v>0</x:v>
      </x:c>
      <x:c r="P17" s="8" t="str">
        <x:v>SIN CANTO SOLICITADO</x:v>
      </x:c>
      <x:c r="Q17" s="10" t="str">
        <x:v>Sin canto</x:v>
      </x:c>
    </x:row>
    <x:row r="18" ht="58" customHeight="1">
      <x:c r="A18" s="8" t="str">
        <x:v>Cocina P068</x:v>
      </x:c>
      <x:c r="B18" s="10" t="str">
        <x:v>Fondo</x:v>
      </x:c>
      <x:c r="C18" s="8" t="n">
        <x:v>1</x:v>
      </x:c>
      <x:c r="D18" s="8" t="n">
        <x:v>396</x:v>
      </x:c>
      <x:c r="E18" s="8" t="n">
        <x:v>696</x:v>
      </x:c>
      <x:c r="F18" s="8" t="str">
        <x:v>—</x:v>
      </x:c>
      <x:c r="G18" s="8" t="str">
        <x:v>—</x:v>
      </x:c>
      <x:c r="H18" s="8" t="str">
        <x:v>—</x:v>
      </x:c>
      <x:c r="I18" s="8" t="str">
        <x:v>—</x:v>
      </x:c>
      <x:c r="J18" s="17" t="n">
        <x:v>0</x:v>
      </x:c>
      <x:c r="K18" s="17" t="n">
        <x:v>0</x:v>
      </x:c>
      <x:c r="L18" s="17" t="n">
        <x:v>0</x:v>
      </x:c>
      <x:c r="M18" s="17" t="n">
        <x:v>0</x:v>
      </x:c>
      <x:c r="N18" s="18" t="n">
        <x:f>IF(COUNT(J18:M18)&lt;4,"Por revisar",(IF(F18="R",J18*D18,0)+IF(G18="R",K18*D18,0)+IF(H18="R",L18*E18,0)+IF(I18="R",M18*E18,0))/1000)</x:f>
        <x:v>0</x:v>
      </x:c>
      <x:c r="O18" s="18" t="n">
        <x:f>IF(COUNT(J18:M18)&lt;4,"Por revisar",(IF(F18="F",J18*D18,0)+IF(G18="F",K18*D18,0)+IF(H18="F",L18*E18,0)+IF(I18="F",M18*E18,0))/1000)</x:f>
        <x:v>0</x:v>
      </x:c>
      <x:c r="P18" s="8" t="str">
        <x:v>SIN CANTO SOLICITADO</x:v>
      </x:c>
      <x:c r="Q18" s="10" t="str">
        <x:v>Sin canto</x:v>
      </x:c>
    </x:row>
    <x:row r="19" ht="58" customHeight="1">
      <x:c r="A19" s="8" t="str">
        <x:v>Baño F01</x:v>
      </x:c>
      <x:c r="B19" s="10" t="str">
        <x:v>Fondo blanco de 6 mm</x:v>
      </x:c>
      <x:c r="C19" s="8" t="n">
        <x:v>1</x:v>
      </x:c>
      <x:c r="D19" s="8" t="n">
        <x:v>496</x:v>
      </x:c>
      <x:c r="E19" s="8" t="n">
        <x:v>446</x:v>
      </x:c>
      <x:c r="F19" s="8" t="str">
        <x:v>F</x:v>
      </x:c>
      <x:c r="G19" s="8" t="str">
        <x:v>F</x:v>
      </x:c>
      <x:c r="H19" s="8" t="str">
        <x:v>F</x:v>
      </x:c>
      <x:c r="I19" s="8" t="str">
        <x:v>F</x:v>
      </x:c>
      <x:c r="J19" s="11"/>
      <x:c r="K19" s="11"/>
      <x:c r="L19" s="11"/>
      <x:c r="M19" s="11"/>
      <x:c r="N19" s="18" t="str">
        <x:f>IF(COUNT(J19:M19)&lt;4,"Por revisar",(IF(F19="R",J19*D19,0)+IF(G19="R",K19*D19,0)+IF(H19="R",L19*E19,0)+IF(I19="R",M19*E19,0))/1000)</x:f>
        <x:v>Por revisar</x:v>
      </x:c>
      <x:c r="O19" s="18" t="str">
        <x:f>IF(COUNT(J19:M19)&lt;4,"Por revisar",(IF(F19="F",J19*D19,0)+IF(G19="F",K19*D19,0)+IF(H19="F",L19*E19,0)+IF(I19="F",M19*E19,0))/1000)</x:f>
        <x:v>Por revisar</x:v>
      </x:c>
      <x:c r="P19" s="8" t="str">
        <x:f>IF(COUNT(J19:M19)&lt;4,"POR REVISAR",IF(SUM(J19:M19)=0,"RECIBIDO CONFORME","CANTEAR A MANO"))</x:f>
        <x:v>POR REVISAR</x:v>
      </x:c>
      <x:c r="Q19" s="10" t="str">
        <x:v>Normal · Fondo aplicado por detrás, retranqueado 2 mm de los bordes. Reutilización de sobrantes de cocina solo se comprobará en la optimización conjunta final. No soporta el anclaje del gabinete. Canto flexible 0,45 mm en todo el perímetro; mantener sellados recortes y perforaciones.</x:v>
      </x:c>
    </x:row>
  </x:sheetData>
  <x:mergeCells>
    <x:mergeCell ref="A3:Q3"/>
  </x:mergeCells>
  <x:dataValidations count="40">
    <x:dataValidation type="whole" operator="between" sqref="J10">
      <x:formula1>0</x:formula1>
      <x:formula2>1</x:formula2>
    </x:dataValidation>
    <x:dataValidation type="whole" operator="between" sqref="K10">
      <x:formula1>0</x:formula1>
      <x:formula2>1</x:formula2>
    </x:dataValidation>
    <x:dataValidation type="whole" operator="between" sqref="L10">
      <x:formula1>0</x:formula1>
      <x:formula2>1</x:formula2>
    </x:dataValidation>
    <x:dataValidation type="whole" operator="between" sqref="M10">
      <x:formula1>0</x:formula1>
      <x:formula2>1</x:formula2>
    </x:dataValidation>
    <x:dataValidation type="whole" operator="between" sqref="J11">
      <x:formula1>0</x:formula1>
      <x:formula2>1</x:formula2>
    </x:dataValidation>
    <x:dataValidation type="whole" operator="between" sqref="K11">
      <x:formula1>0</x:formula1>
      <x:formula2>1</x:formula2>
    </x:dataValidation>
    <x:dataValidation type="whole" operator="between" sqref="L11">
      <x:formula1>0</x:formula1>
      <x:formula2>1</x:formula2>
    </x:dataValidation>
    <x:dataValidation type="whole" operator="between" sqref="M11">
      <x:formula1>0</x:formula1>
      <x:formula2>1</x:formula2>
    </x:dataValidation>
    <x:dataValidation type="whole" operator="between" sqref="J12">
      <x:formula1>0</x:formula1>
      <x:formula2>1</x:formula2>
    </x:dataValidation>
    <x:dataValidation type="whole" operator="between" sqref="K12">
      <x:formula1>0</x:formula1>
      <x:formula2>1</x:formula2>
    </x:dataValidation>
    <x:dataValidation type="whole" operator="between" sqref="L12">
      <x:formula1>0</x:formula1>
      <x:formula2>1</x:formula2>
    </x:dataValidation>
    <x:dataValidation type="whole" operator="between" sqref="M12">
      <x:formula1>0</x:formula1>
      <x:formula2>1</x:formula2>
    </x:dataValidation>
    <x:dataValidation type="whole" operator="between" sqref="J13">
      <x:formula1>0</x:formula1>
      <x:formula2>1</x:formula2>
    </x:dataValidation>
    <x:dataValidation type="whole" operator="between" sqref="K13">
      <x:formula1>0</x:formula1>
      <x:formula2>1</x:formula2>
    </x:dataValidation>
    <x:dataValidation type="whole" operator="between" sqref="L13">
      <x:formula1>0</x:formula1>
      <x:formula2>1</x:formula2>
    </x:dataValidation>
    <x:dataValidation type="whole" operator="between" sqref="M13">
      <x:formula1>0</x:formula1>
      <x:formula2>1</x:formula2>
    </x:dataValidation>
    <x:dataValidation type="whole" operator="between" sqref="J14">
      <x:formula1>0</x:formula1>
      <x:formula2>1</x:formula2>
    </x:dataValidation>
    <x:dataValidation type="whole" operator="between" sqref="K14">
      <x:formula1>0</x:formula1>
      <x:formula2>1</x:formula2>
    </x:dataValidation>
    <x:dataValidation type="whole" operator="between" sqref="L14">
      <x:formula1>0</x:formula1>
      <x:formula2>1</x:formula2>
    </x:dataValidation>
    <x:dataValidation type="whole" operator="between" sqref="M14">
      <x:formula1>0</x:formula1>
      <x:formula2>1</x:formula2>
    </x:dataValidation>
    <x:dataValidation type="whole" operator="between" sqref="J15">
      <x:formula1>0</x:formula1>
      <x:formula2>1</x:formula2>
    </x:dataValidation>
    <x:dataValidation type="whole" operator="between" sqref="K15">
      <x:formula1>0</x:formula1>
      <x:formula2>1</x:formula2>
    </x:dataValidation>
    <x:dataValidation type="whole" operator="between" sqref="L15">
      <x:formula1>0</x:formula1>
      <x:formula2>1</x:formula2>
    </x:dataValidation>
    <x:dataValidation type="whole" operator="between" sqref="M15">
      <x:formula1>0</x:formula1>
      <x:formula2>1</x:formula2>
    </x:dataValidation>
    <x:dataValidation type="whole" operator="between" sqref="J16">
      <x:formula1>0</x:formula1>
      <x:formula2>1</x:formula2>
    </x:dataValidation>
    <x:dataValidation type="whole" operator="between" sqref="K16">
      <x:formula1>0</x:formula1>
      <x:formula2>1</x:formula2>
    </x:dataValidation>
    <x:dataValidation type="whole" operator="between" sqref="L16">
      <x:formula1>0</x:formula1>
      <x:formula2>1</x:formula2>
    </x:dataValidation>
    <x:dataValidation type="whole" operator="between" sqref="M16">
      <x:formula1>0</x:formula1>
      <x:formula2>1</x:formula2>
    </x:dataValidation>
    <x:dataValidation type="whole" operator="between" sqref="J17">
      <x:formula1>0</x:formula1>
      <x:formula2>1</x:formula2>
    </x:dataValidation>
    <x:dataValidation type="whole" operator="between" sqref="K17">
      <x:formula1>0</x:formula1>
      <x:formula2>1</x:formula2>
    </x:dataValidation>
    <x:dataValidation type="whole" operator="between" sqref="L17">
      <x:formula1>0</x:formula1>
      <x:formula2>1</x:formula2>
    </x:dataValidation>
    <x:dataValidation type="whole" operator="between" sqref="M17">
      <x:formula1>0</x:formula1>
      <x:formula2>1</x:formula2>
    </x:dataValidation>
    <x:dataValidation type="whole" operator="between" sqref="J18">
      <x:formula1>0</x:formula1>
      <x:formula2>1</x:formula2>
    </x:dataValidation>
    <x:dataValidation type="whole" operator="between" sqref="K18">
      <x:formula1>0</x:formula1>
      <x:formula2>1</x:formula2>
    </x:dataValidation>
    <x:dataValidation type="whole" operator="between" sqref="L18">
      <x:formula1>0</x:formula1>
      <x:formula2>1</x:formula2>
    </x:dataValidation>
    <x:dataValidation type="whole" operator="between" sqref="M18">
      <x:formula1>0</x:formula1>
      <x:formula2>1</x:formula2>
    </x:dataValidation>
    <x:dataValidation type="whole" operator="between" sqref="J19">
      <x:formula1>0</x:formula1>
      <x:formula2>1</x:formula2>
    </x:dataValidation>
    <x:dataValidation type="whole" operator="between" sqref="K19">
      <x:formula1>0</x:formula1>
      <x:formula2>1</x:formula2>
    </x:dataValidation>
    <x:dataValidation type="whole" operator="between" sqref="L19">
      <x:formula1>0</x:formula1>
      <x:formula2>1</x:formula2>
    </x:dataValidation>
    <x:dataValidation type="whole" operator="between" sqref="M19">
      <x:formula1>0</x:formula1>
      <x:formula2>1</x:formula2>
    </x:dataValidation>
  </x:dataValidations>
  <x:pageMargins left="0.7" right="0.7" top="0.75" bottom="0.75" header="0.3" footer="0.3"/>
</x:worksheet>
</file>