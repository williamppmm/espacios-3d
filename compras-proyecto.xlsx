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7e4bb88fb3ffb2f3/Desktop/proyecto_terraza/"/>
    </mc:Choice>
  </mc:AlternateContent>
  <xr:revisionPtr revIDLastSave="0" documentId="11_9E6F8D523DB1B8C4CFFB7EA34ACB4EC325938C86" xr6:coauthVersionLast="47" xr6:coauthVersionMax="47" xr10:uidLastSave="{00000000-0000-0000-0000-000000000000}"/>
  <bookViews>
    <workbookView xWindow="-108" yWindow="-108" windowWidth="23256" windowHeight="13896" xr2:uid="{00000000-000D-0000-FFFF-FFFF00000000}"/>
  </bookViews>
  <sheets>
    <sheet name="Resumen" sheetId="1" r:id="rId1"/>
    <sheet name="Pedido de corte" sheetId="2" r:id="rId2"/>
    <sheet name="Láminas" sheetId="3" r:id="rId3"/>
    <sheet name="Cantos" sheetId="4" r:id="rId4"/>
    <sheet name="Compras" sheetId="5" r:id="rId5"/>
    <sheet name="Bloqueos" sheetId="6" r:id="rId6"/>
    <sheet name="En el armado" sheetId="7" r:id="rId7"/>
  </sheets>
  <definedNames>
    <definedName name="_xlnm._FilterDatabase" localSheetId="1" hidden="1">'Pedido de corte'!$A$6:$P$114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6" i="5" l="1"/>
  <c r="G65" i="5"/>
  <c r="G64" i="5"/>
  <c r="G61" i="5"/>
  <c r="G60" i="5"/>
  <c r="G59" i="5"/>
  <c r="G58" i="5"/>
  <c r="G57" i="5"/>
  <c r="G56" i="5"/>
  <c r="G55" i="5"/>
  <c r="G54" i="5"/>
  <c r="G53" i="5"/>
  <c r="G52" i="5"/>
  <c r="G51" i="5"/>
  <c r="G50" i="5"/>
  <c r="G49" i="5"/>
  <c r="G63" i="5" s="1"/>
  <c r="G48" i="5"/>
  <c r="G47" i="5"/>
  <c r="G46" i="5"/>
  <c r="G45" i="5"/>
  <c r="G44" i="5"/>
  <c r="G43" i="5"/>
  <c r="G42" i="5"/>
  <c r="G41" i="5"/>
  <c r="G40" i="5"/>
  <c r="G39" i="5"/>
  <c r="G38" i="5"/>
  <c r="G37" i="5"/>
  <c r="G36" i="5"/>
  <c r="G35" i="5"/>
  <c r="G34" i="5"/>
  <c r="G33" i="5"/>
  <c r="G32" i="5"/>
  <c r="G31" i="5"/>
  <c r="G30" i="5"/>
  <c r="G29" i="5"/>
  <c r="G28" i="5"/>
  <c r="G27" i="5"/>
  <c r="G26" i="5"/>
  <c r="G25" i="5"/>
  <c r="G24" i="5"/>
  <c r="G23" i="5"/>
  <c r="G22" i="5"/>
  <c r="G21" i="5"/>
  <c r="G20" i="5"/>
  <c r="G19" i="5"/>
  <c r="G18" i="5"/>
  <c r="G17" i="5"/>
  <c r="G16" i="5"/>
  <c r="G15" i="5"/>
  <c r="G14" i="5"/>
  <c r="G13" i="5"/>
  <c r="G12" i="5"/>
  <c r="G11" i="5"/>
  <c r="G10" i="5"/>
  <c r="G68" i="5" l="1"/>
  <c r="C14" i="1" s="1"/>
  <c r="G62" i="5"/>
  <c r="G67" i="5" s="1"/>
  <c r="C13" i="1" s="1"/>
</calcChain>
</file>

<file path=xl/sharedStrings.xml><?xml version="1.0" encoding="utf-8"?>
<sst xmlns="http://schemas.openxmlformats.org/spreadsheetml/2006/main" count="1842" uniqueCount="641">
  <si>
    <t>Compras del proyecto · cocina, clóset y baño</t>
  </si>
  <si>
    <t>Estimación conjunta del 27/10/2026, generada desde los Excel de cada mueble (herramientas/build_compras_proyecto.py).</t>
  </si>
  <si>
    <t>Concepto</t>
  </si>
  <si>
    <t>Por separado</t>
  </si>
  <si>
    <t>Conjunto</t>
  </si>
  <si>
    <t>Nota</t>
  </si>
  <si>
    <t>Láminas RH15</t>
  </si>
  <si>
    <t>Cocina 4 + clóset 5 + baño 1 por separado; encaje conjunto en la hoja Láminas.</t>
  </si>
  <si>
    <t>Láminas de fondo RH6</t>
  </si>
  <si>
    <t>El fondo del baño cabe en la lámina de fondo de la cocina.</t>
  </si>
  <si>
    <t>Rollos de canto rígido 100 m</t>
  </si>
  <si>
    <t>Más 18 m sueltos en la sucursal.</t>
  </si>
  <si>
    <t>Rollos de canto flexible 200 m</t>
  </si>
  <si>
    <t>Sobran unos 85 m para cantear piezas pequeñas en el armado.</t>
  </si>
  <si>
    <t>Bisagras HBM897-01 (pares)</t>
  </si>
  <si>
    <t>Misma referencia en cocina y baño: se compran juntas.</t>
  </si>
  <si>
    <t>Total con precio conocido (hoja Compras)</t>
  </si>
  <si>
    <t>Los metros sueltos de rígido y las partidas sin precio no están incluidos.</t>
  </si>
  <si>
    <t>Partidas sin precio</t>
  </si>
  <si>
    <t>Espejo, retal de granito y mesón son de otros proveedores; lavamanos, grifería y equipos se eligen aparte.</t>
  </si>
  <si>
    <t>Pedido de corte y canteado · pedido único de los tres muebles</t>
  </si>
  <si>
    <t>Medidas en mm; largo en sentido de veta. R = rígido 2 mm · F = flexible 0,45 mm · — = sin canto. Se pide canto en todas las piezas indicadas.</t>
  </si>
  <si>
    <t>Supuestos de cada despiece: el proveedor pide medida terminada y descuenta el canto; piezas pequeñas = lado menor &lt; 100 mm o mayor &lt; 250 mm. Si la sucursal pide medida de corte, usar la columna «Corte sin canto».</t>
  </si>
  <si>
    <t>Mueble</t>
  </si>
  <si>
    <t>ID</t>
  </si>
  <si>
    <t>Módulo</t>
  </si>
  <si>
    <t>Pieza</t>
  </si>
  <si>
    <t>Material</t>
  </si>
  <si>
    <t>Cant.</t>
  </si>
  <si>
    <t>Largo a pedir</t>
  </si>
  <si>
    <t>Ancho a pedir</t>
  </si>
  <si>
    <t>Largo 1</t>
  </si>
  <si>
    <t>Largo 2</t>
  </si>
  <si>
    <t>Corto 1</t>
  </si>
  <si>
    <t>Corto 2</t>
  </si>
  <si>
    <t>Canteo</t>
  </si>
  <si>
    <t>Medida terminada</t>
  </si>
  <si>
    <t>Corte sin canto</t>
  </si>
  <si>
    <t>Observaciones</t>
  </si>
  <si>
    <t>Cocina</t>
  </si>
  <si>
    <t>P001</t>
  </si>
  <si>
    <t>B1 Condimentero 18</t>
  </si>
  <si>
    <t>Lateral</t>
  </si>
  <si>
    <t>Melamina Cartagena RH 15</t>
  </si>
  <si>
    <t>R</t>
  </si>
  <si>
    <t>—</t>
  </si>
  <si>
    <t>F</t>
  </si>
  <si>
    <t>Normal</t>
  </si>
  <si>
    <t>785 × 580</t>
  </si>
  <si>
    <t>784,55 × 578</t>
  </si>
  <si>
    <t>Rebaje para la gola en el armado, cuando se defina el borde del granito; no lo hace el proveedor.</t>
  </si>
  <si>
    <t>P002</t>
  </si>
  <si>
    <t>Piso</t>
  </si>
  <si>
    <t>150 × 580</t>
  </si>
  <si>
    <t>150 × 578</t>
  </si>
  <si>
    <t>P003</t>
  </si>
  <si>
    <t>Travesaño horizontal</t>
  </si>
  <si>
    <t>Pequeña</t>
  </si>
  <si>
    <t>150 × 100</t>
  </si>
  <si>
    <t>150 × 99,1</t>
  </si>
  <si>
    <t>Si no la cantean: cortar a 150 × 99,1 y cantear en el armado. Rebaje para la gola en el armado, cuando se defina el borde del granito; no lo hace el proveedor.</t>
  </si>
  <si>
    <t>P004</t>
  </si>
  <si>
    <t>Fondo clavado atrás</t>
  </si>
  <si>
    <t>Fondo melamina 6</t>
  </si>
  <si>
    <t>Sin canto</t>
  </si>
  <si>
    <t>176 × 781</t>
  </si>
  <si>
    <t>P005</t>
  </si>
  <si>
    <t>Frente condimentero</t>
  </si>
  <si>
    <t>732 × 177</t>
  </si>
  <si>
    <t>728 × 173</t>
  </si>
  <si>
    <t>P006</t>
  </si>
  <si>
    <t>B2 Horno y estufa 60</t>
  </si>
  <si>
    <t>P007</t>
  </si>
  <si>
    <t>Piso de apoyo horno (validar montaje)</t>
  </si>
  <si>
    <t>570 × 580</t>
  </si>
  <si>
    <t>570 × 578</t>
  </si>
  <si>
    <t>Ranura de ventilación o paso de cable en obra, si el manual del horno lo pide.</t>
  </si>
  <si>
    <t>P008</t>
  </si>
  <si>
    <t>Travesaño trasero</t>
  </si>
  <si>
    <t>570 × 100</t>
  </si>
  <si>
    <t>570 × 99,55</t>
  </si>
  <si>
    <t>Si no la cantean: cortar a 570 × 99,55 y cantear en el armado.</t>
  </si>
  <si>
    <t>P009</t>
  </si>
  <si>
    <t>Repisa sobre horno (posición por manual)</t>
  </si>
  <si>
    <t>570 × 500</t>
  </si>
  <si>
    <t>570 × 498</t>
  </si>
  <si>
    <t>Su altura se fija en el armado según el manual del horno; si pide más ventilación atrás, recortar el borde trasero (sin canto).</t>
  </si>
  <si>
    <t>P010</t>
  </si>
  <si>
    <t>Listón frontal de apoyo del mesón (de canto)</t>
  </si>
  <si>
    <t>570 × 80</t>
  </si>
  <si>
    <t>570 × 79,55</t>
  </si>
  <si>
    <t>Si no la cantean: cortar a 570 × 79,55 y cantear en el armado.</t>
  </si>
  <si>
    <t>P011</t>
  </si>
  <si>
    <t>Panel fijo bajo estufa (ajustar con equipo)</t>
  </si>
  <si>
    <t>145 × 597</t>
  </si>
  <si>
    <t>158 × 593</t>
  </si>
  <si>
    <t>Pedida 15 mm más alta (160 en vez de 145): en el armado, recortar el borde superior —oculto bajo el mesón y sin canto— según el horno instalado.</t>
  </si>
  <si>
    <t>P012</t>
  </si>
  <si>
    <t>B3 Cubiertero y puertas 67</t>
  </si>
  <si>
    <t>P013</t>
  </si>
  <si>
    <t>640 × 580</t>
  </si>
  <si>
    <t>640 × 578</t>
  </si>
  <si>
    <t>P014</t>
  </si>
  <si>
    <t>640 × 100</t>
  </si>
  <si>
    <t>640 × 99,1</t>
  </si>
  <si>
    <t>Si no la cantean: cortar a 640 × 99,1 y cantear en el armado. Rebaje para la gola en el armado, cuando se defina el borde del granito; no lo hace el proveedor.</t>
  </si>
  <si>
    <t>P015</t>
  </si>
  <si>
    <t>666 × 781</t>
  </si>
  <si>
    <t>P016</t>
  </si>
  <si>
    <t>Frente cajón superior cubiertero</t>
  </si>
  <si>
    <t>167 × 667</t>
  </si>
  <si>
    <t>163 × 663</t>
  </si>
  <si>
    <t>P017</t>
  </si>
  <si>
    <t>Cajón: base aplicada inferior</t>
  </si>
  <si>
    <t>613 × 550</t>
  </si>
  <si>
    <t>612,1 × 549,55</t>
  </si>
  <si>
    <t>P018</t>
  </si>
  <si>
    <t>Cajón: costado</t>
  </si>
  <si>
    <t>550 × 75</t>
  </si>
  <si>
    <t>549,55 × 74,55</t>
  </si>
  <si>
    <t>Si no la cantean: cortar a 549,55 × 74,55 y cantear en el armado.</t>
  </si>
  <si>
    <t>P019</t>
  </si>
  <si>
    <t>Cajón: frente y trasero interiores</t>
  </si>
  <si>
    <t>583 × 75</t>
  </si>
  <si>
    <t>583 × 74,55</t>
  </si>
  <si>
    <t>Si no la cantean: cortar a 583 × 74,55 y cantear en el armado.</t>
  </si>
  <si>
    <t>P020</t>
  </si>
  <si>
    <t>Puerta inferior izquierda</t>
  </si>
  <si>
    <t>537 × 332</t>
  </si>
  <si>
    <t>533 × 328</t>
  </si>
  <si>
    <t>P021</t>
  </si>
  <si>
    <t>Puerta inferior derecha</t>
  </si>
  <si>
    <t>P022</t>
  </si>
  <si>
    <t>Entrepaño regulable inferior</t>
  </si>
  <si>
    <t>638 × 550</t>
  </si>
  <si>
    <t>638 × 548</t>
  </si>
  <si>
    <t>P023</t>
  </si>
  <si>
    <t>B5 Lavaplatos 70</t>
  </si>
  <si>
    <t>P024</t>
  </si>
  <si>
    <t>670 × 580</t>
  </si>
  <si>
    <t>670 × 578</t>
  </si>
  <si>
    <t>P025</t>
  </si>
  <si>
    <t>Travesaño de canto</t>
  </si>
  <si>
    <t>670 × 100</t>
  </si>
  <si>
    <t>669,1 × 99,1</t>
  </si>
  <si>
    <t>Si no la cantean: cortar a 669,1 × 99,1 y cantear en el armado. Rebaje para la gola en el armado, cuando se defina el borde del granito; no lo hace el proveedor.</t>
  </si>
  <si>
    <t>P026</t>
  </si>
  <si>
    <t>696 × 781</t>
  </si>
  <si>
    <t>P027</t>
  </si>
  <si>
    <t>Puerta izquierda</t>
  </si>
  <si>
    <t>732 × 347</t>
  </si>
  <si>
    <t>728 × 343</t>
  </si>
  <si>
    <t>P028</t>
  </si>
  <si>
    <t>Puerta derecha</t>
  </si>
  <si>
    <t>P029</t>
  </si>
  <si>
    <t>Entrepaño desmontable; recortar sifón en obra</t>
  </si>
  <si>
    <t>668 × 520</t>
  </si>
  <si>
    <t>667,1 × 517,55</t>
  </si>
  <si>
    <t>Zona húmeda: 2 mm delante y 0,45 mm en los otros tres bordes. Recorte de sifón y tuberías en obra: sellar el corte.</t>
  </si>
  <si>
    <t>P030</t>
  </si>
  <si>
    <t>B4 Basurero y puerta 40</t>
  </si>
  <si>
    <t>P031</t>
  </si>
  <si>
    <t>370 × 580</t>
  </si>
  <si>
    <t>370 × 578</t>
  </si>
  <si>
    <t>P032</t>
  </si>
  <si>
    <t>370 × 100</t>
  </si>
  <si>
    <t>370 × 99,1</t>
  </si>
  <si>
    <t>Si no la cantean: cortar a 370 × 99,1 y cantear en el armado. Rebaje para la gola en el armado, cuando se defina el borde del granito; no lo hace el proveedor.</t>
  </si>
  <si>
    <t>P033</t>
  </si>
  <si>
    <t>396 × 781</t>
  </si>
  <si>
    <t>P034</t>
  </si>
  <si>
    <t>Entrepaño FIJO separador superior/basurero</t>
  </si>
  <si>
    <t>370 × 550</t>
  </si>
  <si>
    <t>370 × 548</t>
  </si>
  <si>
    <t>P035</t>
  </si>
  <si>
    <t>Puerta superior</t>
  </si>
  <si>
    <t>402 × 397</t>
  </si>
  <si>
    <t>398 × 393</t>
  </si>
  <si>
    <t>P036</t>
  </si>
  <si>
    <t>Frente inferior extraíble basurero</t>
  </si>
  <si>
    <t>302 × 397</t>
  </si>
  <si>
    <t>298 × 393</t>
  </si>
  <si>
    <t>P037</t>
  </si>
  <si>
    <t>B6 Terminación</t>
  </si>
  <si>
    <t>Costado de terminación</t>
  </si>
  <si>
    <t>882 × 595</t>
  </si>
  <si>
    <t>881,55 × 593</t>
  </si>
  <si>
    <t>P038</t>
  </si>
  <si>
    <t>Zócalo retranqueado (dos tramos)</t>
  </si>
  <si>
    <t>1275 × 97</t>
  </si>
  <si>
    <t>1274,1 × 96,1</t>
  </si>
  <si>
    <t>Si no la cantean: cortar a 1274,1 × 96,1 y cantear en el armado.</t>
  </si>
  <si>
    <t>P039</t>
  </si>
  <si>
    <t>S1 Alacena 19,5</t>
  </si>
  <si>
    <t>700 × 320</t>
  </si>
  <si>
    <t>697,55 × 318</t>
  </si>
  <si>
    <t>P040</t>
  </si>
  <si>
    <t>Techo</t>
  </si>
  <si>
    <t>165 × 320</t>
  </si>
  <si>
    <t>165 × 318</t>
  </si>
  <si>
    <t>P041</t>
  </si>
  <si>
    <t>P042</t>
  </si>
  <si>
    <t>Fondo</t>
  </si>
  <si>
    <t>191 × 696</t>
  </si>
  <si>
    <t>P043</t>
  </si>
  <si>
    <t>Entrepaño regulable</t>
  </si>
  <si>
    <t>163 × 300</t>
  </si>
  <si>
    <t>163 × 298</t>
  </si>
  <si>
    <t>P044</t>
  </si>
  <si>
    <t>Puerta</t>
  </si>
  <si>
    <t>717 × 192</t>
  </si>
  <si>
    <t>713 × 188</t>
  </si>
  <si>
    <t>P045</t>
  </si>
  <si>
    <t>S2 Gabinete ducto 60</t>
  </si>
  <si>
    <t>350 × 320</t>
  </si>
  <si>
    <t>347,55 × 318</t>
  </si>
  <si>
    <t>P046</t>
  </si>
  <si>
    <t>Techo (perforar solo si el ducto sale hacia arriba; definir con manual)</t>
  </si>
  <si>
    <t>570 × 320</t>
  </si>
  <si>
    <t>570 × 318</t>
  </si>
  <si>
    <t>Perforación del ducto en obra, según manual de la campana.</t>
  </si>
  <si>
    <t>P047</t>
  </si>
  <si>
    <t>Piso elevado 40 mm para agarre inferior; perforar para ducto (diámetro y posición según manual de campana)</t>
  </si>
  <si>
    <t>P048</t>
  </si>
  <si>
    <t>596 × 346</t>
  </si>
  <si>
    <t>P049</t>
  </si>
  <si>
    <t>Puerta abatible superior</t>
  </si>
  <si>
    <t>347 × 597</t>
  </si>
  <si>
    <t>343 × 593</t>
  </si>
  <si>
    <t>P071</t>
  </si>
  <si>
    <t>Faja retranqueada de agarre sobre campana</t>
  </si>
  <si>
    <t>570 × 60</t>
  </si>
  <si>
    <t>569,1 × 57,55</t>
  </si>
  <si>
    <t>Si no la cantean: cortar a 569,1 × 57,55 y cantear en el armado. Angosta con canto rígido de 2 mm: preguntar si la canteadora la acepta; si no, canteadora manual en taller.</t>
  </si>
  <si>
    <t>P050</t>
  </si>
  <si>
    <t>S3 Alacena 65,5</t>
  </si>
  <si>
    <t>P051</t>
  </si>
  <si>
    <t>625 × 320</t>
  </si>
  <si>
    <t>625 × 318</t>
  </si>
  <si>
    <t>P052</t>
  </si>
  <si>
    <t>P053</t>
  </si>
  <si>
    <t>651 × 696</t>
  </si>
  <si>
    <t>P054</t>
  </si>
  <si>
    <t>División vertical</t>
  </si>
  <si>
    <t>670 × 320</t>
  </si>
  <si>
    <t>670 × 318</t>
  </si>
  <si>
    <t>P055</t>
  </si>
  <si>
    <t>303 × 300</t>
  </si>
  <si>
    <t>303 × 298</t>
  </si>
  <si>
    <t>P056</t>
  </si>
  <si>
    <t>717 × 324,5</t>
  </si>
  <si>
    <t>713 × 320,5</t>
  </si>
  <si>
    <t>P057</t>
  </si>
  <si>
    <t>P058</t>
  </si>
  <si>
    <t>S4 Platero 71,5</t>
  </si>
  <si>
    <t>P059</t>
  </si>
  <si>
    <t>685 × 320</t>
  </si>
  <si>
    <t>685 × 318</t>
  </si>
  <si>
    <t>P060</t>
  </si>
  <si>
    <t>Listón inferior delantero</t>
  </si>
  <si>
    <t>685 × 60</t>
  </si>
  <si>
    <t>684,1 × 59,1</t>
  </si>
  <si>
    <t>Si no la cantean: cortar a 684,1 × 59,1 y cantear en el armado.</t>
  </si>
  <si>
    <t>P061</t>
  </si>
  <si>
    <t>Listón inferior trasero</t>
  </si>
  <si>
    <t>685 × 80</t>
  </si>
  <si>
    <t>684,1 × 79,1</t>
  </si>
  <si>
    <t>Si no la cantean: cortar a 684,1 × 79,1 y cantear en el armado.</t>
  </si>
  <si>
    <t>P062</t>
  </si>
  <si>
    <t>711 × 696</t>
  </si>
  <si>
    <t>P063</t>
  </si>
  <si>
    <t>717 × 354,5</t>
  </si>
  <si>
    <t>713 × 350,5</t>
  </si>
  <si>
    <t>P064</t>
  </si>
  <si>
    <t>P065</t>
  </si>
  <si>
    <t>S5 Alacena 40</t>
  </si>
  <si>
    <t>P066</t>
  </si>
  <si>
    <t>370 × 320</t>
  </si>
  <si>
    <t>370 × 318</t>
  </si>
  <si>
    <t>P067</t>
  </si>
  <si>
    <t>P068</t>
  </si>
  <si>
    <t>396 × 696</t>
  </si>
  <si>
    <t>P069</t>
  </si>
  <si>
    <t>368 × 300</t>
  </si>
  <si>
    <t>368 × 298</t>
  </si>
  <si>
    <t>P070</t>
  </si>
  <si>
    <t>717 × 397</t>
  </si>
  <si>
    <t>713 × 393</t>
  </si>
  <si>
    <t>Clóset</t>
  </si>
  <si>
    <t>C3-001</t>
  </si>
  <si>
    <t>EST</t>
  </si>
  <si>
    <t>Lateral exterior</t>
  </si>
  <si>
    <t>RH15 Cartagena 15 mm</t>
  </si>
  <si>
    <t>2280 × 560</t>
  </si>
  <si>
    <t>2279,1 × 558</t>
  </si>
  <si>
    <t>Rebaje superior para el listón de pino 4 × 4 en taller.</t>
  </si>
  <si>
    <t>C3-002</t>
  </si>
  <si>
    <t>Divisor central</t>
  </si>
  <si>
    <t>2280 × 490</t>
  </si>
  <si>
    <t>2279,55 × 488</t>
  </si>
  <si>
    <t>C3-003</t>
  </si>
  <si>
    <t>B1</t>
  </si>
  <si>
    <t>Piso sobre base</t>
  </si>
  <si>
    <t>830 × 560</t>
  </si>
  <si>
    <t>829,55 × 558</t>
  </si>
  <si>
    <t>C3-004</t>
  </si>
  <si>
    <t>Tapa superior</t>
  </si>
  <si>
    <t>830 × 505</t>
  </si>
  <si>
    <t>830 × 504,55</t>
  </si>
  <si>
    <t>C3-005</t>
  </si>
  <si>
    <t>Fondo RH15</t>
  </si>
  <si>
    <t>2250 × 830</t>
  </si>
  <si>
    <t>C3-006</t>
  </si>
  <si>
    <t>Piso de maletero</t>
  </si>
  <si>
    <t>830 × 475</t>
  </si>
  <si>
    <t>830 × 473</t>
  </si>
  <si>
    <t>C3-007</t>
  </si>
  <si>
    <t>Refuerzo frontal de maletero</t>
  </si>
  <si>
    <t>830 × 80</t>
  </si>
  <si>
    <t>830 × 79,55</t>
  </si>
  <si>
    <t>Si no la cantean: cortar a 830 × 79,55 y cantear en el armado.</t>
  </si>
  <si>
    <t>C3-008</t>
  </si>
  <si>
    <t>Refuerzo trasero de maletero</t>
  </si>
  <si>
    <t>830 × 100</t>
  </si>
  <si>
    <t>830 × 99,55</t>
  </si>
  <si>
    <t>Si no la cantean: cortar a 830 × 99,55 y cantear en el armado.</t>
  </si>
  <si>
    <t>C3-009</t>
  </si>
  <si>
    <t>B2</t>
  </si>
  <si>
    <t>1075 × 560</t>
  </si>
  <si>
    <t>1074,55 × 558</t>
  </si>
  <si>
    <t>C3-010</t>
  </si>
  <si>
    <t>1075 × 505</t>
  </si>
  <si>
    <t>1075 × 504,55</t>
  </si>
  <si>
    <t>C3-011</t>
  </si>
  <si>
    <t>2250 × 1075</t>
  </si>
  <si>
    <t>C3-012</t>
  </si>
  <si>
    <t>1075 × 475</t>
  </si>
  <si>
    <t>1075 × 473</t>
  </si>
  <si>
    <t>C3-013</t>
  </si>
  <si>
    <t>1075 × 80</t>
  </si>
  <si>
    <t>1075 × 79,55</t>
  </si>
  <si>
    <t>Si no la cantean: cortar a 1075 × 79,55 y cantear en el armado.</t>
  </si>
  <si>
    <t>C3-014</t>
  </si>
  <si>
    <t>1075 × 100</t>
  </si>
  <si>
    <t>1075 × 99,55</t>
  </si>
  <si>
    <t>Si no la cantean: cortar a 1075 × 99,55 y cantear en el armado.</t>
  </si>
  <si>
    <t>C3-015</t>
  </si>
  <si>
    <t>Frente de cajón</t>
  </si>
  <si>
    <t>824 × 210</t>
  </si>
  <si>
    <t>820 × 206</t>
  </si>
  <si>
    <t>Veta horizontal: frente de 824 de ancho, queda detrás de las hojas.</t>
  </si>
  <si>
    <t>C3-016</t>
  </si>
  <si>
    <t>Costado de cajón</t>
  </si>
  <si>
    <t>450 × 155</t>
  </si>
  <si>
    <t>449,55 × 154,55</t>
  </si>
  <si>
    <t>C3-017</t>
  </si>
  <si>
    <t>Base aplicada de cajón</t>
  </si>
  <si>
    <t>803 × 450</t>
  </si>
  <si>
    <t>802,1 × 449,55</t>
  </si>
  <si>
    <t>C3-018</t>
  </si>
  <si>
    <t>Frente / trasero interior de cajón</t>
  </si>
  <si>
    <t>773 × 155</t>
  </si>
  <si>
    <t>773 × 154,55</t>
  </si>
  <si>
    <t>C3-019</t>
  </si>
  <si>
    <t>Refuerzo bajo base de cajón</t>
  </si>
  <si>
    <t>803 × 40</t>
  </si>
  <si>
    <t>802,1 × 39,55</t>
  </si>
  <si>
    <t>Si no la cantean: cortar a 802,1 × 39,55 y cantear en el armado.</t>
  </si>
  <si>
    <t>C3-020</t>
  </si>
  <si>
    <t>BASE</t>
  </si>
  <si>
    <t>Zócalo frontal</t>
  </si>
  <si>
    <t>1950 × 92</t>
  </si>
  <si>
    <t>1949,1 × 91,1</t>
  </si>
  <si>
    <t>Si no la cantean: cortar a 1949,1 × 91,1 y cantear en el armado.</t>
  </si>
  <si>
    <t>C3-021</t>
  </si>
  <si>
    <t>Travesaño trasero de base</t>
  </si>
  <si>
    <t>1950 × 80</t>
  </si>
  <si>
    <t>1949,1 × 79,1</t>
  </si>
  <si>
    <t>Si no la cantean: cortar a 1949,1 × 79,1 y cantear en el armado.</t>
  </si>
  <si>
    <t>C3-022</t>
  </si>
  <si>
    <t>Travesaño de base</t>
  </si>
  <si>
    <t>480 × 80</t>
  </si>
  <si>
    <t>479,1 × 79,1</t>
  </si>
  <si>
    <t>Si no la cantean: cortar a 479,1 × 79,1 y cantear en el armado.</t>
  </si>
  <si>
    <t>C3-023</t>
  </si>
  <si>
    <t>PUERTAS</t>
  </si>
  <si>
    <t>Hoja corrediza RH15</t>
  </si>
  <si>
    <t>2175 × 975</t>
  </si>
  <si>
    <t>2191 × 971</t>
  </si>
  <si>
    <t>Pedida 20 mm más alta (2195 en vez de 2175): en el armado, con el riel y los carros puestos, recortar el borde superior —tapado por la solapa— hasta que la guía inferior sujete la hoja. Nunca debe quedar corta.</t>
  </si>
  <si>
    <t>C3-024</t>
  </si>
  <si>
    <t>Solapa frontal</t>
  </si>
  <si>
    <t>1950 × 120</t>
  </si>
  <si>
    <t>1946 × 117,55</t>
  </si>
  <si>
    <t>Baño</t>
  </si>
  <si>
    <t>B01</t>
  </si>
  <si>
    <t>BAJO</t>
  </si>
  <si>
    <t>RH15 Cartagena</t>
  </si>
  <si>
    <t>470 × 450</t>
  </si>
  <si>
    <t>469,1 × 447,55</t>
  </si>
  <si>
    <t>Zona húmeda: proteger todos los bordes y sellar perforaciones; dimensiones terminadas.</t>
  </si>
  <si>
    <t>B02</t>
  </si>
  <si>
    <t>490 × 450</t>
  </si>
  <si>
    <t>489,1 × 447,55</t>
  </si>
  <si>
    <t>B03</t>
  </si>
  <si>
    <t>Entrepaño retranqueado con reserva de sifón</t>
  </si>
  <si>
    <t>490 × 405</t>
  </si>
  <si>
    <t>489,1 × 402,55</t>
  </si>
  <si>
    <t>Zona húmeda: proteger todos los bordes y sellar perforaciones; dimensiones terminadas. Nicho libre de 150 mm bajo granito. Recorte trasero ilustrativo 100 × 270 mm, centrado; no mecanizar sin sifón real. Retranqueo frontal de 30 mm para agarre.</t>
  </si>
  <si>
    <t>B04</t>
  </si>
  <si>
    <t>Travesaño trasero superior lateral</t>
  </si>
  <si>
    <t>195 × 80</t>
  </si>
  <si>
    <t>194,1 × 79,1</t>
  </si>
  <si>
    <t>Si no la cantean: cortar a 194,1 × 79,1 y cantear en taller. Zona húmeda: proteger todos los bordes y sellar perforaciones; dimensiones terminadas. De canto, interrumpido en el centro para tuberías; no es un colgador certificado.</t>
  </si>
  <si>
    <t>B05</t>
  </si>
  <si>
    <t>Travesaño trasero inferior</t>
  </si>
  <si>
    <t>490 × 80</t>
  </si>
  <si>
    <t>489,1 × 79,1</t>
  </si>
  <si>
    <t>Si no la cantean: cortar a 489,1 × 79,1 y cantear en taller. Zona húmeda: proteger todos los bordes y sellar perforaciones; dimensiones terminadas. Define rigidez posterior; anclajes y uniones por dimensionar.</t>
  </si>
  <si>
    <t>B06</t>
  </si>
  <si>
    <t>Panel común para dos puertas: corte diagonal en armado</t>
  </si>
  <si>
    <t>299 × 517</t>
  </si>
  <si>
    <t>295 × 513</t>
  </si>
  <si>
    <t>Una sola pieza rectangular terminada 517 × 299 mm (veta vertical). Pedirla entera, con canto 2 mm en el perímetro; NO dividir en tienda. En el armado, corte central a 75° de la horizontal (provisional entre 70 y 80°) con el disco Diablo de 1,5 mm (corte de 0,059") y canto flexible 0,45 mm en los dos bordes nuevos. Holgura entre puertas tras cantear ≈0,6 mm: probablemente insuficiente (ver Pendientes). La medida de lista es del panel común, no de cada tapa.</t>
  </si>
  <si>
    <t>S01</t>
  </si>
  <si>
    <t>ESPEJO</t>
  </si>
  <si>
    <t>Lateral gabinete superior</t>
  </si>
  <si>
    <t>500 × 105</t>
  </si>
  <si>
    <t>499,1 × 102,55</t>
  </si>
  <si>
    <t>Zona húmeda: proteger todos los bordes y sellar perforaciones; dimensiones terminadas. Fondo total 130 mm con panel 6 mm, holgura frontal 1 mm, tapa RH15 y espejo 3 mm.</t>
  </si>
  <si>
    <t>S02</t>
  </si>
  <si>
    <t>Piso y techo gabinete superior</t>
  </si>
  <si>
    <t>420 × 105</t>
  </si>
  <si>
    <t>419,1 × 102,55</t>
  </si>
  <si>
    <t>S03</t>
  </si>
  <si>
    <t>470 × 105</t>
  </si>
  <si>
    <t>469,1 × 102,55</t>
  </si>
  <si>
    <t>Zona húmeda: proteger todos los bordes y sellar perforaciones; dimensiones terminadas. Interior cerrado 290 mm; columna derecha abierta 115 mm.</t>
  </si>
  <si>
    <t>S04</t>
  </si>
  <si>
    <t>Entrepaño interior izquierdo</t>
  </si>
  <si>
    <t>290 × 100</t>
  </si>
  <si>
    <t>289,1 × 97,55</t>
  </si>
  <si>
    <t>Si no la cantean: cortar a 289,1 × 97,55 y cantear en taller. Zona húmeda: proteger todos los bordes y sellar perforaciones; dimensiones terminadas. Dos entrepaños fijos como la referencia.</t>
  </si>
  <si>
    <t>S05</t>
  </si>
  <si>
    <t>Entrepaño columna abierta derecha</t>
  </si>
  <si>
    <t>115 × 100</t>
  </si>
  <si>
    <t>114,1 × 97,55</t>
  </si>
  <si>
    <t>Si no la cantean: cortar a 114,1 × 97,55 y cantear en taller. Zona húmeda: proteger todos los bordes y sellar perforaciones; dimensiones terminadas.</t>
  </si>
  <si>
    <t>S06</t>
  </si>
  <si>
    <t>Tapa RH15 portadora del espejo</t>
  </si>
  <si>
    <t>500 × 320</t>
  </si>
  <si>
    <t>496 × 316</t>
  </si>
  <si>
    <t>Medida exterior de referencia 320 × 500; espejo pegado en cara exterior. Dos bisagras candidatas, peso conjunto aproximado 2,8 kg sin herrajes. Validar holguras, cazoletas y adhesivo compatible con espejo.</t>
  </si>
  <si>
    <t>F01</t>
  </si>
  <si>
    <t>Fondo blanco de 6 mm</t>
  </si>
  <si>
    <t>Fondo melamina blanco RH6</t>
  </si>
  <si>
    <t>496 × 446</t>
  </si>
  <si>
    <t>495,1 × 445,1</t>
  </si>
  <si>
    <t>Fondo aplicado por detrás, retranqueado 2 mm de los bordes. Reutilización de sobrantes de cocina solo se comprobará en la optimización conjunta final. No soporta el anclaje del gabinete.</t>
  </si>
  <si>
    <t>Encaje conjunto en láminas · propuesta de factibilidad</t>
  </si>
  <si>
    <t>Cortes pasantes, sin rotar por la veta, refilado 10 mm por lado y sierra 4 mm. El plano de corte definitivo lo define la seccionadora del proveedor.</t>
  </si>
  <si>
    <t>Lámina</t>
  </si>
  <si>
    <t>Ocupación</t>
  </si>
  <si>
    <t>Piezas</t>
  </si>
  <si>
    <t>RH15</t>
  </si>
  <si>
    <t>Clóset C3-011, Clóset C3-023, Cocina P016, Cocina P011, Cocina P002, Cocina P019, Cocina P019, Cocina P018, Cocina P003, Cocina P003</t>
  </si>
  <si>
    <t>Clóset C3-023, Clóset C3-009, Clóset C3-010, Cocina P037, Clóset C3-012, Cocina P038, Cocina P040, Cocina P041, Cocina P043, Clóset C3-019, Baño S05</t>
  </si>
  <si>
    <t>Clóset C3-005, Clóset C3-003, Cocina P001, Cocina P001, Clóset C3-004, Cocina P024, Cocina P009, Clóset C3-024, Clóset C3-019, Baño S04</t>
  </si>
  <si>
    <t>Clóset C3-001, Clóset C3-001, Cocina P006, Cocina P006, Cocina P013, Cocina P070, Cocina P063, Cocina P064</t>
  </si>
  <si>
    <t>Clóset C3-002, Cocina P012, Cocina P012, Cocina P023, Cocina P023, Clóset C3-006, Clóset C3-017, Cocina P022, Cocina P029, Baño B02</t>
  </si>
  <si>
    <t>Cocina P030, Cocina P030, Clóset C3-017, Clóset C3-017, Cocina P017, Cocina P027, Cocina P028, Cocina P056, Cocina P057, Cocina P039, Cocina P039, Cocina P050, Clóset C3-020, Clóset C3-015, Clóset C3-015, Clóset C3-021, Cocina P038, Cocina P045, Cocina P055, Cocina P025, Clóset C3-019, Baño B04, Baño B04</t>
  </si>
  <si>
    <t>Cocina P007, Cocina P050, Cocina P058, Cocina P058, Cocina P065, Cocina P065, Cocina P059, Cocina P031, Cocina P054, Baño B01, Baño B01, Cocina P051, Cocina P052, Cocina P046, Cocina P047, Clóset C3-015, Cocina P044, Cocina P005, Cocina P066, Cocina P067, Cocina P045, Clóset C3-014, Cocina P055, Clóset C3-013, Clóset C3-008, Cocina P025, Baño S02, Cocina P060, Baño B05, Cocina P032, Cocina P032, Cocina P071</t>
  </si>
  <si>
    <t>Cocina P049, Cocina P034, Baño B03, Cocina P020, Cocina P021, Baño S06, Cocina P035, Baño B06, Clóset C3-018, Clóset C3-018, Clóset C3-018, Clóset C3-018, Clóset C3-018, Clóset C3-018, Cocina P036, Cocina P069, Clóset C3-016, Clóset C3-016, Clóset C3-016, Clóset C3-016, Clóset C3-016, Clóset C3-016, Clóset C3-007, Cocina P014, Cocina P014, Cocina P008, Cocina P061, Baño S01, Baño S01, Baño S03, Cocina P010, Baño S02, Cocina P018, Clóset C3-022, Clóset C3-022, Clóset C3-022, Baño S04</t>
  </si>
  <si>
    <t>Fondo RH6</t>
  </si>
  <si>
    <t>Cocina P026, Cocina P015, Cocina P062, Cocina P053, Cocina P033, Cocina P068, Baño F01, Cocina P048, Cocina P004, Cocina P042</t>
  </si>
  <si>
    <t>Canto conjunto</t>
  </si>
  <si>
    <t>Metros netos de cada despiece; compra con 5 cm por borde y 10 % de margen.</t>
  </si>
  <si>
    <t>Tipo</t>
  </si>
  <si>
    <t>Metros netos</t>
  </si>
  <si>
    <t>Bordes</t>
  </si>
  <si>
    <t>Rígido 2 mm</t>
  </si>
  <si>
    <t>Total · comprar 118 m</t>
  </si>
  <si>
    <t>Flexible 0,45 mm</t>
  </si>
  <si>
    <t>Total · comprar 115 m</t>
  </si>
  <si>
    <t>Compras consolidadas</t>
  </si>
  <si>
    <t>Precios de referencia de los Excel de cada mueble. «cotizar» = sin precio; no equivale a cero.</t>
  </si>
  <si>
    <t>Grupo</t>
  </si>
  <si>
    <t>Ítem</t>
  </si>
  <si>
    <t>Unidad</t>
  </si>
  <si>
    <t>Precio unitario (COP)</t>
  </si>
  <si>
    <t>Subtotal (COP)</t>
  </si>
  <si>
    <t>Tableros y cantos</t>
  </si>
  <si>
    <t>Tablero melamina Cartagena RH15 · 2440 × 2150</t>
  </si>
  <si>
    <t>Cocina, clóset y baño</t>
  </si>
  <si>
    <t>lámina</t>
  </si>
  <si>
    <t>Encaje conjunto de las piezas RH15 de los tres muebles en 8 láminas (hoja Láminas). Por separado serían 10.</t>
  </si>
  <si>
    <t>Fondo melamina blanco RH6 · 2440 × 2150</t>
  </si>
  <si>
    <t>Cocina y baño</t>
  </si>
  <si>
    <t>Los 9 fondos de la cocina y el fondo del gabinete del baño caben en una lámina.</t>
  </si>
  <si>
    <t>Canto rígido Cartagena 19 × 2 mm · rollo 100 m</t>
  </si>
  <si>
    <t>rollo</t>
  </si>
  <si>
    <t>Necesario 118 m: 98,8 m netos + 5 cm por borde (168 bordes) + 10 %.</t>
  </si>
  <si>
    <t>Canto rígido Cartagena 19 × 2 mm · metros sueltos</t>
  </si>
  <si>
    <t>m</t>
  </si>
  <si>
    <t>cotizar</t>
  </si>
  <si>
    <t>Complemento del rollo de 100 m; se compra suelto en la sucursal.</t>
  </si>
  <si>
    <t>Canto flexible Cartagena 19 × 0,45 mm · rollo 200 m</t>
  </si>
  <si>
    <t>Necesario 115 m: 93,1 m netos + 5 cm por borde (218 bordes) + 10 %. Sobran unos 85 m para cantear en el armado las piezas pequeñas que no acepte la máquina.</t>
  </si>
  <si>
    <t>Herrajes</t>
  </si>
  <si>
    <t>Perfil gola superior × 3 m</t>
  </si>
  <si>
    <t>Tramos B1 180 + B3/B5/B4 1770 = 1950 mm; interrumpido en el horno. Los rebajes en laterales y travesaños se hacen en el armado, según el borde del mesón (ver Pendientes).</t>
  </si>
  <si>
    <t>Perfil gola media × 3 m</t>
  </si>
  <si>
    <t>Tramos B3 670 + B4 400 = 1070 mm. Una barra de 3 m; remates y mecanizados por validar.</t>
  </si>
  <si>
    <t>Riel Bonuit HRE550-55N · negro · 550 mm · cierre lento 30 kg · par</t>
  </si>
  <si>
    <t>Solo cajón cubiertero B3. Vano 640 − 27 = caja 613; interior 583 × 520. Precio previo 47.034 COP/par. B4 lleva plataforma RH sin paredes encima y otro par HRE126-55.</t>
  </si>
  <si>
    <t>Platero HSO566-03G · nominal 700 mm · herraje 680 × 245</t>
  </si>
  <si>
    <t>HSO566-03G gris antracita: precio conservado $63.539. Ficha transcrita por usuario: 680 × 245, carga máxima 7 kg, acero 201 pintado, cuatro fijaciones Ø10; cotas y profundidad de taladro a verificar con pieza real. Marcar en obra.</t>
  </si>
  <si>
    <t>Cubiertero HSC910-40 · 360 × 480 × 50 mm</t>
  </si>
  <si>
    <t>360 × 480 × 50 en interior B3 de 583 × 520; removible a un lado, sin divisor fijo.</t>
  </si>
  <si>
    <t>Pata niveladora para zócalo 100 mm</t>
  </si>
  <si>
    <t>Cinco módulos bajos: 20 apoyos básicos + 4 refuerzos por distribuir según cargas. Madecentro.</t>
  </si>
  <si>
    <t>Colgador regulable para gabinete superior (par)</t>
  </si>
  <si>
    <t>Uno por gabinete superior (S1–S5). Verificar cabida en S1 (luz 165) y riel mural compatible; sin listones a 45° definidos.</t>
  </si>
  <si>
    <t>Soportes de entrepaño y tornillería</t>
  </si>
  <si>
    <t>24 soportes de entrepaño (6 entrepaños × 4: S1, dos en S3, S5, B3 y B5). Tornillos de armado 4 × 50 (≈150) y de herrajes 4 × 16 (≈150), cantidad preliminar; no duplicar los 12 que trae cada par de rieles. Fijaciones de fondos y anclajes según muro real.</t>
  </si>
  <si>
    <t>Condimentero Bonuit HSO317-15R · tres niveles · cierre lento</t>
  </si>
  <si>
    <t>Precio aportado por usuario 26/10/2026. Módulo nominal 150 × 500 × 600, herraje 100 × 446 × 470; con rieles laterales el conjunto mide 135 mm (medido por el usuario), por eso B1 es de 180 exterior (150 libres). Incluye rieles y enganches; no comprar otro par. https://madecentro.com/products/canasta-condimentero-tres-niveles-gris-antracita-cierre-lento-copia</t>
  </si>
  <si>
    <t>Basurero Bonuit HSO688-00 · bandeja y 2 recipientes · 12 L</t>
  </si>
  <si>
    <t>Precio aportado por usuario 26/10/2026. Herraje 485 × 330 × 215, módulo nominal 400. NO incluye sistema extraíble. https://madecentro.com/collections/herrajes-para-cocina/products/hso688-00-basureras-y-estructura-plastica-gris-de-12l-2-basureas-330x485x215mm-para-modulo-de-400</t>
  </si>
  <si>
    <t>Riel Mobile HRE126-55 · 550 mm · extensión total 38 kg · cierre normal · par</t>
  </si>
  <si>
    <t>Precio consultado 26/10/2026 para variante 55 cm. Incluye par y 12 tornillos. Montaje lateral VERTICAL en largueros inferiores, no acostado. Descuento de ancho, altura y perforación pendientes de ficha HRE126. https://madecentro.com/products/riel-corredera-para-cajon-de-extension-total-carga-media-38-kg?variant=45720301699302</t>
  </si>
  <si>
    <t>Riel mural y fijaciones compatibles con colgadores superiores</t>
  </si>
  <si>
    <t>Sistema para 5 gabinetes; S1 luz 165. Dimensionar anclajes según farol/muro real, carga y fabricante. No hay suspensión de bajos a 45°.</t>
  </si>
  <si>
    <t>Brazo neumático Bonuit HEC060-03 · 60 N · gris (unidad)</t>
  </si>
  <si>
    <t>2 por módulo de 600; 9.126 COP/unidad aportados por usuario 26/10/2026. Incluye platinas y tornillos; requiere bisagras (dos superiores ya previstas, sin duplicarlas). Fuerza y montaje a validar con peso real de puerta; 2,07 kg es aproximación del usuario. https://madecentro.com/products/hec060-03-brazo-neumatico-cierre-lento-60n</t>
  </si>
  <si>
    <t>Fijaciones de gola con tornillo · previsión compatible</t>
  </si>
  <si>
    <t>8 extremos de cuatro tramos + 2 apoyos intermedios en superior de 1770 mm. Previsión de diseño, no separación certificada. Precio de referencia Mobile: confirmar compatibilidad con gola comprada antes de comprar/mecanizar. https://madecentro.com/products/escuadra-para-perfil-gola-peralm63-64</t>
  </si>
  <si>
    <t>HRE320-45 · Riel lateral 450 mm</t>
  </si>
  <si>
    <t>par</t>
  </si>
  <si>
    <t>Vano 830 − 27 = caja 803 × 450. Los 45 kg nominales del par no certifican la caja ni la carga útil. Incluye 12 tornillos de 12 mm por par. Confirmar uniones.</t>
  </si>
  <si>
    <t>FSCPCM20 · Kit Peralma para dos hojas</t>
  </si>
  <si>
    <t>kit</t>
  </si>
  <si>
    <t>Kit publicado: 4 rodamientos, 1 guía, 1 tope y tornillos. Identificar si coinciden con la guía y el amortiguador descritos por el usuario, antes de añadir accesorios. Cada hoja RH pesa 21,3 kg sin herrajes (10,05 kg/m², dato de Madecentro); el kit indica 30 kg: preguntar si es por hoja o por kit de dos.</t>
  </si>
  <si>
    <t>PERALMA50B · 2 m · Riel colgante superior para 2 hojas</t>
  </si>
  <si>
    <t>barra</t>
  </si>
  <si>
    <t>Barra 2 m para recorrido 1920 mm. Referencia real: zona de 70 mm de fondo, hojas entre 500 y 550 mm, cuerpo hasta 560. El riel se atornilla al listón de pino del bastidor (no a la tapa). Guía inferior sin apoyo de peso; no hay riel inferior de carga. Confirmar sección y taladros del sistema.</t>
  </si>
  <si>
    <t>HMA310-02 · Manija tubular CC96 mm</t>
  </si>
  <si>
    <t>unidad</t>
  </si>
  <si>
    <t>Una manija vertical en el extremo exterior de cada hoja.35 mm de saliente: fondo máximo 585 mm. Dos centros 96 mm; largo representado 119 mm. Las manijas no sustituyen una certificación de rigidez del tablero.</t>
  </si>
  <si>
    <t>Tope plástico amortiguado</t>
  </si>
  <si>
    <t>conjunto</t>
  </si>
  <si>
    <t>Detrás de la hoja exterior, conserva 50 mm de desfase y evita invertir el orden de hojas. Cota de pérdida de recorrido aportada por el usuario. Verificar si viene en el kit; no duplicar compra. La guía inferior tampoco se compra dos veces.</t>
  </si>
  <si>
    <t>Barras para colgar</t>
  </si>
  <si>
    <t>tramo</t>
  </si>
  <si>
    <t>Una ilustrada 810 mm y dos 1055 mm. Barra baja derecha desmontable. Medidas de corte reales según soportes elegidos.</t>
  </si>
  <si>
    <t>Soportes de barra</t>
  </si>
  <si>
    <t>Dos por barra. Fijación y carga para RH15 por confirmar.</t>
  </si>
  <si>
    <t>Apoyos de base</t>
  </si>
  <si>
    <t>Dos bajo cada lateral/divisor. El modelo dibuja 20 mm de apoyo y base total 100 mm; producto y regulación por elegir.</t>
  </si>
  <si>
    <t>Uniones y anclajes</t>
  </si>
  <si>
    <t>lote</t>
  </si>
  <si>
    <t>Incluye fijación de fondos, estructura y refuerzos de RH; el bastidor del riel se lista aparte. El extremo derecho queda libre: no puede anclarse al muro lateral derecho. Definir anclaje posterior y lateral izquierdo según muro.</t>
  </si>
  <si>
    <t>Listón 4×4 cm · bastidor del riel</t>
  </si>
  <si>
    <t>listón</t>
  </si>
  <si>
    <t>Listón de pino de 4×4 cm que va de lateral a lateral: 1920 mm libres más el encaje en cada lateral (máx. 7 mm por lado). Pedir de 2,0 m o más, recto, seco y sin nudos grandes; sobra para 2 tacos de 15 mm. Va encajonado y atornillado a los laterales; el riel (50 mm) se atornilla a su cara inferior y sobresale ~5 mm por lado. El clóset real usa 7×3 cm; se cambió a 4×4 por disponibilidad. Confirmar rebaje y tornillos con el instalador.</t>
  </si>
  <si>
    <t>Tornillos del bastidor y del riel</t>
  </si>
  <si>
    <t>Tornillos para madera y aglomerado en cada extremo del listón y para el riel; el kit del sistema puede traer los suyos. Escuadras solo si el rebaje en los laterales queda corto.</t>
  </si>
  <si>
    <t>Soportes de granito/mueble · Soportes estructurales a muro</t>
  </si>
  <si>
    <t>Capacidad, anclajes y sustrato real; no depende del fondo RH6.</t>
  </si>
  <si>
    <t>Fijaciones del espejo · Anclajes gabinete superior</t>
  </si>
  <si>
    <t>juego</t>
  </si>
  <si>
    <t>Fijar por estructura o herrajes de colgar adecuados.</t>
  </si>
  <si>
    <t>Sellado y adhesivo · Diagonal, recortes y espejo</t>
  </si>
  <si>
    <t>Productos compatibles con RH, canto, piedra y espejo según aplicación.</t>
  </si>
  <si>
    <t>Bisagra parche HBM897-01 · par</t>
  </si>
  <si>
    <t>Cocina 12 pares (24 bisagras) + baño 3 pares (6 bisagras). Validar peso y cabida en el gabinete del espejo.</t>
  </si>
  <si>
    <t>Mesón, equipos y grifería</t>
  </si>
  <si>
    <t>Mesón Crema Marfil 260 × 62 cm · código 519014</t>
  </si>
  <si>
    <t>Placa de 15 mm confirmada por usuario y ficha Homecenter. Precio $1.486.300 conservado. Recortes, material final, apoyos y posible borde engrosado por definir. La ficha mezcla 260/150 cm y granito/cuarzo: confirmar suministro concreto. https://www.homecenter.com.co/homecenter-co/product/519014/meson-granito-natural-crema-marfil-260-cm-x-62-cm/519014/</t>
  </si>
  <si>
    <t>Lavaplatos Socoda AS350 satinado · submontar 1 poceta 55 × 43 cm · código 87730</t>
  </si>
  <si>
    <t>Socoda AS350 satinado, código 87730: $209.900 conservados. 550 × 430 EXTERIORES, profundidad 165 mm. Abertura interior 490 × 370 según ficha descrita por usuario. Submontar: pestaña bajo placa, con anclaje/soporte compatibles. Hueco de corte lo define plantilla Socoda y acabado del borde; 490 × 370 solo referencia 3D. https://www.homecenter.com.co/homecenter-co/product/87730/lavaplatos-de-submontar-1-poceta-55x43-cm-acero-inoxidable-socoda/87730/</t>
  </si>
  <si>
    <t>Combo CA3057: campana Tofu negro 60 cm + horno H60EEVAL005 + estufa CCR60-F4P-SBF031</t>
  </si>
  <si>
    <t>Precio aportado por el usuario el 25/10/2026 por el combo completo. Horno mixto 110 V/gas natural; estufa cristal gas natural 60 × 51 cm.</t>
  </si>
  <si>
    <t>Grifería de cocina</t>
  </si>
  <si>
    <t>Seleccionar modelo y conexiones.</t>
  </si>
  <si>
    <t>Desagüe, canastilla, sifón y acoples</t>
  </si>
  <si>
    <t>Sifón y llaves deben permitir retirar el entrepaño del B5. No incluye canasta bajo fregadero.</t>
  </si>
  <si>
    <t>Ducto y accesorios de campana</t>
  </si>
  <si>
    <t>Definir según modelo Haceb, diámetro y salida. Perforar el piso P047 (y el techo P046 si sale hacia arriba) según manual.</t>
  </si>
  <si>
    <t>Soporte mecánico compatible para lavaplatos de submontar</t>
  </si>
  <si>
    <t>Definir con Socoda/marmolero para placa 15 mm. Travesaños no sustituyen la validación del soporte de cubeta y agua.</t>
  </si>
  <si>
    <t>Lavamanos de sobreponer · Bowl Ø350 × 140 ilustrativo</t>
  </si>
  <si>
    <t>No es un modelo comercial seleccionado.</t>
  </si>
  <si>
    <t>Grifería · Mezclador alto ilustrativo</t>
  </si>
  <si>
    <t>Medir alcance y altura según lavamanos.</t>
  </si>
  <si>
    <t>Desagüe y sifón · Evacuación del lavamanos</t>
  </si>
  <si>
    <t>Recorte de entrepaño solo con sifón y tuberías reales.</t>
  </si>
  <si>
    <t>Otros proveedores</t>
  </si>
  <si>
    <t>Espejo · 320 × 500 × 3 mm provisional</t>
  </si>
  <si>
    <t>pieza</t>
  </si>
  <si>
    <t>Cantos pulidos; espesor y adhesivo con vidriero.</t>
  </si>
  <si>
    <t>Retal de granito · 550 × 470 × 20 mm provisional</t>
  </si>
  <si>
    <t>Vuelos 15 mm a los lados y 5 mm delante; recortes según equipos.</t>
  </si>
  <si>
    <t>Accesorios</t>
  </si>
  <si>
    <t>Escurridor sobre mesón (opcional)</t>
  </si>
  <si>
    <t>Zona derecha de 40 cm; dibujo ilustrativo 375 × 400, confirmar modelo. Escribir 0 solo si ya se tiene y se reutiliza.</t>
  </si>
  <si>
    <t>Servicios</t>
  </si>
  <si>
    <t>Cortes y pulido del mesón (lavaplatos y estufa)</t>
  </si>
  <si>
    <t>Plantillas y recortes en placa 15 mm. Lavaplatos 550 × 430 exterior NO es medida de hueco; referencia 3D 490 × 370, plantilla Socoda y tipo de borde mandan. Profundidad 165. Marmolero define radios, tolerancias, apoyos y anclajes; recorte estufa sigue por manual. Borde engrosado opcional por cotizar.</t>
  </si>
  <si>
    <t>Armado e instalación de muebles y mesón</t>
  </si>
  <si>
    <t>24 patas: 20 apoyos básicos de cinco módulos + cuatro refuerzos por definir. Anclajes contra desplazamiento, colgadores y soporte del fregadero según muro/cargas.</t>
  </si>
  <si>
    <t>Transporte y subida de materiales</t>
  </si>
  <si>
    <t>Ingresar 0 únicamente si se confirma incluido.</t>
  </si>
  <si>
    <t>Corte y canteado · pedido único</t>
  </si>
  <si>
    <t>servicio</t>
  </si>
  <si>
    <t>Un solo pedido a la sucursal (hoja Pedido de corte). No cortar las piezas marcadas en Bloqueos hasta resolverlas.</t>
  </si>
  <si>
    <t>Subtotal Tableros y cantos</t>
  </si>
  <si>
    <t>Subtotal Herrajes</t>
  </si>
  <si>
    <t>Subtotal Mesón, equipos y grifería</t>
  </si>
  <si>
    <t>Subtotal Otros proveedores</t>
  </si>
  <si>
    <t>Subtotal Accesorios</t>
  </si>
  <si>
    <t>Subtotal Servicios</t>
  </si>
  <si>
    <t>TOTAL CON PRECIO CONOCIDO</t>
  </si>
  <si>
    <t>Antes de cortar</t>
  </si>
  <si>
    <t>Piezas que no deben cortarse hasta resolver lo indicado. Detalle en la hoja Pendientes de cada mueble.</t>
  </si>
  <si>
    <t>Qué falta</t>
  </si>
  <si>
    <t>Todo</t>
  </si>
  <si>
    <t>Posición del eje de la puerta</t>
  </si>
  <si>
    <t>Confirmar en obra que el eje de la puerta de la habitación está a 2880 mm del muro izquierdo: el ancho de 1950 depende de esa cota (2880 − 900 − 10 − 20).</t>
  </si>
  <si>
    <t>Lo que se corta, recorta o rebaja en el armado</t>
  </si>
  <si>
    <t>Piezas que no se piden (se cortan de un sobrante), piezas pedidas con sobremedida para recortar y mecanizados en obra.</t>
  </si>
  <si>
    <t>Qué se hace</t>
  </si>
  <si>
    <t>P072</t>
  </si>
  <si>
    <t>PROVISIONAL plataforma basurero; confirmar ancho por riel</t>
  </si>
  <si>
    <t>NO PEDIR: se corta en el armado de un sobrante, con el riel HRE126-55 y la bandeja en mano. Pedir a la sucursal que entregue los sobrantes.</t>
  </si>
  <si>
    <t>P073</t>
  </si>
  <si>
    <t>PROVISIONAL larguero bajo plataforma basurero</t>
  </si>
  <si>
    <t>Si no la cantean: cortar a 549,1 × 59,1 y cantear en el armado. NO PEDIR: se corta en el armado de un sobrante, con el riel HRE126-55 y la bandeja en mano. Pedir a la sucursal que entregue los sobrantes.</t>
  </si>
  <si>
    <t>P074</t>
  </si>
  <si>
    <t>PROVISIONAL travesaño bajo plataforma basurero</t>
  </si>
  <si>
    <t>Si no la cantean: cortar a 312,1 × 59,1 y cantear en el armado. NO PEDIR: se corta en el armado de un sobrante, con el riel HRE126-55 y la bandeja en mano. Pedir a la sucursal que entregue los sobrantes.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</si>
</sst>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5" x14ac:knownFonts="1">
    <font>
      <sz val="11"/>
      <color theme="1"/>
      <name val="Calibri"/>
      <family val="2"/>
      <scheme val="minor"/>
    </font>
    <font>
      <b/>
      <sz val="14"/>
      <name val="Calibri"/>
    </font>
    <font>
      <i/>
      <sz val="11"/>
      <name val="Calibri"/>
    </font>
    <font>
      <b/>
      <sz val="11"/>
      <color rgb="FFFFFFFF"/>
      <name val="Calibri"/>
    </font>
    <font>
      <b/>
      <sz val="11"/>
      <name val="Calibri"/>
    </font>
  </fonts>
  <fills count="3">
    <fill>
      <patternFill patternType="none"/>
    </fill>
    <fill>
      <patternFill patternType="gray125"/>
    </fill>
    <fill>
      <patternFill patternType="solid">
        <fgColor rgb="FF253B35"/>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0" borderId="0" xfId="0" applyFont="1"/>
    <xf numFmtId="164" fontId="4" fillId="0" borderId="0" xfId="0" applyNumberFormat="1" applyFont="1"/>
    <xf numFmtId="0" fontId="0" fillId="0" borderId="0" xfId="0" applyAlignment="1">
      <alignment vertical="top"/>
    </xf>
    <xf numFmtId="0" fontId="0" fillId="0" borderId="0" xfId="0" applyAlignment="1">
      <alignment vertical="top" wrapText="1"/>
    </xf>
    <xf numFmtId="9" fontId="0" fillId="0" borderId="0" xfId="0" applyNumberFormat="1"/>
    <xf numFmtId="16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D16"/>
  <sheetViews>
    <sheetView tabSelected="1" workbookViewId="0"/>
  </sheetViews>
  <sheetFormatPr baseColWidth="10" defaultColWidth="8.88671875" defaultRowHeight="14.4" x14ac:dyDescent="0.3"/>
  <cols>
    <col min="1" max="1" width="42" customWidth="1"/>
    <col min="2" max="3" width="16" customWidth="1"/>
    <col min="4" max="4" width="90" customWidth="1"/>
  </cols>
  <sheetData>
    <row r="2" spans="1:4" ht="18" x14ac:dyDescent="0.35">
      <c r="A2" s="1" t="s">
        <v>0</v>
      </c>
    </row>
    <row r="3" spans="1:4" x14ac:dyDescent="0.3">
      <c r="A3" s="2" t="s">
        <v>1</v>
      </c>
    </row>
    <row r="6" spans="1:4" x14ac:dyDescent="0.3">
      <c r="A6" s="3" t="s">
        <v>2</v>
      </c>
      <c r="B6" s="3" t="s">
        <v>3</v>
      </c>
      <c r="C6" s="3" t="s">
        <v>4</v>
      </c>
      <c r="D6" s="3" t="s">
        <v>5</v>
      </c>
    </row>
    <row r="7" spans="1:4" x14ac:dyDescent="0.3">
      <c r="A7" t="s">
        <v>6</v>
      </c>
      <c r="B7">
        <v>10</v>
      </c>
      <c r="C7">
        <v>8</v>
      </c>
      <c r="D7" t="s">
        <v>7</v>
      </c>
    </row>
    <row r="8" spans="1:4" x14ac:dyDescent="0.3">
      <c r="A8" t="s">
        <v>8</v>
      </c>
      <c r="B8">
        <v>2</v>
      </c>
      <c r="C8">
        <v>1</v>
      </c>
      <c r="D8" t="s">
        <v>9</v>
      </c>
    </row>
    <row r="9" spans="1:4" x14ac:dyDescent="0.3">
      <c r="A9" t="s">
        <v>10</v>
      </c>
      <c r="B9">
        <v>2</v>
      </c>
      <c r="C9">
        <v>1</v>
      </c>
      <c r="D9" t="s">
        <v>11</v>
      </c>
    </row>
    <row r="10" spans="1:4" x14ac:dyDescent="0.3">
      <c r="A10" t="s">
        <v>12</v>
      </c>
      <c r="B10">
        <v>2</v>
      </c>
      <c r="C10">
        <v>1</v>
      </c>
      <c r="D10" t="s">
        <v>13</v>
      </c>
    </row>
    <row r="11" spans="1:4" x14ac:dyDescent="0.3">
      <c r="A11" t="s">
        <v>14</v>
      </c>
      <c r="B11">
        <v>15</v>
      </c>
      <c r="C11">
        <v>15</v>
      </c>
      <c r="D11" t="s">
        <v>15</v>
      </c>
    </row>
    <row r="13" spans="1:4" x14ac:dyDescent="0.3">
      <c r="A13" s="4" t="s">
        <v>16</v>
      </c>
      <c r="C13" s="5">
        <f>Compras!G67</f>
        <v>8453310</v>
      </c>
      <c r="D13" t="s">
        <v>17</v>
      </c>
    </row>
    <row r="14" spans="1:4" x14ac:dyDescent="0.3">
      <c r="A14" t="s">
        <v>18</v>
      </c>
      <c r="C14">
        <f>Compras!G68</f>
        <v>28</v>
      </c>
    </row>
    <row r="16" spans="1:4" x14ac:dyDescent="0.3">
      <c r="A16" s="2"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P114"/>
  <sheetViews>
    <sheetView workbookViewId="0">
      <pane ySplit="6" topLeftCell="A7" activePane="bottomLeft" state="frozen"/>
      <selection pane="bottomLeft"/>
    </sheetView>
  </sheetViews>
  <sheetFormatPr baseColWidth="10" defaultColWidth="8.88671875" defaultRowHeight="14.4" x14ac:dyDescent="0.3"/>
  <cols>
    <col min="1" max="1" width="9" customWidth="1"/>
    <col min="2" max="2" width="8" customWidth="1"/>
    <col min="3" max="3" width="18" customWidth="1"/>
    <col min="4" max="4" width="34" customWidth="1"/>
    <col min="5" max="5" width="22" customWidth="1"/>
    <col min="6" max="6" width="6" customWidth="1"/>
    <col min="7" max="8" width="10" customWidth="1"/>
    <col min="9" max="12" width="7" customWidth="1"/>
    <col min="13" max="13" width="10" customWidth="1"/>
    <col min="14" max="14" width="14" customWidth="1"/>
    <col min="15" max="15" width="15" customWidth="1"/>
    <col min="16" max="16" width="60" customWidth="1"/>
  </cols>
  <sheetData>
    <row r="2" spans="1:16" ht="18" x14ac:dyDescent="0.35">
      <c r="A2" s="1" t="s">
        <v>20</v>
      </c>
    </row>
    <row r="3" spans="1:16" x14ac:dyDescent="0.3">
      <c r="A3" s="2" t="s">
        <v>21</v>
      </c>
    </row>
    <row r="4" spans="1:16" x14ac:dyDescent="0.3">
      <c r="A4" t="s">
        <v>22</v>
      </c>
    </row>
    <row r="6" spans="1:16" ht="28.8" x14ac:dyDescent="0.3">
      <c r="A6" s="3" t="s">
        <v>23</v>
      </c>
      <c r="B6" s="3" t="s">
        <v>24</v>
      </c>
      <c r="C6" s="3" t="s">
        <v>25</v>
      </c>
      <c r="D6" s="3" t="s">
        <v>26</v>
      </c>
      <c r="E6" s="3" t="s">
        <v>27</v>
      </c>
      <c r="F6" s="3" t="s">
        <v>28</v>
      </c>
      <c r="G6" s="3" t="s">
        <v>29</v>
      </c>
      <c r="H6" s="3" t="s">
        <v>30</v>
      </c>
      <c r="I6" s="3" t="s">
        <v>31</v>
      </c>
      <c r="J6" s="3" t="s">
        <v>32</v>
      </c>
      <c r="K6" s="3" t="s">
        <v>33</v>
      </c>
      <c r="L6" s="3" t="s">
        <v>34</v>
      </c>
      <c r="M6" s="3" t="s">
        <v>35</v>
      </c>
      <c r="N6" s="3" t="s">
        <v>36</v>
      </c>
      <c r="O6" s="3" t="s">
        <v>37</v>
      </c>
      <c r="P6" s="3" t="s">
        <v>38</v>
      </c>
    </row>
    <row r="7" spans="1:16" ht="28.8" x14ac:dyDescent="0.3">
      <c r="A7" s="6" t="s">
        <v>39</v>
      </c>
      <c r="B7" s="6" t="s">
        <v>40</v>
      </c>
      <c r="C7" s="6" t="s">
        <v>41</v>
      </c>
      <c r="D7" s="7" t="s">
        <v>42</v>
      </c>
      <c r="E7" s="6" t="s">
        <v>43</v>
      </c>
      <c r="F7" s="6">
        <v>2</v>
      </c>
      <c r="G7" s="6">
        <v>785</v>
      </c>
      <c r="H7" s="6">
        <v>580</v>
      </c>
      <c r="I7" s="6" t="s">
        <v>44</v>
      </c>
      <c r="J7" s="6" t="s">
        <v>45</v>
      </c>
      <c r="K7" s="6" t="s">
        <v>46</v>
      </c>
      <c r="L7" s="6" t="s">
        <v>45</v>
      </c>
      <c r="M7" s="6" t="s">
        <v>47</v>
      </c>
      <c r="N7" s="6" t="s">
        <v>48</v>
      </c>
      <c r="O7" s="6" t="s">
        <v>49</v>
      </c>
      <c r="P7" s="7" t="s">
        <v>50</v>
      </c>
    </row>
    <row r="8" spans="1:16" x14ac:dyDescent="0.3">
      <c r="A8" s="6" t="s">
        <v>39</v>
      </c>
      <c r="B8" s="6" t="s">
        <v>51</v>
      </c>
      <c r="C8" s="6" t="s">
        <v>41</v>
      </c>
      <c r="D8" s="7" t="s">
        <v>52</v>
      </c>
      <c r="E8" s="6" t="s">
        <v>43</v>
      </c>
      <c r="F8" s="6">
        <v>1</v>
      </c>
      <c r="G8" s="6">
        <v>150</v>
      </c>
      <c r="H8" s="6">
        <v>580</v>
      </c>
      <c r="I8" s="6" t="s">
        <v>44</v>
      </c>
      <c r="J8" s="6" t="s">
        <v>45</v>
      </c>
      <c r="K8" s="6" t="s">
        <v>45</v>
      </c>
      <c r="L8" s="6" t="s">
        <v>45</v>
      </c>
      <c r="M8" s="6" t="s">
        <v>47</v>
      </c>
      <c r="N8" s="6" t="s">
        <v>53</v>
      </c>
      <c r="O8" s="6" t="s">
        <v>54</v>
      </c>
      <c r="P8" s="7" t="s">
        <v>45</v>
      </c>
    </row>
    <row r="9" spans="1:16" ht="43.2" x14ac:dyDescent="0.3">
      <c r="A9" s="6" t="s">
        <v>39</v>
      </c>
      <c r="B9" s="6" t="s">
        <v>55</v>
      </c>
      <c r="C9" s="6" t="s">
        <v>41</v>
      </c>
      <c r="D9" s="7" t="s">
        <v>56</v>
      </c>
      <c r="E9" s="6" t="s">
        <v>43</v>
      </c>
      <c r="F9" s="6">
        <v>2</v>
      </c>
      <c r="G9" s="6">
        <v>150</v>
      </c>
      <c r="H9" s="6">
        <v>100</v>
      </c>
      <c r="I9" s="6" t="s">
        <v>46</v>
      </c>
      <c r="J9" s="6" t="s">
        <v>46</v>
      </c>
      <c r="K9" s="6" t="s">
        <v>45</v>
      </c>
      <c r="L9" s="6" t="s">
        <v>45</v>
      </c>
      <c r="M9" s="6" t="s">
        <v>57</v>
      </c>
      <c r="N9" s="6" t="s">
        <v>58</v>
      </c>
      <c r="O9" s="6" t="s">
        <v>59</v>
      </c>
      <c r="P9" s="7" t="s">
        <v>60</v>
      </c>
    </row>
    <row r="10" spans="1:16" x14ac:dyDescent="0.3">
      <c r="A10" s="6" t="s">
        <v>39</v>
      </c>
      <c r="B10" s="6" t="s">
        <v>61</v>
      </c>
      <c r="C10" s="6" t="s">
        <v>41</v>
      </c>
      <c r="D10" s="7" t="s">
        <v>62</v>
      </c>
      <c r="E10" s="6" t="s">
        <v>63</v>
      </c>
      <c r="F10" s="6">
        <v>1</v>
      </c>
      <c r="G10" s="6">
        <v>176</v>
      </c>
      <c r="H10" s="6">
        <v>781</v>
      </c>
      <c r="I10" s="6" t="s">
        <v>45</v>
      </c>
      <c r="J10" s="6" t="s">
        <v>45</v>
      </c>
      <c r="K10" s="6" t="s">
        <v>45</v>
      </c>
      <c r="L10" s="6" t="s">
        <v>45</v>
      </c>
      <c r="M10" s="6" t="s">
        <v>64</v>
      </c>
      <c r="N10" s="6" t="s">
        <v>65</v>
      </c>
      <c r="O10" s="6" t="s">
        <v>65</v>
      </c>
      <c r="P10" s="7" t="s">
        <v>45</v>
      </c>
    </row>
    <row r="11" spans="1:16" x14ac:dyDescent="0.3">
      <c r="A11" s="6" t="s">
        <v>39</v>
      </c>
      <c r="B11" s="6" t="s">
        <v>66</v>
      </c>
      <c r="C11" s="6" t="s">
        <v>41</v>
      </c>
      <c r="D11" s="7" t="s">
        <v>67</v>
      </c>
      <c r="E11" s="6" t="s">
        <v>43</v>
      </c>
      <c r="F11" s="6">
        <v>1</v>
      </c>
      <c r="G11" s="6">
        <v>732</v>
      </c>
      <c r="H11" s="6">
        <v>177</v>
      </c>
      <c r="I11" s="6" t="s">
        <v>44</v>
      </c>
      <c r="J11" s="6" t="s">
        <v>44</v>
      </c>
      <c r="K11" s="6" t="s">
        <v>44</v>
      </c>
      <c r="L11" s="6" t="s">
        <v>44</v>
      </c>
      <c r="M11" s="6" t="s">
        <v>47</v>
      </c>
      <c r="N11" s="6" t="s">
        <v>68</v>
      </c>
      <c r="O11" s="6" t="s">
        <v>69</v>
      </c>
      <c r="P11" s="7" t="s">
        <v>45</v>
      </c>
    </row>
    <row r="12" spans="1:16" x14ac:dyDescent="0.3">
      <c r="A12" s="6" t="s">
        <v>39</v>
      </c>
      <c r="B12" s="6" t="s">
        <v>70</v>
      </c>
      <c r="C12" s="6" t="s">
        <v>71</v>
      </c>
      <c r="D12" s="7" t="s">
        <v>42</v>
      </c>
      <c r="E12" s="6" t="s">
        <v>43</v>
      </c>
      <c r="F12" s="6">
        <v>2</v>
      </c>
      <c r="G12" s="6">
        <v>785</v>
      </c>
      <c r="H12" s="6">
        <v>580</v>
      </c>
      <c r="I12" s="6" t="s">
        <v>44</v>
      </c>
      <c r="J12" s="6" t="s">
        <v>45</v>
      </c>
      <c r="K12" s="6" t="s">
        <v>46</v>
      </c>
      <c r="L12" s="6" t="s">
        <v>45</v>
      </c>
      <c r="M12" s="6" t="s">
        <v>47</v>
      </c>
      <c r="N12" s="6" t="s">
        <v>48</v>
      </c>
      <c r="O12" s="6" t="s">
        <v>49</v>
      </c>
      <c r="P12" s="7" t="s">
        <v>45</v>
      </c>
    </row>
    <row r="13" spans="1:16" ht="28.8" x14ac:dyDescent="0.3">
      <c r="A13" s="6" t="s">
        <v>39</v>
      </c>
      <c r="B13" s="6" t="s">
        <v>72</v>
      </c>
      <c r="C13" s="6" t="s">
        <v>71</v>
      </c>
      <c r="D13" s="7" t="s">
        <v>73</v>
      </c>
      <c r="E13" s="6" t="s">
        <v>43</v>
      </c>
      <c r="F13" s="6">
        <v>1</v>
      </c>
      <c r="G13" s="6">
        <v>570</v>
      </c>
      <c r="H13" s="6">
        <v>580</v>
      </c>
      <c r="I13" s="6" t="s">
        <v>44</v>
      </c>
      <c r="J13" s="6" t="s">
        <v>45</v>
      </c>
      <c r="K13" s="6" t="s">
        <v>45</v>
      </c>
      <c r="L13" s="6" t="s">
        <v>45</v>
      </c>
      <c r="M13" s="6" t="s">
        <v>47</v>
      </c>
      <c r="N13" s="6" t="s">
        <v>74</v>
      </c>
      <c r="O13" s="6" t="s">
        <v>75</v>
      </c>
      <c r="P13" s="7" t="s">
        <v>76</v>
      </c>
    </row>
    <row r="14" spans="1:16" x14ac:dyDescent="0.3">
      <c r="A14" s="6" t="s">
        <v>39</v>
      </c>
      <c r="B14" s="6" t="s">
        <v>77</v>
      </c>
      <c r="C14" s="6" t="s">
        <v>71</v>
      </c>
      <c r="D14" s="7" t="s">
        <v>78</v>
      </c>
      <c r="E14" s="6" t="s">
        <v>43</v>
      </c>
      <c r="F14" s="6">
        <v>1</v>
      </c>
      <c r="G14" s="6">
        <v>570</v>
      </c>
      <c r="H14" s="6">
        <v>100</v>
      </c>
      <c r="I14" s="6" t="s">
        <v>46</v>
      </c>
      <c r="J14" s="6" t="s">
        <v>45</v>
      </c>
      <c r="K14" s="6" t="s">
        <v>45</v>
      </c>
      <c r="L14" s="6" t="s">
        <v>45</v>
      </c>
      <c r="M14" s="6" t="s">
        <v>57</v>
      </c>
      <c r="N14" s="6" t="s">
        <v>79</v>
      </c>
      <c r="O14" s="6" t="s">
        <v>80</v>
      </c>
      <c r="P14" s="7" t="s">
        <v>81</v>
      </c>
    </row>
    <row r="15" spans="1:16" ht="28.8" x14ac:dyDescent="0.3">
      <c r="A15" s="6" t="s">
        <v>39</v>
      </c>
      <c r="B15" s="6" t="s">
        <v>82</v>
      </c>
      <c r="C15" s="6" t="s">
        <v>71</v>
      </c>
      <c r="D15" s="7" t="s">
        <v>83</v>
      </c>
      <c r="E15" s="6" t="s">
        <v>43</v>
      </c>
      <c r="F15" s="6">
        <v>1</v>
      </c>
      <c r="G15" s="6">
        <v>570</v>
      </c>
      <c r="H15" s="6">
        <v>500</v>
      </c>
      <c r="I15" s="6" t="s">
        <v>44</v>
      </c>
      <c r="J15" s="6" t="s">
        <v>45</v>
      </c>
      <c r="K15" s="6" t="s">
        <v>45</v>
      </c>
      <c r="L15" s="6" t="s">
        <v>45</v>
      </c>
      <c r="M15" s="6" t="s">
        <v>47</v>
      </c>
      <c r="N15" s="6" t="s">
        <v>84</v>
      </c>
      <c r="O15" s="6" t="s">
        <v>85</v>
      </c>
      <c r="P15" s="7" t="s">
        <v>86</v>
      </c>
    </row>
    <row r="16" spans="1:16" ht="28.8" x14ac:dyDescent="0.3">
      <c r="A16" s="6" t="s">
        <v>39</v>
      </c>
      <c r="B16" s="6" t="s">
        <v>87</v>
      </c>
      <c r="C16" s="6" t="s">
        <v>71</v>
      </c>
      <c r="D16" s="7" t="s">
        <v>88</v>
      </c>
      <c r="E16" s="6" t="s">
        <v>43</v>
      </c>
      <c r="F16" s="6">
        <v>1</v>
      </c>
      <c r="G16" s="6">
        <v>570</v>
      </c>
      <c r="H16" s="6">
        <v>80</v>
      </c>
      <c r="I16" s="6" t="s">
        <v>46</v>
      </c>
      <c r="J16" s="6" t="s">
        <v>45</v>
      </c>
      <c r="K16" s="6" t="s">
        <v>45</v>
      </c>
      <c r="L16" s="6" t="s">
        <v>45</v>
      </c>
      <c r="M16" s="6" t="s">
        <v>57</v>
      </c>
      <c r="N16" s="6" t="s">
        <v>89</v>
      </c>
      <c r="O16" s="6" t="s">
        <v>90</v>
      </c>
      <c r="P16" s="7" t="s">
        <v>91</v>
      </c>
    </row>
    <row r="17" spans="1:16" ht="43.2" x14ac:dyDescent="0.3">
      <c r="A17" s="6" t="s">
        <v>39</v>
      </c>
      <c r="B17" s="6" t="s">
        <v>92</v>
      </c>
      <c r="C17" s="6" t="s">
        <v>71</v>
      </c>
      <c r="D17" s="7" t="s">
        <v>93</v>
      </c>
      <c r="E17" s="6" t="s">
        <v>43</v>
      </c>
      <c r="F17" s="6">
        <v>1</v>
      </c>
      <c r="G17" s="6">
        <v>160</v>
      </c>
      <c r="H17" s="6">
        <v>597</v>
      </c>
      <c r="I17" s="6" t="s">
        <v>44</v>
      </c>
      <c r="J17" s="6" t="s">
        <v>44</v>
      </c>
      <c r="K17" s="6" t="s">
        <v>44</v>
      </c>
      <c r="L17" s="6" t="s">
        <v>45</v>
      </c>
      <c r="M17" s="6" t="s">
        <v>47</v>
      </c>
      <c r="N17" s="6" t="s">
        <v>94</v>
      </c>
      <c r="O17" s="6" t="s">
        <v>95</v>
      </c>
      <c r="P17" s="7" t="s">
        <v>96</v>
      </c>
    </row>
    <row r="18" spans="1:16" ht="28.8" x14ac:dyDescent="0.3">
      <c r="A18" s="6" t="s">
        <v>39</v>
      </c>
      <c r="B18" s="6" t="s">
        <v>97</v>
      </c>
      <c r="C18" s="6" t="s">
        <v>98</v>
      </c>
      <c r="D18" s="7" t="s">
        <v>42</v>
      </c>
      <c r="E18" s="6" t="s">
        <v>43</v>
      </c>
      <c r="F18" s="6">
        <v>2</v>
      </c>
      <c r="G18" s="6">
        <v>785</v>
      </c>
      <c r="H18" s="6">
        <v>580</v>
      </c>
      <c r="I18" s="6" t="s">
        <v>44</v>
      </c>
      <c r="J18" s="6" t="s">
        <v>45</v>
      </c>
      <c r="K18" s="6" t="s">
        <v>46</v>
      </c>
      <c r="L18" s="6" t="s">
        <v>45</v>
      </c>
      <c r="M18" s="6" t="s">
        <v>47</v>
      </c>
      <c r="N18" s="6" t="s">
        <v>48</v>
      </c>
      <c r="O18" s="6" t="s">
        <v>49</v>
      </c>
      <c r="P18" s="7" t="s">
        <v>50</v>
      </c>
    </row>
    <row r="19" spans="1:16" x14ac:dyDescent="0.3">
      <c r="A19" s="6" t="s">
        <v>39</v>
      </c>
      <c r="B19" s="6" t="s">
        <v>99</v>
      </c>
      <c r="C19" s="6" t="s">
        <v>98</v>
      </c>
      <c r="D19" s="7" t="s">
        <v>52</v>
      </c>
      <c r="E19" s="6" t="s">
        <v>43</v>
      </c>
      <c r="F19" s="6">
        <v>1</v>
      </c>
      <c r="G19" s="6">
        <v>640</v>
      </c>
      <c r="H19" s="6">
        <v>580</v>
      </c>
      <c r="I19" s="6" t="s">
        <v>44</v>
      </c>
      <c r="J19" s="6" t="s">
        <v>45</v>
      </c>
      <c r="K19" s="6" t="s">
        <v>45</v>
      </c>
      <c r="L19" s="6" t="s">
        <v>45</v>
      </c>
      <c r="M19" s="6" t="s">
        <v>47</v>
      </c>
      <c r="N19" s="6" t="s">
        <v>100</v>
      </c>
      <c r="O19" s="6" t="s">
        <v>101</v>
      </c>
      <c r="P19" s="7" t="s">
        <v>45</v>
      </c>
    </row>
    <row r="20" spans="1:16" ht="43.2" x14ac:dyDescent="0.3">
      <c r="A20" s="6" t="s">
        <v>39</v>
      </c>
      <c r="B20" s="6" t="s">
        <v>102</v>
      </c>
      <c r="C20" s="6" t="s">
        <v>98</v>
      </c>
      <c r="D20" s="7" t="s">
        <v>56</v>
      </c>
      <c r="E20" s="6" t="s">
        <v>43</v>
      </c>
      <c r="F20" s="6">
        <v>2</v>
      </c>
      <c r="G20" s="6">
        <v>640</v>
      </c>
      <c r="H20" s="6">
        <v>100</v>
      </c>
      <c r="I20" s="6" t="s">
        <v>46</v>
      </c>
      <c r="J20" s="6" t="s">
        <v>46</v>
      </c>
      <c r="K20" s="6" t="s">
        <v>45</v>
      </c>
      <c r="L20" s="6" t="s">
        <v>45</v>
      </c>
      <c r="M20" s="6" t="s">
        <v>57</v>
      </c>
      <c r="N20" s="6" t="s">
        <v>103</v>
      </c>
      <c r="O20" s="6" t="s">
        <v>104</v>
      </c>
      <c r="P20" s="7" t="s">
        <v>105</v>
      </c>
    </row>
    <row r="21" spans="1:16" x14ac:dyDescent="0.3">
      <c r="A21" s="6" t="s">
        <v>39</v>
      </c>
      <c r="B21" s="6" t="s">
        <v>106</v>
      </c>
      <c r="C21" s="6" t="s">
        <v>98</v>
      </c>
      <c r="D21" s="7" t="s">
        <v>62</v>
      </c>
      <c r="E21" s="6" t="s">
        <v>63</v>
      </c>
      <c r="F21" s="6">
        <v>1</v>
      </c>
      <c r="G21" s="6">
        <v>666</v>
      </c>
      <c r="H21" s="6">
        <v>781</v>
      </c>
      <c r="I21" s="6" t="s">
        <v>45</v>
      </c>
      <c r="J21" s="6" t="s">
        <v>45</v>
      </c>
      <c r="K21" s="6" t="s">
        <v>45</v>
      </c>
      <c r="L21" s="6" t="s">
        <v>45</v>
      </c>
      <c r="M21" s="6" t="s">
        <v>64</v>
      </c>
      <c r="N21" s="6" t="s">
        <v>107</v>
      </c>
      <c r="O21" s="6" t="s">
        <v>107</v>
      </c>
      <c r="P21" s="7" t="s">
        <v>45</v>
      </c>
    </row>
    <row r="22" spans="1:16" x14ac:dyDescent="0.3">
      <c r="A22" s="6" t="s">
        <v>39</v>
      </c>
      <c r="B22" s="6" t="s">
        <v>108</v>
      </c>
      <c r="C22" s="6" t="s">
        <v>98</v>
      </c>
      <c r="D22" s="7" t="s">
        <v>109</v>
      </c>
      <c r="E22" s="6" t="s">
        <v>43</v>
      </c>
      <c r="F22" s="6">
        <v>1</v>
      </c>
      <c r="G22" s="6">
        <v>167</v>
      </c>
      <c r="H22" s="6">
        <v>667</v>
      </c>
      <c r="I22" s="6" t="s">
        <v>44</v>
      </c>
      <c r="J22" s="6" t="s">
        <v>44</v>
      </c>
      <c r="K22" s="6" t="s">
        <v>44</v>
      </c>
      <c r="L22" s="6" t="s">
        <v>44</v>
      </c>
      <c r="M22" s="6" t="s">
        <v>47</v>
      </c>
      <c r="N22" s="6" t="s">
        <v>110</v>
      </c>
      <c r="O22" s="6" t="s">
        <v>111</v>
      </c>
      <c r="P22" s="7" t="s">
        <v>45</v>
      </c>
    </row>
    <row r="23" spans="1:16" x14ac:dyDescent="0.3">
      <c r="A23" s="6" t="s">
        <v>39</v>
      </c>
      <c r="B23" s="6" t="s">
        <v>112</v>
      </c>
      <c r="C23" s="6" t="s">
        <v>98</v>
      </c>
      <c r="D23" s="7" t="s">
        <v>113</v>
      </c>
      <c r="E23" s="6" t="s">
        <v>43</v>
      </c>
      <c r="F23" s="6">
        <v>1</v>
      </c>
      <c r="G23" s="6">
        <v>613</v>
      </c>
      <c r="H23" s="6">
        <v>550</v>
      </c>
      <c r="I23" s="6" t="s">
        <v>46</v>
      </c>
      <c r="J23" s="6" t="s">
        <v>45</v>
      </c>
      <c r="K23" s="6" t="s">
        <v>46</v>
      </c>
      <c r="L23" s="6" t="s">
        <v>46</v>
      </c>
      <c r="M23" s="6" t="s">
        <v>47</v>
      </c>
      <c r="N23" s="6" t="s">
        <v>114</v>
      </c>
      <c r="O23" s="6" t="s">
        <v>115</v>
      </c>
      <c r="P23" s="7" t="s">
        <v>45</v>
      </c>
    </row>
    <row r="24" spans="1:16" x14ac:dyDescent="0.3">
      <c r="A24" s="6" t="s">
        <v>39</v>
      </c>
      <c r="B24" s="6" t="s">
        <v>116</v>
      </c>
      <c r="C24" s="6" t="s">
        <v>98</v>
      </c>
      <c r="D24" s="7" t="s">
        <v>117</v>
      </c>
      <c r="E24" s="6" t="s">
        <v>43</v>
      </c>
      <c r="F24" s="6">
        <v>2</v>
      </c>
      <c r="G24" s="6">
        <v>550</v>
      </c>
      <c r="H24" s="6">
        <v>75</v>
      </c>
      <c r="I24" s="6" t="s">
        <v>46</v>
      </c>
      <c r="J24" s="6" t="s">
        <v>45</v>
      </c>
      <c r="K24" s="6" t="s">
        <v>46</v>
      </c>
      <c r="L24" s="6" t="s">
        <v>45</v>
      </c>
      <c r="M24" s="6" t="s">
        <v>57</v>
      </c>
      <c r="N24" s="6" t="s">
        <v>118</v>
      </c>
      <c r="O24" s="6" t="s">
        <v>119</v>
      </c>
      <c r="P24" s="7" t="s">
        <v>120</v>
      </c>
    </row>
    <row r="25" spans="1:16" x14ac:dyDescent="0.3">
      <c r="A25" s="6" t="s">
        <v>39</v>
      </c>
      <c r="B25" s="6" t="s">
        <v>121</v>
      </c>
      <c r="C25" s="6" t="s">
        <v>98</v>
      </c>
      <c r="D25" s="7" t="s">
        <v>122</v>
      </c>
      <c r="E25" s="6" t="s">
        <v>43</v>
      </c>
      <c r="F25" s="6">
        <v>2</v>
      </c>
      <c r="G25" s="6">
        <v>583</v>
      </c>
      <c r="H25" s="6">
        <v>75</v>
      </c>
      <c r="I25" s="6" t="s">
        <v>46</v>
      </c>
      <c r="J25" s="6" t="s">
        <v>45</v>
      </c>
      <c r="K25" s="6" t="s">
        <v>45</v>
      </c>
      <c r="L25" s="6" t="s">
        <v>45</v>
      </c>
      <c r="M25" s="6" t="s">
        <v>57</v>
      </c>
      <c r="N25" s="6" t="s">
        <v>123</v>
      </c>
      <c r="O25" s="6" t="s">
        <v>124</v>
      </c>
      <c r="P25" s="7" t="s">
        <v>125</v>
      </c>
    </row>
    <row r="26" spans="1:16" x14ac:dyDescent="0.3">
      <c r="A26" s="6" t="s">
        <v>39</v>
      </c>
      <c r="B26" s="6" t="s">
        <v>126</v>
      </c>
      <c r="C26" s="6" t="s">
        <v>98</v>
      </c>
      <c r="D26" s="7" t="s">
        <v>127</v>
      </c>
      <c r="E26" s="6" t="s">
        <v>43</v>
      </c>
      <c r="F26" s="6">
        <v>1</v>
      </c>
      <c r="G26" s="6">
        <v>537</v>
      </c>
      <c r="H26" s="6">
        <v>332</v>
      </c>
      <c r="I26" s="6" t="s">
        <v>44</v>
      </c>
      <c r="J26" s="6" t="s">
        <v>44</v>
      </c>
      <c r="K26" s="6" t="s">
        <v>44</v>
      </c>
      <c r="L26" s="6" t="s">
        <v>44</v>
      </c>
      <c r="M26" s="6" t="s">
        <v>47</v>
      </c>
      <c r="N26" s="6" t="s">
        <v>128</v>
      </c>
      <c r="O26" s="6" t="s">
        <v>129</v>
      </c>
      <c r="P26" s="7" t="s">
        <v>45</v>
      </c>
    </row>
    <row r="27" spans="1:16" x14ac:dyDescent="0.3">
      <c r="A27" s="6" t="s">
        <v>39</v>
      </c>
      <c r="B27" s="6" t="s">
        <v>130</v>
      </c>
      <c r="C27" s="6" t="s">
        <v>98</v>
      </c>
      <c r="D27" s="7" t="s">
        <v>131</v>
      </c>
      <c r="E27" s="6" t="s">
        <v>43</v>
      </c>
      <c r="F27" s="6">
        <v>1</v>
      </c>
      <c r="G27" s="6">
        <v>537</v>
      </c>
      <c r="H27" s="6">
        <v>332</v>
      </c>
      <c r="I27" s="6" t="s">
        <v>44</v>
      </c>
      <c r="J27" s="6" t="s">
        <v>44</v>
      </c>
      <c r="K27" s="6" t="s">
        <v>44</v>
      </c>
      <c r="L27" s="6" t="s">
        <v>44</v>
      </c>
      <c r="M27" s="6" t="s">
        <v>47</v>
      </c>
      <c r="N27" s="6" t="s">
        <v>128</v>
      </c>
      <c r="O27" s="6" t="s">
        <v>129</v>
      </c>
      <c r="P27" s="7" t="s">
        <v>45</v>
      </c>
    </row>
    <row r="28" spans="1:16" x14ac:dyDescent="0.3">
      <c r="A28" s="6" t="s">
        <v>39</v>
      </c>
      <c r="B28" s="6" t="s">
        <v>132</v>
      </c>
      <c r="C28" s="6" t="s">
        <v>98</v>
      </c>
      <c r="D28" s="7" t="s">
        <v>133</v>
      </c>
      <c r="E28" s="6" t="s">
        <v>43</v>
      </c>
      <c r="F28" s="6">
        <v>1</v>
      </c>
      <c r="G28" s="6">
        <v>638</v>
      </c>
      <c r="H28" s="6">
        <v>550</v>
      </c>
      <c r="I28" s="6" t="s">
        <v>44</v>
      </c>
      <c r="J28" s="6" t="s">
        <v>45</v>
      </c>
      <c r="K28" s="6" t="s">
        <v>45</v>
      </c>
      <c r="L28" s="6" t="s">
        <v>45</v>
      </c>
      <c r="M28" s="6" t="s">
        <v>47</v>
      </c>
      <c r="N28" s="6" t="s">
        <v>134</v>
      </c>
      <c r="O28" s="6" t="s">
        <v>135</v>
      </c>
      <c r="P28" s="7" t="s">
        <v>45</v>
      </c>
    </row>
    <row r="29" spans="1:16" ht="28.8" x14ac:dyDescent="0.3">
      <c r="A29" s="6" t="s">
        <v>39</v>
      </c>
      <c r="B29" s="6" t="s">
        <v>136</v>
      </c>
      <c r="C29" s="6" t="s">
        <v>137</v>
      </c>
      <c r="D29" s="7" t="s">
        <v>42</v>
      </c>
      <c r="E29" s="6" t="s">
        <v>43</v>
      </c>
      <c r="F29" s="6">
        <v>2</v>
      </c>
      <c r="G29" s="6">
        <v>785</v>
      </c>
      <c r="H29" s="6">
        <v>580</v>
      </c>
      <c r="I29" s="6" t="s">
        <v>44</v>
      </c>
      <c r="J29" s="6" t="s">
        <v>45</v>
      </c>
      <c r="K29" s="6" t="s">
        <v>46</v>
      </c>
      <c r="L29" s="6" t="s">
        <v>45</v>
      </c>
      <c r="M29" s="6" t="s">
        <v>47</v>
      </c>
      <c r="N29" s="6" t="s">
        <v>48</v>
      </c>
      <c r="O29" s="6" t="s">
        <v>49</v>
      </c>
      <c r="P29" s="7" t="s">
        <v>50</v>
      </c>
    </row>
    <row r="30" spans="1:16" x14ac:dyDescent="0.3">
      <c r="A30" s="6" t="s">
        <v>39</v>
      </c>
      <c r="B30" s="6" t="s">
        <v>138</v>
      </c>
      <c r="C30" s="6" t="s">
        <v>137</v>
      </c>
      <c r="D30" s="7" t="s">
        <v>52</v>
      </c>
      <c r="E30" s="6" t="s">
        <v>43</v>
      </c>
      <c r="F30" s="6">
        <v>1</v>
      </c>
      <c r="G30" s="6">
        <v>670</v>
      </c>
      <c r="H30" s="6">
        <v>580</v>
      </c>
      <c r="I30" s="6" t="s">
        <v>44</v>
      </c>
      <c r="J30" s="6" t="s">
        <v>45</v>
      </c>
      <c r="K30" s="6" t="s">
        <v>45</v>
      </c>
      <c r="L30" s="6" t="s">
        <v>45</v>
      </c>
      <c r="M30" s="6" t="s">
        <v>47</v>
      </c>
      <c r="N30" s="6" t="s">
        <v>139</v>
      </c>
      <c r="O30" s="6" t="s">
        <v>140</v>
      </c>
      <c r="P30" s="7" t="s">
        <v>45</v>
      </c>
    </row>
    <row r="31" spans="1:16" ht="43.2" x14ac:dyDescent="0.3">
      <c r="A31" s="6" t="s">
        <v>39</v>
      </c>
      <c r="B31" s="6" t="s">
        <v>141</v>
      </c>
      <c r="C31" s="6" t="s">
        <v>137</v>
      </c>
      <c r="D31" s="7" t="s">
        <v>142</v>
      </c>
      <c r="E31" s="6" t="s">
        <v>43</v>
      </c>
      <c r="F31" s="6">
        <v>2</v>
      </c>
      <c r="G31" s="6">
        <v>670</v>
      </c>
      <c r="H31" s="6">
        <v>100</v>
      </c>
      <c r="I31" s="6" t="s">
        <v>46</v>
      </c>
      <c r="J31" s="6" t="s">
        <v>46</v>
      </c>
      <c r="K31" s="6" t="s">
        <v>46</v>
      </c>
      <c r="L31" s="6" t="s">
        <v>46</v>
      </c>
      <c r="M31" s="6" t="s">
        <v>57</v>
      </c>
      <c r="N31" s="6" t="s">
        <v>143</v>
      </c>
      <c r="O31" s="6" t="s">
        <v>144</v>
      </c>
      <c r="P31" s="7" t="s">
        <v>145</v>
      </c>
    </row>
    <row r="32" spans="1:16" x14ac:dyDescent="0.3">
      <c r="A32" s="6" t="s">
        <v>39</v>
      </c>
      <c r="B32" s="6" t="s">
        <v>146</v>
      </c>
      <c r="C32" s="6" t="s">
        <v>137</v>
      </c>
      <c r="D32" s="7" t="s">
        <v>62</v>
      </c>
      <c r="E32" s="6" t="s">
        <v>63</v>
      </c>
      <c r="F32" s="6">
        <v>1</v>
      </c>
      <c r="G32" s="6">
        <v>696</v>
      </c>
      <c r="H32" s="6">
        <v>781</v>
      </c>
      <c r="I32" s="6" t="s">
        <v>45</v>
      </c>
      <c r="J32" s="6" t="s">
        <v>45</v>
      </c>
      <c r="K32" s="6" t="s">
        <v>45</v>
      </c>
      <c r="L32" s="6" t="s">
        <v>45</v>
      </c>
      <c r="M32" s="6" t="s">
        <v>64</v>
      </c>
      <c r="N32" s="6" t="s">
        <v>147</v>
      </c>
      <c r="O32" s="6" t="s">
        <v>147</v>
      </c>
      <c r="P32" s="7" t="s">
        <v>45</v>
      </c>
    </row>
    <row r="33" spans="1:16" x14ac:dyDescent="0.3">
      <c r="A33" s="6" t="s">
        <v>39</v>
      </c>
      <c r="B33" s="6" t="s">
        <v>148</v>
      </c>
      <c r="C33" s="6" t="s">
        <v>137</v>
      </c>
      <c r="D33" s="7" t="s">
        <v>149</v>
      </c>
      <c r="E33" s="6" t="s">
        <v>43</v>
      </c>
      <c r="F33" s="6">
        <v>1</v>
      </c>
      <c r="G33" s="6">
        <v>732</v>
      </c>
      <c r="H33" s="6">
        <v>347</v>
      </c>
      <c r="I33" s="6" t="s">
        <v>44</v>
      </c>
      <c r="J33" s="6" t="s">
        <v>44</v>
      </c>
      <c r="K33" s="6" t="s">
        <v>44</v>
      </c>
      <c r="L33" s="6" t="s">
        <v>44</v>
      </c>
      <c r="M33" s="6" t="s">
        <v>47</v>
      </c>
      <c r="N33" s="6" t="s">
        <v>150</v>
      </c>
      <c r="O33" s="6" t="s">
        <v>151</v>
      </c>
      <c r="P33" s="7" t="s">
        <v>45</v>
      </c>
    </row>
    <row r="34" spans="1:16" x14ac:dyDescent="0.3">
      <c r="A34" s="6" t="s">
        <v>39</v>
      </c>
      <c r="B34" s="6" t="s">
        <v>152</v>
      </c>
      <c r="C34" s="6" t="s">
        <v>137</v>
      </c>
      <c r="D34" s="7" t="s">
        <v>153</v>
      </c>
      <c r="E34" s="6" t="s">
        <v>43</v>
      </c>
      <c r="F34" s="6">
        <v>1</v>
      </c>
      <c r="G34" s="6">
        <v>732</v>
      </c>
      <c r="H34" s="6">
        <v>347</v>
      </c>
      <c r="I34" s="6" t="s">
        <v>44</v>
      </c>
      <c r="J34" s="6" t="s">
        <v>44</v>
      </c>
      <c r="K34" s="6" t="s">
        <v>44</v>
      </c>
      <c r="L34" s="6" t="s">
        <v>44</v>
      </c>
      <c r="M34" s="6" t="s">
        <v>47</v>
      </c>
      <c r="N34" s="6" t="s">
        <v>150</v>
      </c>
      <c r="O34" s="6" t="s">
        <v>151</v>
      </c>
      <c r="P34" s="7" t="s">
        <v>45</v>
      </c>
    </row>
    <row r="35" spans="1:16" ht="28.8" x14ac:dyDescent="0.3">
      <c r="A35" s="6" t="s">
        <v>39</v>
      </c>
      <c r="B35" s="6" t="s">
        <v>154</v>
      </c>
      <c r="C35" s="6" t="s">
        <v>137</v>
      </c>
      <c r="D35" s="7" t="s">
        <v>155</v>
      </c>
      <c r="E35" s="6" t="s">
        <v>43</v>
      </c>
      <c r="F35" s="6">
        <v>1</v>
      </c>
      <c r="G35" s="6">
        <v>668</v>
      </c>
      <c r="H35" s="6">
        <v>520</v>
      </c>
      <c r="I35" s="6" t="s">
        <v>44</v>
      </c>
      <c r="J35" s="6" t="s">
        <v>46</v>
      </c>
      <c r="K35" s="6" t="s">
        <v>46</v>
      </c>
      <c r="L35" s="6" t="s">
        <v>46</v>
      </c>
      <c r="M35" s="6" t="s">
        <v>47</v>
      </c>
      <c r="N35" s="6" t="s">
        <v>156</v>
      </c>
      <c r="O35" s="6" t="s">
        <v>157</v>
      </c>
      <c r="P35" s="7" t="s">
        <v>158</v>
      </c>
    </row>
    <row r="36" spans="1:16" ht="28.8" x14ac:dyDescent="0.3">
      <c r="A36" s="6" t="s">
        <v>39</v>
      </c>
      <c r="B36" s="6" t="s">
        <v>159</v>
      </c>
      <c r="C36" s="6" t="s">
        <v>160</v>
      </c>
      <c r="D36" s="7" t="s">
        <v>42</v>
      </c>
      <c r="E36" s="6" t="s">
        <v>43</v>
      </c>
      <c r="F36" s="6">
        <v>2</v>
      </c>
      <c r="G36" s="6">
        <v>785</v>
      </c>
      <c r="H36" s="6">
        <v>580</v>
      </c>
      <c r="I36" s="6" t="s">
        <v>44</v>
      </c>
      <c r="J36" s="6" t="s">
        <v>45</v>
      </c>
      <c r="K36" s="6" t="s">
        <v>46</v>
      </c>
      <c r="L36" s="6" t="s">
        <v>45</v>
      </c>
      <c r="M36" s="6" t="s">
        <v>47</v>
      </c>
      <c r="N36" s="6" t="s">
        <v>48</v>
      </c>
      <c r="O36" s="6" t="s">
        <v>49</v>
      </c>
      <c r="P36" s="7" t="s">
        <v>50</v>
      </c>
    </row>
    <row r="37" spans="1:16" x14ac:dyDescent="0.3">
      <c r="A37" s="6" t="s">
        <v>39</v>
      </c>
      <c r="B37" s="6" t="s">
        <v>161</v>
      </c>
      <c r="C37" s="6" t="s">
        <v>160</v>
      </c>
      <c r="D37" s="7" t="s">
        <v>52</v>
      </c>
      <c r="E37" s="6" t="s">
        <v>43</v>
      </c>
      <c r="F37" s="6">
        <v>1</v>
      </c>
      <c r="G37" s="6">
        <v>370</v>
      </c>
      <c r="H37" s="6">
        <v>580</v>
      </c>
      <c r="I37" s="6" t="s">
        <v>44</v>
      </c>
      <c r="J37" s="6" t="s">
        <v>45</v>
      </c>
      <c r="K37" s="6" t="s">
        <v>45</v>
      </c>
      <c r="L37" s="6" t="s">
        <v>45</v>
      </c>
      <c r="M37" s="6" t="s">
        <v>47</v>
      </c>
      <c r="N37" s="6" t="s">
        <v>162</v>
      </c>
      <c r="O37" s="6" t="s">
        <v>163</v>
      </c>
      <c r="P37" s="7" t="s">
        <v>45</v>
      </c>
    </row>
    <row r="38" spans="1:16" ht="43.2" x14ac:dyDescent="0.3">
      <c r="A38" s="6" t="s">
        <v>39</v>
      </c>
      <c r="B38" s="6" t="s">
        <v>164</v>
      </c>
      <c r="C38" s="6" t="s">
        <v>160</v>
      </c>
      <c r="D38" s="7" t="s">
        <v>56</v>
      </c>
      <c r="E38" s="6" t="s">
        <v>43</v>
      </c>
      <c r="F38" s="6">
        <v>2</v>
      </c>
      <c r="G38" s="6">
        <v>370</v>
      </c>
      <c r="H38" s="6">
        <v>100</v>
      </c>
      <c r="I38" s="6" t="s">
        <v>46</v>
      </c>
      <c r="J38" s="6" t="s">
        <v>46</v>
      </c>
      <c r="K38" s="6" t="s">
        <v>45</v>
      </c>
      <c r="L38" s="6" t="s">
        <v>45</v>
      </c>
      <c r="M38" s="6" t="s">
        <v>57</v>
      </c>
      <c r="N38" s="6" t="s">
        <v>165</v>
      </c>
      <c r="O38" s="6" t="s">
        <v>166</v>
      </c>
      <c r="P38" s="7" t="s">
        <v>167</v>
      </c>
    </row>
    <row r="39" spans="1:16" x14ac:dyDescent="0.3">
      <c r="A39" s="6" t="s">
        <v>39</v>
      </c>
      <c r="B39" s="6" t="s">
        <v>168</v>
      </c>
      <c r="C39" s="6" t="s">
        <v>160</v>
      </c>
      <c r="D39" s="7" t="s">
        <v>62</v>
      </c>
      <c r="E39" s="6" t="s">
        <v>63</v>
      </c>
      <c r="F39" s="6">
        <v>1</v>
      </c>
      <c r="G39" s="6">
        <v>396</v>
      </c>
      <c r="H39" s="6">
        <v>781</v>
      </c>
      <c r="I39" s="6" t="s">
        <v>45</v>
      </c>
      <c r="J39" s="6" t="s">
        <v>45</v>
      </c>
      <c r="K39" s="6" t="s">
        <v>45</v>
      </c>
      <c r="L39" s="6" t="s">
        <v>45</v>
      </c>
      <c r="M39" s="6" t="s">
        <v>64</v>
      </c>
      <c r="N39" s="6" t="s">
        <v>169</v>
      </c>
      <c r="O39" s="6" t="s">
        <v>169</v>
      </c>
      <c r="P39" s="7" t="s">
        <v>45</v>
      </c>
    </row>
    <row r="40" spans="1:16" ht="28.8" x14ac:dyDescent="0.3">
      <c r="A40" s="6" t="s">
        <v>39</v>
      </c>
      <c r="B40" s="6" t="s">
        <v>170</v>
      </c>
      <c r="C40" s="6" t="s">
        <v>160</v>
      </c>
      <c r="D40" s="7" t="s">
        <v>171</v>
      </c>
      <c r="E40" s="6" t="s">
        <v>43</v>
      </c>
      <c r="F40" s="6">
        <v>1</v>
      </c>
      <c r="G40" s="6">
        <v>370</v>
      </c>
      <c r="H40" s="6">
        <v>550</v>
      </c>
      <c r="I40" s="6" t="s">
        <v>44</v>
      </c>
      <c r="J40" s="6" t="s">
        <v>45</v>
      </c>
      <c r="K40" s="6" t="s">
        <v>45</v>
      </c>
      <c r="L40" s="6" t="s">
        <v>45</v>
      </c>
      <c r="M40" s="6" t="s">
        <v>47</v>
      </c>
      <c r="N40" s="6" t="s">
        <v>172</v>
      </c>
      <c r="O40" s="6" t="s">
        <v>173</v>
      </c>
      <c r="P40" s="7" t="s">
        <v>50</v>
      </c>
    </row>
    <row r="41" spans="1:16" x14ac:dyDescent="0.3">
      <c r="A41" s="6" t="s">
        <v>39</v>
      </c>
      <c r="B41" s="6" t="s">
        <v>174</v>
      </c>
      <c r="C41" s="6" t="s">
        <v>160</v>
      </c>
      <c r="D41" s="7" t="s">
        <v>175</v>
      </c>
      <c r="E41" s="6" t="s">
        <v>43</v>
      </c>
      <c r="F41" s="6">
        <v>1</v>
      </c>
      <c r="G41" s="6">
        <v>402</v>
      </c>
      <c r="H41" s="6">
        <v>397</v>
      </c>
      <c r="I41" s="6" t="s">
        <v>44</v>
      </c>
      <c r="J41" s="6" t="s">
        <v>44</v>
      </c>
      <c r="K41" s="6" t="s">
        <v>44</v>
      </c>
      <c r="L41" s="6" t="s">
        <v>44</v>
      </c>
      <c r="M41" s="6" t="s">
        <v>47</v>
      </c>
      <c r="N41" s="6" t="s">
        <v>176</v>
      </c>
      <c r="O41" s="6" t="s">
        <v>177</v>
      </c>
      <c r="P41" s="7" t="s">
        <v>45</v>
      </c>
    </row>
    <row r="42" spans="1:16" x14ac:dyDescent="0.3">
      <c r="A42" s="6" t="s">
        <v>39</v>
      </c>
      <c r="B42" s="6" t="s">
        <v>178</v>
      </c>
      <c r="C42" s="6" t="s">
        <v>160</v>
      </c>
      <c r="D42" s="7" t="s">
        <v>179</v>
      </c>
      <c r="E42" s="6" t="s">
        <v>43</v>
      </c>
      <c r="F42" s="6">
        <v>1</v>
      </c>
      <c r="G42" s="6">
        <v>302</v>
      </c>
      <c r="H42" s="6">
        <v>397</v>
      </c>
      <c r="I42" s="6" t="s">
        <v>44</v>
      </c>
      <c r="J42" s="6" t="s">
        <v>44</v>
      </c>
      <c r="K42" s="6" t="s">
        <v>44</v>
      </c>
      <c r="L42" s="6" t="s">
        <v>44</v>
      </c>
      <c r="M42" s="6" t="s">
        <v>47</v>
      </c>
      <c r="N42" s="6" t="s">
        <v>180</v>
      </c>
      <c r="O42" s="6" t="s">
        <v>181</v>
      </c>
      <c r="P42" s="7" t="s">
        <v>45</v>
      </c>
    </row>
    <row r="43" spans="1:16" x14ac:dyDescent="0.3">
      <c r="A43" s="6" t="s">
        <v>39</v>
      </c>
      <c r="B43" s="6" t="s">
        <v>182</v>
      </c>
      <c r="C43" s="6" t="s">
        <v>183</v>
      </c>
      <c r="D43" s="7" t="s">
        <v>184</v>
      </c>
      <c r="E43" s="6" t="s">
        <v>43</v>
      </c>
      <c r="F43" s="6">
        <v>1</v>
      </c>
      <c r="G43" s="6">
        <v>882</v>
      </c>
      <c r="H43" s="6">
        <v>595</v>
      </c>
      <c r="I43" s="6" t="s">
        <v>44</v>
      </c>
      <c r="J43" s="6" t="s">
        <v>45</v>
      </c>
      <c r="K43" s="6" t="s">
        <v>46</v>
      </c>
      <c r="L43" s="6" t="s">
        <v>45</v>
      </c>
      <c r="M43" s="6" t="s">
        <v>47</v>
      </c>
      <c r="N43" s="6" t="s">
        <v>185</v>
      </c>
      <c r="O43" s="6" t="s">
        <v>186</v>
      </c>
      <c r="P43" s="7" t="s">
        <v>45</v>
      </c>
    </row>
    <row r="44" spans="1:16" x14ac:dyDescent="0.3">
      <c r="A44" s="6" t="s">
        <v>39</v>
      </c>
      <c r="B44" s="6" t="s">
        <v>187</v>
      </c>
      <c r="C44" s="6" t="s">
        <v>183</v>
      </c>
      <c r="D44" s="7" t="s">
        <v>188</v>
      </c>
      <c r="E44" s="6" t="s">
        <v>43</v>
      </c>
      <c r="F44" s="6">
        <v>2</v>
      </c>
      <c r="G44" s="6">
        <v>1275</v>
      </c>
      <c r="H44" s="6">
        <v>97</v>
      </c>
      <c r="I44" s="6" t="s">
        <v>46</v>
      </c>
      <c r="J44" s="6" t="s">
        <v>46</v>
      </c>
      <c r="K44" s="6" t="s">
        <v>46</v>
      </c>
      <c r="L44" s="6" t="s">
        <v>46</v>
      </c>
      <c r="M44" s="6" t="s">
        <v>57</v>
      </c>
      <c r="N44" s="6" t="s">
        <v>189</v>
      </c>
      <c r="O44" s="6" t="s">
        <v>190</v>
      </c>
      <c r="P44" s="7" t="s">
        <v>191</v>
      </c>
    </row>
    <row r="45" spans="1:16" x14ac:dyDescent="0.3">
      <c r="A45" s="6" t="s">
        <v>39</v>
      </c>
      <c r="B45" s="6" t="s">
        <v>192</v>
      </c>
      <c r="C45" s="6" t="s">
        <v>193</v>
      </c>
      <c r="D45" s="7" t="s">
        <v>42</v>
      </c>
      <c r="E45" s="6" t="s">
        <v>43</v>
      </c>
      <c r="F45" s="6">
        <v>2</v>
      </c>
      <c r="G45" s="6">
        <v>700</v>
      </c>
      <c r="H45" s="6">
        <v>320</v>
      </c>
      <c r="I45" s="6" t="s">
        <v>44</v>
      </c>
      <c r="J45" s="6" t="s">
        <v>45</v>
      </c>
      <c r="K45" s="6" t="s">
        <v>44</v>
      </c>
      <c r="L45" s="6" t="s">
        <v>46</v>
      </c>
      <c r="M45" s="6" t="s">
        <v>47</v>
      </c>
      <c r="N45" s="6" t="s">
        <v>194</v>
      </c>
      <c r="O45" s="6" t="s">
        <v>195</v>
      </c>
      <c r="P45" s="7" t="s">
        <v>45</v>
      </c>
    </row>
    <row r="46" spans="1:16" x14ac:dyDescent="0.3">
      <c r="A46" s="6" t="s">
        <v>39</v>
      </c>
      <c r="B46" s="6" t="s">
        <v>196</v>
      </c>
      <c r="C46" s="6" t="s">
        <v>193</v>
      </c>
      <c r="D46" s="7" t="s">
        <v>197</v>
      </c>
      <c r="E46" s="6" t="s">
        <v>43</v>
      </c>
      <c r="F46" s="6">
        <v>1</v>
      </c>
      <c r="G46" s="6">
        <v>165</v>
      </c>
      <c r="H46" s="6">
        <v>320</v>
      </c>
      <c r="I46" s="6" t="s">
        <v>44</v>
      </c>
      <c r="J46" s="6" t="s">
        <v>45</v>
      </c>
      <c r="K46" s="6" t="s">
        <v>45</v>
      </c>
      <c r="L46" s="6" t="s">
        <v>45</v>
      </c>
      <c r="M46" s="6" t="s">
        <v>47</v>
      </c>
      <c r="N46" s="6" t="s">
        <v>198</v>
      </c>
      <c r="O46" s="6" t="s">
        <v>199</v>
      </c>
      <c r="P46" s="7" t="s">
        <v>45</v>
      </c>
    </row>
    <row r="47" spans="1:16" x14ac:dyDescent="0.3">
      <c r="A47" s="6" t="s">
        <v>39</v>
      </c>
      <c r="B47" s="6" t="s">
        <v>200</v>
      </c>
      <c r="C47" s="6" t="s">
        <v>193</v>
      </c>
      <c r="D47" s="7" t="s">
        <v>52</v>
      </c>
      <c r="E47" s="6" t="s">
        <v>43</v>
      </c>
      <c r="F47" s="6">
        <v>1</v>
      </c>
      <c r="G47" s="6">
        <v>165</v>
      </c>
      <c r="H47" s="6">
        <v>320</v>
      </c>
      <c r="I47" s="6" t="s">
        <v>44</v>
      </c>
      <c r="J47" s="6" t="s">
        <v>45</v>
      </c>
      <c r="K47" s="6" t="s">
        <v>45</v>
      </c>
      <c r="L47" s="6" t="s">
        <v>45</v>
      </c>
      <c r="M47" s="6" t="s">
        <v>47</v>
      </c>
      <c r="N47" s="6" t="s">
        <v>198</v>
      </c>
      <c r="O47" s="6" t="s">
        <v>199</v>
      </c>
      <c r="P47" s="7" t="s">
        <v>45</v>
      </c>
    </row>
    <row r="48" spans="1:16" x14ac:dyDescent="0.3">
      <c r="A48" s="6" t="s">
        <v>39</v>
      </c>
      <c r="B48" s="6" t="s">
        <v>201</v>
      </c>
      <c r="C48" s="6" t="s">
        <v>193</v>
      </c>
      <c r="D48" s="7" t="s">
        <v>202</v>
      </c>
      <c r="E48" s="6" t="s">
        <v>63</v>
      </c>
      <c r="F48" s="6">
        <v>1</v>
      </c>
      <c r="G48" s="6">
        <v>191</v>
      </c>
      <c r="H48" s="6">
        <v>696</v>
      </c>
      <c r="I48" s="6" t="s">
        <v>45</v>
      </c>
      <c r="J48" s="6" t="s">
        <v>45</v>
      </c>
      <c r="K48" s="6" t="s">
        <v>45</v>
      </c>
      <c r="L48" s="6" t="s">
        <v>45</v>
      </c>
      <c r="M48" s="6" t="s">
        <v>64</v>
      </c>
      <c r="N48" s="6" t="s">
        <v>203</v>
      </c>
      <c r="O48" s="6" t="s">
        <v>203</v>
      </c>
      <c r="P48" s="7" t="s">
        <v>45</v>
      </c>
    </row>
    <row r="49" spans="1:16" x14ac:dyDescent="0.3">
      <c r="A49" s="6" t="s">
        <v>39</v>
      </c>
      <c r="B49" s="6" t="s">
        <v>204</v>
      </c>
      <c r="C49" s="6" t="s">
        <v>193</v>
      </c>
      <c r="D49" s="7" t="s">
        <v>205</v>
      </c>
      <c r="E49" s="6" t="s">
        <v>43</v>
      </c>
      <c r="F49" s="6">
        <v>1</v>
      </c>
      <c r="G49" s="6">
        <v>163</v>
      </c>
      <c r="H49" s="6">
        <v>300</v>
      </c>
      <c r="I49" s="6" t="s">
        <v>44</v>
      </c>
      <c r="J49" s="6" t="s">
        <v>45</v>
      </c>
      <c r="K49" s="6" t="s">
        <v>45</v>
      </c>
      <c r="L49" s="6" t="s">
        <v>45</v>
      </c>
      <c r="M49" s="6" t="s">
        <v>47</v>
      </c>
      <c r="N49" s="6" t="s">
        <v>206</v>
      </c>
      <c r="O49" s="6" t="s">
        <v>207</v>
      </c>
      <c r="P49" s="7" t="s">
        <v>45</v>
      </c>
    </row>
    <row r="50" spans="1:16" x14ac:dyDescent="0.3">
      <c r="A50" s="6" t="s">
        <v>39</v>
      </c>
      <c r="B50" s="6" t="s">
        <v>208</v>
      </c>
      <c r="C50" s="6" t="s">
        <v>193</v>
      </c>
      <c r="D50" s="7" t="s">
        <v>209</v>
      </c>
      <c r="E50" s="6" t="s">
        <v>43</v>
      </c>
      <c r="F50" s="6">
        <v>1</v>
      </c>
      <c r="G50" s="6">
        <v>717</v>
      </c>
      <c r="H50" s="6">
        <v>192</v>
      </c>
      <c r="I50" s="6" t="s">
        <v>44</v>
      </c>
      <c r="J50" s="6" t="s">
        <v>44</v>
      </c>
      <c r="K50" s="6" t="s">
        <v>44</v>
      </c>
      <c r="L50" s="6" t="s">
        <v>44</v>
      </c>
      <c r="M50" s="6" t="s">
        <v>47</v>
      </c>
      <c r="N50" s="6" t="s">
        <v>210</v>
      </c>
      <c r="O50" s="6" t="s">
        <v>211</v>
      </c>
      <c r="P50" s="7" t="s">
        <v>45</v>
      </c>
    </row>
    <row r="51" spans="1:16" x14ac:dyDescent="0.3">
      <c r="A51" s="6" t="s">
        <v>39</v>
      </c>
      <c r="B51" s="6" t="s">
        <v>212</v>
      </c>
      <c r="C51" s="6" t="s">
        <v>213</v>
      </c>
      <c r="D51" s="7" t="s">
        <v>42</v>
      </c>
      <c r="E51" s="6" t="s">
        <v>43</v>
      </c>
      <c r="F51" s="6">
        <v>2</v>
      </c>
      <c r="G51" s="6">
        <v>350</v>
      </c>
      <c r="H51" s="6">
        <v>320</v>
      </c>
      <c r="I51" s="6" t="s">
        <v>44</v>
      </c>
      <c r="J51" s="6" t="s">
        <v>45</v>
      </c>
      <c r="K51" s="6" t="s">
        <v>44</v>
      </c>
      <c r="L51" s="6" t="s">
        <v>46</v>
      </c>
      <c r="M51" s="6" t="s">
        <v>47</v>
      </c>
      <c r="N51" s="6" t="s">
        <v>214</v>
      </c>
      <c r="O51" s="6" t="s">
        <v>215</v>
      </c>
      <c r="P51" s="7" t="s">
        <v>45</v>
      </c>
    </row>
    <row r="52" spans="1:16" ht="28.8" x14ac:dyDescent="0.3">
      <c r="A52" s="6" t="s">
        <v>39</v>
      </c>
      <c r="B52" s="6" t="s">
        <v>216</v>
      </c>
      <c r="C52" s="6" t="s">
        <v>213</v>
      </c>
      <c r="D52" s="7" t="s">
        <v>217</v>
      </c>
      <c r="E52" s="6" t="s">
        <v>43</v>
      </c>
      <c r="F52" s="6">
        <v>1</v>
      </c>
      <c r="G52" s="6">
        <v>570</v>
      </c>
      <c r="H52" s="6">
        <v>320</v>
      </c>
      <c r="I52" s="6" t="s">
        <v>44</v>
      </c>
      <c r="J52" s="6" t="s">
        <v>45</v>
      </c>
      <c r="K52" s="6" t="s">
        <v>45</v>
      </c>
      <c r="L52" s="6" t="s">
        <v>45</v>
      </c>
      <c r="M52" s="6" t="s">
        <v>47</v>
      </c>
      <c r="N52" s="6" t="s">
        <v>218</v>
      </c>
      <c r="O52" s="6" t="s">
        <v>219</v>
      </c>
      <c r="P52" s="7" t="s">
        <v>220</v>
      </c>
    </row>
    <row r="53" spans="1:16" ht="43.2" x14ac:dyDescent="0.3">
      <c r="A53" s="6" t="s">
        <v>39</v>
      </c>
      <c r="B53" s="6" t="s">
        <v>221</v>
      </c>
      <c r="C53" s="6" t="s">
        <v>213</v>
      </c>
      <c r="D53" s="7" t="s">
        <v>222</v>
      </c>
      <c r="E53" s="6" t="s">
        <v>43</v>
      </c>
      <c r="F53" s="6">
        <v>1</v>
      </c>
      <c r="G53" s="6">
        <v>570</v>
      </c>
      <c r="H53" s="6">
        <v>320</v>
      </c>
      <c r="I53" s="6" t="s">
        <v>44</v>
      </c>
      <c r="J53" s="6" t="s">
        <v>45</v>
      </c>
      <c r="K53" s="6" t="s">
        <v>45</v>
      </c>
      <c r="L53" s="6" t="s">
        <v>45</v>
      </c>
      <c r="M53" s="6" t="s">
        <v>47</v>
      </c>
      <c r="N53" s="6" t="s">
        <v>218</v>
      </c>
      <c r="O53" s="6" t="s">
        <v>219</v>
      </c>
      <c r="P53" s="7" t="s">
        <v>220</v>
      </c>
    </row>
    <row r="54" spans="1:16" x14ac:dyDescent="0.3">
      <c r="A54" s="6" t="s">
        <v>39</v>
      </c>
      <c r="B54" s="6" t="s">
        <v>223</v>
      </c>
      <c r="C54" s="6" t="s">
        <v>213</v>
      </c>
      <c r="D54" s="7" t="s">
        <v>202</v>
      </c>
      <c r="E54" s="6" t="s">
        <v>63</v>
      </c>
      <c r="F54" s="6">
        <v>1</v>
      </c>
      <c r="G54" s="6">
        <v>596</v>
      </c>
      <c r="H54" s="6">
        <v>346</v>
      </c>
      <c r="I54" s="6" t="s">
        <v>45</v>
      </c>
      <c r="J54" s="6" t="s">
        <v>45</v>
      </c>
      <c r="K54" s="6" t="s">
        <v>45</v>
      </c>
      <c r="L54" s="6" t="s">
        <v>45</v>
      </c>
      <c r="M54" s="6" t="s">
        <v>64</v>
      </c>
      <c r="N54" s="6" t="s">
        <v>224</v>
      </c>
      <c r="O54" s="6" t="s">
        <v>224</v>
      </c>
      <c r="P54" s="7" t="s">
        <v>45</v>
      </c>
    </row>
    <row r="55" spans="1:16" x14ac:dyDescent="0.3">
      <c r="A55" s="6" t="s">
        <v>39</v>
      </c>
      <c r="B55" s="6" t="s">
        <v>225</v>
      </c>
      <c r="C55" s="6" t="s">
        <v>213</v>
      </c>
      <c r="D55" s="7" t="s">
        <v>226</v>
      </c>
      <c r="E55" s="6" t="s">
        <v>43</v>
      </c>
      <c r="F55" s="6">
        <v>1</v>
      </c>
      <c r="G55" s="6">
        <v>347</v>
      </c>
      <c r="H55" s="6">
        <v>597</v>
      </c>
      <c r="I55" s="6" t="s">
        <v>44</v>
      </c>
      <c r="J55" s="6" t="s">
        <v>44</v>
      </c>
      <c r="K55" s="6" t="s">
        <v>44</v>
      </c>
      <c r="L55" s="6" t="s">
        <v>44</v>
      </c>
      <c r="M55" s="6" t="s">
        <v>47</v>
      </c>
      <c r="N55" s="6" t="s">
        <v>227</v>
      </c>
      <c r="O55" s="6" t="s">
        <v>228</v>
      </c>
      <c r="P55" s="7" t="s">
        <v>45</v>
      </c>
    </row>
    <row r="56" spans="1:16" ht="43.2" x14ac:dyDescent="0.3">
      <c r="A56" s="6" t="s">
        <v>39</v>
      </c>
      <c r="B56" s="6" t="s">
        <v>229</v>
      </c>
      <c r="C56" s="6" t="s">
        <v>213</v>
      </c>
      <c r="D56" s="7" t="s">
        <v>230</v>
      </c>
      <c r="E56" s="6" t="s">
        <v>43</v>
      </c>
      <c r="F56" s="6">
        <v>1</v>
      </c>
      <c r="G56" s="6">
        <v>570</v>
      </c>
      <c r="H56" s="6">
        <v>60</v>
      </c>
      <c r="I56" s="6" t="s">
        <v>44</v>
      </c>
      <c r="J56" s="6" t="s">
        <v>46</v>
      </c>
      <c r="K56" s="6" t="s">
        <v>46</v>
      </c>
      <c r="L56" s="6" t="s">
        <v>46</v>
      </c>
      <c r="M56" s="6" t="s">
        <v>57</v>
      </c>
      <c r="N56" s="6" t="s">
        <v>231</v>
      </c>
      <c r="O56" s="6" t="s">
        <v>232</v>
      </c>
      <c r="P56" s="7" t="s">
        <v>233</v>
      </c>
    </row>
    <row r="57" spans="1:16" x14ac:dyDescent="0.3">
      <c r="A57" s="6" t="s">
        <v>39</v>
      </c>
      <c r="B57" s="6" t="s">
        <v>234</v>
      </c>
      <c r="C57" s="6" t="s">
        <v>235</v>
      </c>
      <c r="D57" s="7" t="s">
        <v>42</v>
      </c>
      <c r="E57" s="6" t="s">
        <v>43</v>
      </c>
      <c r="F57" s="6">
        <v>2</v>
      </c>
      <c r="G57" s="6">
        <v>700</v>
      </c>
      <c r="H57" s="6">
        <v>320</v>
      </c>
      <c r="I57" s="6" t="s">
        <v>44</v>
      </c>
      <c r="J57" s="6" t="s">
        <v>45</v>
      </c>
      <c r="K57" s="6" t="s">
        <v>44</v>
      </c>
      <c r="L57" s="6" t="s">
        <v>46</v>
      </c>
      <c r="M57" s="6" t="s">
        <v>47</v>
      </c>
      <c r="N57" s="6" t="s">
        <v>194</v>
      </c>
      <c r="O57" s="6" t="s">
        <v>195</v>
      </c>
      <c r="P57" s="7" t="s">
        <v>45</v>
      </c>
    </row>
    <row r="58" spans="1:16" x14ac:dyDescent="0.3">
      <c r="A58" s="6" t="s">
        <v>39</v>
      </c>
      <c r="B58" s="6" t="s">
        <v>236</v>
      </c>
      <c r="C58" s="6" t="s">
        <v>235</v>
      </c>
      <c r="D58" s="7" t="s">
        <v>197</v>
      </c>
      <c r="E58" s="6" t="s">
        <v>43</v>
      </c>
      <c r="F58" s="6">
        <v>1</v>
      </c>
      <c r="G58" s="6">
        <v>625</v>
      </c>
      <c r="H58" s="6">
        <v>320</v>
      </c>
      <c r="I58" s="6" t="s">
        <v>44</v>
      </c>
      <c r="J58" s="6" t="s">
        <v>45</v>
      </c>
      <c r="K58" s="6" t="s">
        <v>45</v>
      </c>
      <c r="L58" s="6" t="s">
        <v>45</v>
      </c>
      <c r="M58" s="6" t="s">
        <v>47</v>
      </c>
      <c r="N58" s="6" t="s">
        <v>237</v>
      </c>
      <c r="O58" s="6" t="s">
        <v>238</v>
      </c>
      <c r="P58" s="7" t="s">
        <v>45</v>
      </c>
    </row>
    <row r="59" spans="1:16" x14ac:dyDescent="0.3">
      <c r="A59" s="6" t="s">
        <v>39</v>
      </c>
      <c r="B59" s="6" t="s">
        <v>239</v>
      </c>
      <c r="C59" s="6" t="s">
        <v>235</v>
      </c>
      <c r="D59" s="7" t="s">
        <v>52</v>
      </c>
      <c r="E59" s="6" t="s">
        <v>43</v>
      </c>
      <c r="F59" s="6">
        <v>1</v>
      </c>
      <c r="G59" s="6">
        <v>625</v>
      </c>
      <c r="H59" s="6">
        <v>320</v>
      </c>
      <c r="I59" s="6" t="s">
        <v>44</v>
      </c>
      <c r="J59" s="6" t="s">
        <v>45</v>
      </c>
      <c r="K59" s="6" t="s">
        <v>45</v>
      </c>
      <c r="L59" s="6" t="s">
        <v>45</v>
      </c>
      <c r="M59" s="6" t="s">
        <v>47</v>
      </c>
      <c r="N59" s="6" t="s">
        <v>237</v>
      </c>
      <c r="O59" s="6" t="s">
        <v>238</v>
      </c>
      <c r="P59" s="7" t="s">
        <v>45</v>
      </c>
    </row>
    <row r="60" spans="1:16" x14ac:dyDescent="0.3">
      <c r="A60" s="6" t="s">
        <v>39</v>
      </c>
      <c r="B60" s="6" t="s">
        <v>240</v>
      </c>
      <c r="C60" s="6" t="s">
        <v>235</v>
      </c>
      <c r="D60" s="7" t="s">
        <v>202</v>
      </c>
      <c r="E60" s="6" t="s">
        <v>63</v>
      </c>
      <c r="F60" s="6">
        <v>1</v>
      </c>
      <c r="G60" s="6">
        <v>651</v>
      </c>
      <c r="H60" s="6">
        <v>696</v>
      </c>
      <c r="I60" s="6" t="s">
        <v>45</v>
      </c>
      <c r="J60" s="6" t="s">
        <v>45</v>
      </c>
      <c r="K60" s="6" t="s">
        <v>45</v>
      </c>
      <c r="L60" s="6" t="s">
        <v>45</v>
      </c>
      <c r="M60" s="6" t="s">
        <v>64</v>
      </c>
      <c r="N60" s="6" t="s">
        <v>241</v>
      </c>
      <c r="O60" s="6" t="s">
        <v>241</v>
      </c>
      <c r="P60" s="7" t="s">
        <v>45</v>
      </c>
    </row>
    <row r="61" spans="1:16" x14ac:dyDescent="0.3">
      <c r="A61" s="6" t="s">
        <v>39</v>
      </c>
      <c r="B61" s="6" t="s">
        <v>242</v>
      </c>
      <c r="C61" s="6" t="s">
        <v>235</v>
      </c>
      <c r="D61" s="7" t="s">
        <v>243</v>
      </c>
      <c r="E61" s="6" t="s">
        <v>43</v>
      </c>
      <c r="F61" s="6">
        <v>1</v>
      </c>
      <c r="G61" s="6">
        <v>670</v>
      </c>
      <c r="H61" s="6">
        <v>320</v>
      </c>
      <c r="I61" s="6" t="s">
        <v>44</v>
      </c>
      <c r="J61" s="6" t="s">
        <v>45</v>
      </c>
      <c r="K61" s="6" t="s">
        <v>45</v>
      </c>
      <c r="L61" s="6" t="s">
        <v>45</v>
      </c>
      <c r="M61" s="6" t="s">
        <v>47</v>
      </c>
      <c r="N61" s="6" t="s">
        <v>244</v>
      </c>
      <c r="O61" s="6" t="s">
        <v>245</v>
      </c>
      <c r="P61" s="7" t="s">
        <v>45</v>
      </c>
    </row>
    <row r="62" spans="1:16" x14ac:dyDescent="0.3">
      <c r="A62" s="6" t="s">
        <v>39</v>
      </c>
      <c r="B62" s="6" t="s">
        <v>246</v>
      </c>
      <c r="C62" s="6" t="s">
        <v>235</v>
      </c>
      <c r="D62" s="7" t="s">
        <v>205</v>
      </c>
      <c r="E62" s="6" t="s">
        <v>43</v>
      </c>
      <c r="F62" s="6">
        <v>2</v>
      </c>
      <c r="G62" s="6">
        <v>303</v>
      </c>
      <c r="H62" s="6">
        <v>300</v>
      </c>
      <c r="I62" s="6" t="s">
        <v>44</v>
      </c>
      <c r="J62" s="6" t="s">
        <v>45</v>
      </c>
      <c r="K62" s="6" t="s">
        <v>45</v>
      </c>
      <c r="L62" s="6" t="s">
        <v>45</v>
      </c>
      <c r="M62" s="6" t="s">
        <v>47</v>
      </c>
      <c r="N62" s="6" t="s">
        <v>247</v>
      </c>
      <c r="O62" s="6" t="s">
        <v>248</v>
      </c>
      <c r="P62" s="7" t="s">
        <v>45</v>
      </c>
    </row>
    <row r="63" spans="1:16" x14ac:dyDescent="0.3">
      <c r="A63" s="6" t="s">
        <v>39</v>
      </c>
      <c r="B63" s="6" t="s">
        <v>249</v>
      </c>
      <c r="C63" s="6" t="s">
        <v>235</v>
      </c>
      <c r="D63" s="7" t="s">
        <v>149</v>
      </c>
      <c r="E63" s="6" t="s">
        <v>43</v>
      </c>
      <c r="F63" s="6">
        <v>1</v>
      </c>
      <c r="G63" s="6">
        <v>717</v>
      </c>
      <c r="H63" s="6">
        <v>324.5</v>
      </c>
      <c r="I63" s="6" t="s">
        <v>44</v>
      </c>
      <c r="J63" s="6" t="s">
        <v>44</v>
      </c>
      <c r="K63" s="6" t="s">
        <v>44</v>
      </c>
      <c r="L63" s="6" t="s">
        <v>44</v>
      </c>
      <c r="M63" s="6" t="s">
        <v>47</v>
      </c>
      <c r="N63" s="6" t="s">
        <v>250</v>
      </c>
      <c r="O63" s="6" t="s">
        <v>251</v>
      </c>
      <c r="P63" s="7" t="s">
        <v>45</v>
      </c>
    </row>
    <row r="64" spans="1:16" x14ac:dyDescent="0.3">
      <c r="A64" s="6" t="s">
        <v>39</v>
      </c>
      <c r="B64" s="6" t="s">
        <v>252</v>
      </c>
      <c r="C64" s="6" t="s">
        <v>235</v>
      </c>
      <c r="D64" s="7" t="s">
        <v>153</v>
      </c>
      <c r="E64" s="6" t="s">
        <v>43</v>
      </c>
      <c r="F64" s="6">
        <v>1</v>
      </c>
      <c r="G64" s="6">
        <v>717</v>
      </c>
      <c r="H64" s="6">
        <v>324.5</v>
      </c>
      <c r="I64" s="6" t="s">
        <v>44</v>
      </c>
      <c r="J64" s="6" t="s">
        <v>44</v>
      </c>
      <c r="K64" s="6" t="s">
        <v>44</v>
      </c>
      <c r="L64" s="6" t="s">
        <v>44</v>
      </c>
      <c r="M64" s="6" t="s">
        <v>47</v>
      </c>
      <c r="N64" s="6" t="s">
        <v>250</v>
      </c>
      <c r="O64" s="6" t="s">
        <v>251</v>
      </c>
      <c r="P64" s="7" t="s">
        <v>45</v>
      </c>
    </row>
    <row r="65" spans="1:16" x14ac:dyDescent="0.3">
      <c r="A65" s="6" t="s">
        <v>39</v>
      </c>
      <c r="B65" s="6" t="s">
        <v>253</v>
      </c>
      <c r="C65" s="6" t="s">
        <v>254</v>
      </c>
      <c r="D65" s="7" t="s">
        <v>42</v>
      </c>
      <c r="E65" s="6" t="s">
        <v>43</v>
      </c>
      <c r="F65" s="6">
        <v>2</v>
      </c>
      <c r="G65" s="6">
        <v>700</v>
      </c>
      <c r="H65" s="6">
        <v>320</v>
      </c>
      <c r="I65" s="6" t="s">
        <v>44</v>
      </c>
      <c r="J65" s="6" t="s">
        <v>45</v>
      </c>
      <c r="K65" s="6" t="s">
        <v>44</v>
      </c>
      <c r="L65" s="6" t="s">
        <v>46</v>
      </c>
      <c r="M65" s="6" t="s">
        <v>47</v>
      </c>
      <c r="N65" s="6" t="s">
        <v>194</v>
      </c>
      <c r="O65" s="6" t="s">
        <v>195</v>
      </c>
      <c r="P65" s="7" t="s">
        <v>45</v>
      </c>
    </row>
    <row r="66" spans="1:16" x14ac:dyDescent="0.3">
      <c r="A66" s="6" t="s">
        <v>39</v>
      </c>
      <c r="B66" s="6" t="s">
        <v>255</v>
      </c>
      <c r="C66" s="6" t="s">
        <v>254</v>
      </c>
      <c r="D66" s="7" t="s">
        <v>197</v>
      </c>
      <c r="E66" s="6" t="s">
        <v>43</v>
      </c>
      <c r="F66" s="6">
        <v>1</v>
      </c>
      <c r="G66" s="6">
        <v>685</v>
      </c>
      <c r="H66" s="6">
        <v>320</v>
      </c>
      <c r="I66" s="6" t="s">
        <v>44</v>
      </c>
      <c r="J66" s="6" t="s">
        <v>45</v>
      </c>
      <c r="K66" s="6" t="s">
        <v>45</v>
      </c>
      <c r="L66" s="6" t="s">
        <v>45</v>
      </c>
      <c r="M66" s="6" t="s">
        <v>47</v>
      </c>
      <c r="N66" s="6" t="s">
        <v>256</v>
      </c>
      <c r="O66" s="6" t="s">
        <v>257</v>
      </c>
      <c r="P66" s="7" t="s">
        <v>45</v>
      </c>
    </row>
    <row r="67" spans="1:16" x14ac:dyDescent="0.3">
      <c r="A67" s="6" t="s">
        <v>39</v>
      </c>
      <c r="B67" s="6" t="s">
        <v>258</v>
      </c>
      <c r="C67" s="6" t="s">
        <v>254</v>
      </c>
      <c r="D67" s="7" t="s">
        <v>259</v>
      </c>
      <c r="E67" s="6" t="s">
        <v>43</v>
      </c>
      <c r="F67" s="6">
        <v>1</v>
      </c>
      <c r="G67" s="6">
        <v>685</v>
      </c>
      <c r="H67" s="6">
        <v>60</v>
      </c>
      <c r="I67" s="6" t="s">
        <v>46</v>
      </c>
      <c r="J67" s="6" t="s">
        <v>46</v>
      </c>
      <c r="K67" s="6" t="s">
        <v>46</v>
      </c>
      <c r="L67" s="6" t="s">
        <v>46</v>
      </c>
      <c r="M67" s="6" t="s">
        <v>57</v>
      </c>
      <c r="N67" s="6" t="s">
        <v>260</v>
      </c>
      <c r="O67" s="6" t="s">
        <v>261</v>
      </c>
      <c r="P67" s="7" t="s">
        <v>262</v>
      </c>
    </row>
    <row r="68" spans="1:16" x14ac:dyDescent="0.3">
      <c r="A68" s="6" t="s">
        <v>39</v>
      </c>
      <c r="B68" s="6" t="s">
        <v>263</v>
      </c>
      <c r="C68" s="6" t="s">
        <v>254</v>
      </c>
      <c r="D68" s="7" t="s">
        <v>264</v>
      </c>
      <c r="E68" s="6" t="s">
        <v>43</v>
      </c>
      <c r="F68" s="6">
        <v>1</v>
      </c>
      <c r="G68" s="6">
        <v>685</v>
      </c>
      <c r="H68" s="6">
        <v>80</v>
      </c>
      <c r="I68" s="6" t="s">
        <v>46</v>
      </c>
      <c r="J68" s="6" t="s">
        <v>46</v>
      </c>
      <c r="K68" s="6" t="s">
        <v>46</v>
      </c>
      <c r="L68" s="6" t="s">
        <v>46</v>
      </c>
      <c r="M68" s="6" t="s">
        <v>57</v>
      </c>
      <c r="N68" s="6" t="s">
        <v>265</v>
      </c>
      <c r="O68" s="6" t="s">
        <v>266</v>
      </c>
      <c r="P68" s="7" t="s">
        <v>267</v>
      </c>
    </row>
    <row r="69" spans="1:16" x14ac:dyDescent="0.3">
      <c r="A69" s="6" t="s">
        <v>39</v>
      </c>
      <c r="B69" s="6" t="s">
        <v>268</v>
      </c>
      <c r="C69" s="6" t="s">
        <v>254</v>
      </c>
      <c r="D69" s="7" t="s">
        <v>202</v>
      </c>
      <c r="E69" s="6" t="s">
        <v>63</v>
      </c>
      <c r="F69" s="6">
        <v>1</v>
      </c>
      <c r="G69" s="6">
        <v>711</v>
      </c>
      <c r="H69" s="6">
        <v>696</v>
      </c>
      <c r="I69" s="6" t="s">
        <v>45</v>
      </c>
      <c r="J69" s="6" t="s">
        <v>45</v>
      </c>
      <c r="K69" s="6" t="s">
        <v>45</v>
      </c>
      <c r="L69" s="6" t="s">
        <v>45</v>
      </c>
      <c r="M69" s="6" t="s">
        <v>64</v>
      </c>
      <c r="N69" s="6" t="s">
        <v>269</v>
      </c>
      <c r="O69" s="6" t="s">
        <v>269</v>
      </c>
      <c r="P69" s="7" t="s">
        <v>45</v>
      </c>
    </row>
    <row r="70" spans="1:16" x14ac:dyDescent="0.3">
      <c r="A70" s="6" t="s">
        <v>39</v>
      </c>
      <c r="B70" s="6" t="s">
        <v>270</v>
      </c>
      <c r="C70" s="6" t="s">
        <v>254</v>
      </c>
      <c r="D70" s="7" t="s">
        <v>149</v>
      </c>
      <c r="E70" s="6" t="s">
        <v>43</v>
      </c>
      <c r="F70" s="6">
        <v>1</v>
      </c>
      <c r="G70" s="6">
        <v>717</v>
      </c>
      <c r="H70" s="6">
        <v>354.5</v>
      </c>
      <c r="I70" s="6" t="s">
        <v>44</v>
      </c>
      <c r="J70" s="6" t="s">
        <v>44</v>
      </c>
      <c r="K70" s="6" t="s">
        <v>44</v>
      </c>
      <c r="L70" s="6" t="s">
        <v>44</v>
      </c>
      <c r="M70" s="6" t="s">
        <v>47</v>
      </c>
      <c r="N70" s="6" t="s">
        <v>271</v>
      </c>
      <c r="O70" s="6" t="s">
        <v>272</v>
      </c>
      <c r="P70" s="7" t="s">
        <v>45</v>
      </c>
    </row>
    <row r="71" spans="1:16" x14ac:dyDescent="0.3">
      <c r="A71" s="6" t="s">
        <v>39</v>
      </c>
      <c r="B71" s="6" t="s">
        <v>273</v>
      </c>
      <c r="C71" s="6" t="s">
        <v>254</v>
      </c>
      <c r="D71" s="7" t="s">
        <v>153</v>
      </c>
      <c r="E71" s="6" t="s">
        <v>43</v>
      </c>
      <c r="F71" s="6">
        <v>1</v>
      </c>
      <c r="G71" s="6">
        <v>717</v>
      </c>
      <c r="H71" s="6">
        <v>354.5</v>
      </c>
      <c r="I71" s="6" t="s">
        <v>44</v>
      </c>
      <c r="J71" s="6" t="s">
        <v>44</v>
      </c>
      <c r="K71" s="6" t="s">
        <v>44</v>
      </c>
      <c r="L71" s="6" t="s">
        <v>44</v>
      </c>
      <c r="M71" s="6" t="s">
        <v>47</v>
      </c>
      <c r="N71" s="6" t="s">
        <v>271</v>
      </c>
      <c r="O71" s="6" t="s">
        <v>272</v>
      </c>
      <c r="P71" s="7" t="s">
        <v>45</v>
      </c>
    </row>
    <row r="72" spans="1:16" x14ac:dyDescent="0.3">
      <c r="A72" s="6" t="s">
        <v>39</v>
      </c>
      <c r="B72" s="6" t="s">
        <v>274</v>
      </c>
      <c r="C72" s="6" t="s">
        <v>275</v>
      </c>
      <c r="D72" s="7" t="s">
        <v>42</v>
      </c>
      <c r="E72" s="6" t="s">
        <v>43</v>
      </c>
      <c r="F72" s="6">
        <v>2</v>
      </c>
      <c r="G72" s="6">
        <v>700</v>
      </c>
      <c r="H72" s="6">
        <v>320</v>
      </c>
      <c r="I72" s="6" t="s">
        <v>44</v>
      </c>
      <c r="J72" s="6" t="s">
        <v>45</v>
      </c>
      <c r="K72" s="6" t="s">
        <v>44</v>
      </c>
      <c r="L72" s="6" t="s">
        <v>46</v>
      </c>
      <c r="M72" s="6" t="s">
        <v>47</v>
      </c>
      <c r="N72" s="6" t="s">
        <v>194</v>
      </c>
      <c r="O72" s="6" t="s">
        <v>195</v>
      </c>
      <c r="P72" s="7" t="s">
        <v>45</v>
      </c>
    </row>
    <row r="73" spans="1:16" x14ac:dyDescent="0.3">
      <c r="A73" s="6" t="s">
        <v>39</v>
      </c>
      <c r="B73" s="6" t="s">
        <v>276</v>
      </c>
      <c r="C73" s="6" t="s">
        <v>275</v>
      </c>
      <c r="D73" s="7" t="s">
        <v>197</v>
      </c>
      <c r="E73" s="6" t="s">
        <v>43</v>
      </c>
      <c r="F73" s="6">
        <v>1</v>
      </c>
      <c r="G73" s="6">
        <v>370</v>
      </c>
      <c r="H73" s="6">
        <v>320</v>
      </c>
      <c r="I73" s="6" t="s">
        <v>44</v>
      </c>
      <c r="J73" s="6" t="s">
        <v>45</v>
      </c>
      <c r="K73" s="6" t="s">
        <v>45</v>
      </c>
      <c r="L73" s="6" t="s">
        <v>45</v>
      </c>
      <c r="M73" s="6" t="s">
        <v>47</v>
      </c>
      <c r="N73" s="6" t="s">
        <v>277</v>
      </c>
      <c r="O73" s="6" t="s">
        <v>278</v>
      </c>
      <c r="P73" s="7" t="s">
        <v>45</v>
      </c>
    </row>
    <row r="74" spans="1:16" x14ac:dyDescent="0.3">
      <c r="A74" s="6" t="s">
        <v>39</v>
      </c>
      <c r="B74" s="6" t="s">
        <v>279</v>
      </c>
      <c r="C74" s="6" t="s">
        <v>275</v>
      </c>
      <c r="D74" s="7" t="s">
        <v>52</v>
      </c>
      <c r="E74" s="6" t="s">
        <v>43</v>
      </c>
      <c r="F74" s="6">
        <v>1</v>
      </c>
      <c r="G74" s="6">
        <v>370</v>
      </c>
      <c r="H74" s="6">
        <v>320</v>
      </c>
      <c r="I74" s="6" t="s">
        <v>44</v>
      </c>
      <c r="J74" s="6" t="s">
        <v>45</v>
      </c>
      <c r="K74" s="6" t="s">
        <v>45</v>
      </c>
      <c r="L74" s="6" t="s">
        <v>45</v>
      </c>
      <c r="M74" s="6" t="s">
        <v>47</v>
      </c>
      <c r="N74" s="6" t="s">
        <v>277</v>
      </c>
      <c r="O74" s="6" t="s">
        <v>278</v>
      </c>
      <c r="P74" s="7" t="s">
        <v>45</v>
      </c>
    </row>
    <row r="75" spans="1:16" x14ac:dyDescent="0.3">
      <c r="A75" s="6" t="s">
        <v>39</v>
      </c>
      <c r="B75" s="6" t="s">
        <v>280</v>
      </c>
      <c r="C75" s="6" t="s">
        <v>275</v>
      </c>
      <c r="D75" s="7" t="s">
        <v>202</v>
      </c>
      <c r="E75" s="6" t="s">
        <v>63</v>
      </c>
      <c r="F75" s="6">
        <v>1</v>
      </c>
      <c r="G75" s="6">
        <v>396</v>
      </c>
      <c r="H75" s="6">
        <v>696</v>
      </c>
      <c r="I75" s="6" t="s">
        <v>45</v>
      </c>
      <c r="J75" s="6" t="s">
        <v>45</v>
      </c>
      <c r="K75" s="6" t="s">
        <v>45</v>
      </c>
      <c r="L75" s="6" t="s">
        <v>45</v>
      </c>
      <c r="M75" s="6" t="s">
        <v>64</v>
      </c>
      <c r="N75" s="6" t="s">
        <v>281</v>
      </c>
      <c r="O75" s="6" t="s">
        <v>281</v>
      </c>
      <c r="P75" s="7" t="s">
        <v>45</v>
      </c>
    </row>
    <row r="76" spans="1:16" x14ac:dyDescent="0.3">
      <c r="A76" s="6" t="s">
        <v>39</v>
      </c>
      <c r="B76" s="6" t="s">
        <v>282</v>
      </c>
      <c r="C76" s="6" t="s">
        <v>275</v>
      </c>
      <c r="D76" s="7" t="s">
        <v>205</v>
      </c>
      <c r="E76" s="6" t="s">
        <v>43</v>
      </c>
      <c r="F76" s="6">
        <v>1</v>
      </c>
      <c r="G76" s="6">
        <v>368</v>
      </c>
      <c r="H76" s="6">
        <v>300</v>
      </c>
      <c r="I76" s="6" t="s">
        <v>44</v>
      </c>
      <c r="J76" s="6" t="s">
        <v>45</v>
      </c>
      <c r="K76" s="6" t="s">
        <v>45</v>
      </c>
      <c r="L76" s="6" t="s">
        <v>45</v>
      </c>
      <c r="M76" s="6" t="s">
        <v>47</v>
      </c>
      <c r="N76" s="6" t="s">
        <v>283</v>
      </c>
      <c r="O76" s="6" t="s">
        <v>284</v>
      </c>
      <c r="P76" s="7" t="s">
        <v>45</v>
      </c>
    </row>
    <row r="77" spans="1:16" x14ac:dyDescent="0.3">
      <c r="A77" s="6" t="s">
        <v>39</v>
      </c>
      <c r="B77" s="6" t="s">
        <v>285</v>
      </c>
      <c r="C77" s="6" t="s">
        <v>275</v>
      </c>
      <c r="D77" s="7" t="s">
        <v>209</v>
      </c>
      <c r="E77" s="6" t="s">
        <v>43</v>
      </c>
      <c r="F77" s="6">
        <v>1</v>
      </c>
      <c r="G77" s="6">
        <v>717</v>
      </c>
      <c r="H77" s="6">
        <v>397</v>
      </c>
      <c r="I77" s="6" t="s">
        <v>44</v>
      </c>
      <c r="J77" s="6" t="s">
        <v>44</v>
      </c>
      <c r="K77" s="6" t="s">
        <v>44</v>
      </c>
      <c r="L77" s="6" t="s">
        <v>44</v>
      </c>
      <c r="M77" s="6" t="s">
        <v>47</v>
      </c>
      <c r="N77" s="6" t="s">
        <v>286</v>
      </c>
      <c r="O77" s="6" t="s">
        <v>287</v>
      </c>
      <c r="P77" s="7" t="s">
        <v>45</v>
      </c>
    </row>
    <row r="78" spans="1:16" x14ac:dyDescent="0.3">
      <c r="A78" s="6" t="s">
        <v>288</v>
      </c>
      <c r="B78" s="6" t="s">
        <v>289</v>
      </c>
      <c r="C78" s="6" t="s">
        <v>290</v>
      </c>
      <c r="D78" s="7" t="s">
        <v>291</v>
      </c>
      <c r="E78" s="6" t="s">
        <v>292</v>
      </c>
      <c r="F78" s="6">
        <v>2</v>
      </c>
      <c r="G78" s="6">
        <v>2280</v>
      </c>
      <c r="H78" s="6">
        <v>560</v>
      </c>
      <c r="I78" s="6" t="s">
        <v>44</v>
      </c>
      <c r="J78" s="6" t="s">
        <v>45</v>
      </c>
      <c r="K78" s="6" t="s">
        <v>46</v>
      </c>
      <c r="L78" s="6" t="s">
        <v>46</v>
      </c>
      <c r="M78" s="6" t="s">
        <v>47</v>
      </c>
      <c r="N78" s="6" t="s">
        <v>293</v>
      </c>
      <c r="O78" s="6" t="s">
        <v>294</v>
      </c>
      <c r="P78" s="7" t="s">
        <v>295</v>
      </c>
    </row>
    <row r="79" spans="1:16" x14ac:dyDescent="0.3">
      <c r="A79" s="6" t="s">
        <v>288</v>
      </c>
      <c r="B79" s="6" t="s">
        <v>296</v>
      </c>
      <c r="C79" s="6" t="s">
        <v>290</v>
      </c>
      <c r="D79" s="7" t="s">
        <v>297</v>
      </c>
      <c r="E79" s="6" t="s">
        <v>292</v>
      </c>
      <c r="F79" s="6">
        <v>1</v>
      </c>
      <c r="G79" s="6">
        <v>2280</v>
      </c>
      <c r="H79" s="6">
        <v>490</v>
      </c>
      <c r="I79" s="6" t="s">
        <v>44</v>
      </c>
      <c r="J79" s="6" t="s">
        <v>45</v>
      </c>
      <c r="K79" s="6" t="s">
        <v>46</v>
      </c>
      <c r="L79" s="6" t="s">
        <v>45</v>
      </c>
      <c r="M79" s="6" t="s">
        <v>47</v>
      </c>
      <c r="N79" s="6" t="s">
        <v>298</v>
      </c>
      <c r="O79" s="6" t="s">
        <v>299</v>
      </c>
      <c r="P79" s="7" t="s">
        <v>45</v>
      </c>
    </row>
    <row r="80" spans="1:16" x14ac:dyDescent="0.3">
      <c r="A80" s="6" t="s">
        <v>288</v>
      </c>
      <c r="B80" s="6" t="s">
        <v>300</v>
      </c>
      <c r="C80" s="6" t="s">
        <v>301</v>
      </c>
      <c r="D80" s="7" t="s">
        <v>302</v>
      </c>
      <c r="E80" s="6" t="s">
        <v>292</v>
      </c>
      <c r="F80" s="6">
        <v>1</v>
      </c>
      <c r="G80" s="6">
        <v>830</v>
      </c>
      <c r="H80" s="6">
        <v>560</v>
      </c>
      <c r="I80" s="6" t="s">
        <v>44</v>
      </c>
      <c r="J80" s="6" t="s">
        <v>45</v>
      </c>
      <c r="K80" s="6" t="s">
        <v>46</v>
      </c>
      <c r="L80" s="6" t="s">
        <v>45</v>
      </c>
      <c r="M80" s="6" t="s">
        <v>47</v>
      </c>
      <c r="N80" s="6" t="s">
        <v>303</v>
      </c>
      <c r="O80" s="6" t="s">
        <v>304</v>
      </c>
      <c r="P80" s="7" t="s">
        <v>45</v>
      </c>
    </row>
    <row r="81" spans="1:16" x14ac:dyDescent="0.3">
      <c r="A81" s="6" t="s">
        <v>288</v>
      </c>
      <c r="B81" s="6" t="s">
        <v>305</v>
      </c>
      <c r="C81" s="6" t="s">
        <v>301</v>
      </c>
      <c r="D81" s="7" t="s">
        <v>306</v>
      </c>
      <c r="E81" s="6" t="s">
        <v>292</v>
      </c>
      <c r="F81" s="6">
        <v>1</v>
      </c>
      <c r="G81" s="6">
        <v>830</v>
      </c>
      <c r="H81" s="6">
        <v>505</v>
      </c>
      <c r="I81" s="6" t="s">
        <v>46</v>
      </c>
      <c r="J81" s="6" t="s">
        <v>45</v>
      </c>
      <c r="K81" s="6" t="s">
        <v>45</v>
      </c>
      <c r="L81" s="6" t="s">
        <v>45</v>
      </c>
      <c r="M81" s="6" t="s">
        <v>47</v>
      </c>
      <c r="N81" s="6" t="s">
        <v>307</v>
      </c>
      <c r="O81" s="6" t="s">
        <v>308</v>
      </c>
      <c r="P81" s="7" t="s">
        <v>45</v>
      </c>
    </row>
    <row r="82" spans="1:16" x14ac:dyDescent="0.3">
      <c r="A82" s="6" t="s">
        <v>288</v>
      </c>
      <c r="B82" s="6" t="s">
        <v>309</v>
      </c>
      <c r="C82" s="6" t="s">
        <v>301</v>
      </c>
      <c r="D82" s="7" t="s">
        <v>310</v>
      </c>
      <c r="E82" s="6" t="s">
        <v>292</v>
      </c>
      <c r="F82" s="6">
        <v>1</v>
      </c>
      <c r="G82" s="6">
        <v>2250</v>
      </c>
      <c r="H82" s="6">
        <v>830</v>
      </c>
      <c r="I82" s="6" t="s">
        <v>45</v>
      </c>
      <c r="J82" s="6" t="s">
        <v>45</v>
      </c>
      <c r="K82" s="6" t="s">
        <v>45</v>
      </c>
      <c r="L82" s="6" t="s">
        <v>45</v>
      </c>
      <c r="M82" s="6" t="s">
        <v>64</v>
      </c>
      <c r="N82" s="6" t="s">
        <v>311</v>
      </c>
      <c r="O82" s="6" t="s">
        <v>311</v>
      </c>
      <c r="P82" s="7" t="s">
        <v>45</v>
      </c>
    </row>
    <row r="83" spans="1:16" x14ac:dyDescent="0.3">
      <c r="A83" s="6" t="s">
        <v>288</v>
      </c>
      <c r="B83" s="6" t="s">
        <v>312</v>
      </c>
      <c r="C83" s="6" t="s">
        <v>301</v>
      </c>
      <c r="D83" s="7" t="s">
        <v>313</v>
      </c>
      <c r="E83" s="6" t="s">
        <v>292</v>
      </c>
      <c r="F83" s="6">
        <v>1</v>
      </c>
      <c r="G83" s="6">
        <v>830</v>
      </c>
      <c r="H83" s="6">
        <v>475</v>
      </c>
      <c r="I83" s="6" t="s">
        <v>44</v>
      </c>
      <c r="J83" s="6" t="s">
        <v>45</v>
      </c>
      <c r="K83" s="6" t="s">
        <v>45</v>
      </c>
      <c r="L83" s="6" t="s">
        <v>45</v>
      </c>
      <c r="M83" s="6" t="s">
        <v>47</v>
      </c>
      <c r="N83" s="6" t="s">
        <v>314</v>
      </c>
      <c r="O83" s="6" t="s">
        <v>315</v>
      </c>
      <c r="P83" s="7" t="s">
        <v>45</v>
      </c>
    </row>
    <row r="84" spans="1:16" x14ac:dyDescent="0.3">
      <c r="A84" s="6" t="s">
        <v>288</v>
      </c>
      <c r="B84" s="6" t="s">
        <v>316</v>
      </c>
      <c r="C84" s="6" t="s">
        <v>301</v>
      </c>
      <c r="D84" s="7" t="s">
        <v>317</v>
      </c>
      <c r="E84" s="6" t="s">
        <v>292</v>
      </c>
      <c r="F84" s="6">
        <v>1</v>
      </c>
      <c r="G84" s="6">
        <v>830</v>
      </c>
      <c r="H84" s="6">
        <v>80</v>
      </c>
      <c r="I84" s="6" t="s">
        <v>46</v>
      </c>
      <c r="J84" s="6" t="s">
        <v>45</v>
      </c>
      <c r="K84" s="6" t="s">
        <v>45</v>
      </c>
      <c r="L84" s="6" t="s">
        <v>45</v>
      </c>
      <c r="M84" s="6" t="s">
        <v>57</v>
      </c>
      <c r="N84" s="6" t="s">
        <v>318</v>
      </c>
      <c r="O84" s="6" t="s">
        <v>319</v>
      </c>
      <c r="P84" s="7" t="s">
        <v>320</v>
      </c>
    </row>
    <row r="85" spans="1:16" x14ac:dyDescent="0.3">
      <c r="A85" s="6" t="s">
        <v>288</v>
      </c>
      <c r="B85" s="6" t="s">
        <v>321</v>
      </c>
      <c r="C85" s="6" t="s">
        <v>301</v>
      </c>
      <c r="D85" s="7" t="s">
        <v>322</v>
      </c>
      <c r="E85" s="6" t="s">
        <v>292</v>
      </c>
      <c r="F85" s="6">
        <v>1</v>
      </c>
      <c r="G85" s="6">
        <v>830</v>
      </c>
      <c r="H85" s="6">
        <v>100</v>
      </c>
      <c r="I85" s="6" t="s">
        <v>46</v>
      </c>
      <c r="J85" s="6" t="s">
        <v>45</v>
      </c>
      <c r="K85" s="6" t="s">
        <v>45</v>
      </c>
      <c r="L85" s="6" t="s">
        <v>45</v>
      </c>
      <c r="M85" s="6" t="s">
        <v>57</v>
      </c>
      <c r="N85" s="6" t="s">
        <v>323</v>
      </c>
      <c r="O85" s="6" t="s">
        <v>324</v>
      </c>
      <c r="P85" s="7" t="s">
        <v>325</v>
      </c>
    </row>
    <row r="86" spans="1:16" x14ac:dyDescent="0.3">
      <c r="A86" s="6" t="s">
        <v>288</v>
      </c>
      <c r="B86" s="6" t="s">
        <v>326</v>
      </c>
      <c r="C86" s="6" t="s">
        <v>327</v>
      </c>
      <c r="D86" s="7" t="s">
        <v>302</v>
      </c>
      <c r="E86" s="6" t="s">
        <v>292</v>
      </c>
      <c r="F86" s="6">
        <v>1</v>
      </c>
      <c r="G86" s="6">
        <v>1075</v>
      </c>
      <c r="H86" s="6">
        <v>560</v>
      </c>
      <c r="I86" s="6" t="s">
        <v>44</v>
      </c>
      <c r="J86" s="6" t="s">
        <v>45</v>
      </c>
      <c r="K86" s="6" t="s">
        <v>46</v>
      </c>
      <c r="L86" s="6" t="s">
        <v>45</v>
      </c>
      <c r="M86" s="6" t="s">
        <v>47</v>
      </c>
      <c r="N86" s="6" t="s">
        <v>328</v>
      </c>
      <c r="O86" s="6" t="s">
        <v>329</v>
      </c>
      <c r="P86" s="7" t="s">
        <v>45</v>
      </c>
    </row>
    <row r="87" spans="1:16" x14ac:dyDescent="0.3">
      <c r="A87" s="6" t="s">
        <v>288</v>
      </c>
      <c r="B87" s="6" t="s">
        <v>330</v>
      </c>
      <c r="C87" s="6" t="s">
        <v>327</v>
      </c>
      <c r="D87" s="7" t="s">
        <v>306</v>
      </c>
      <c r="E87" s="6" t="s">
        <v>292</v>
      </c>
      <c r="F87" s="6">
        <v>1</v>
      </c>
      <c r="G87" s="6">
        <v>1075</v>
      </c>
      <c r="H87" s="6">
        <v>505</v>
      </c>
      <c r="I87" s="6" t="s">
        <v>46</v>
      </c>
      <c r="J87" s="6" t="s">
        <v>45</v>
      </c>
      <c r="K87" s="6" t="s">
        <v>45</v>
      </c>
      <c r="L87" s="6" t="s">
        <v>45</v>
      </c>
      <c r="M87" s="6" t="s">
        <v>47</v>
      </c>
      <c r="N87" s="6" t="s">
        <v>331</v>
      </c>
      <c r="O87" s="6" t="s">
        <v>332</v>
      </c>
      <c r="P87" s="7" t="s">
        <v>45</v>
      </c>
    </row>
    <row r="88" spans="1:16" x14ac:dyDescent="0.3">
      <c r="A88" s="6" t="s">
        <v>288</v>
      </c>
      <c r="B88" s="6" t="s">
        <v>333</v>
      </c>
      <c r="C88" s="6" t="s">
        <v>327</v>
      </c>
      <c r="D88" s="7" t="s">
        <v>310</v>
      </c>
      <c r="E88" s="6" t="s">
        <v>292</v>
      </c>
      <c r="F88" s="6">
        <v>1</v>
      </c>
      <c r="G88" s="6">
        <v>2250</v>
      </c>
      <c r="H88" s="6">
        <v>1075</v>
      </c>
      <c r="I88" s="6" t="s">
        <v>45</v>
      </c>
      <c r="J88" s="6" t="s">
        <v>45</v>
      </c>
      <c r="K88" s="6" t="s">
        <v>45</v>
      </c>
      <c r="L88" s="6" t="s">
        <v>45</v>
      </c>
      <c r="M88" s="6" t="s">
        <v>64</v>
      </c>
      <c r="N88" s="6" t="s">
        <v>334</v>
      </c>
      <c r="O88" s="6" t="s">
        <v>334</v>
      </c>
      <c r="P88" s="7" t="s">
        <v>45</v>
      </c>
    </row>
    <row r="89" spans="1:16" x14ac:dyDescent="0.3">
      <c r="A89" s="6" t="s">
        <v>288</v>
      </c>
      <c r="B89" s="6" t="s">
        <v>335</v>
      </c>
      <c r="C89" s="6" t="s">
        <v>327</v>
      </c>
      <c r="D89" s="7" t="s">
        <v>313</v>
      </c>
      <c r="E89" s="6" t="s">
        <v>292</v>
      </c>
      <c r="F89" s="6">
        <v>1</v>
      </c>
      <c r="G89" s="6">
        <v>1075</v>
      </c>
      <c r="H89" s="6">
        <v>475</v>
      </c>
      <c r="I89" s="6" t="s">
        <v>44</v>
      </c>
      <c r="J89" s="6" t="s">
        <v>45</v>
      </c>
      <c r="K89" s="6" t="s">
        <v>45</v>
      </c>
      <c r="L89" s="6" t="s">
        <v>45</v>
      </c>
      <c r="M89" s="6" t="s">
        <v>47</v>
      </c>
      <c r="N89" s="6" t="s">
        <v>336</v>
      </c>
      <c r="O89" s="6" t="s">
        <v>337</v>
      </c>
      <c r="P89" s="7" t="s">
        <v>45</v>
      </c>
    </row>
    <row r="90" spans="1:16" x14ac:dyDescent="0.3">
      <c r="A90" s="6" t="s">
        <v>288</v>
      </c>
      <c r="B90" s="6" t="s">
        <v>338</v>
      </c>
      <c r="C90" s="6" t="s">
        <v>327</v>
      </c>
      <c r="D90" s="7" t="s">
        <v>317</v>
      </c>
      <c r="E90" s="6" t="s">
        <v>292</v>
      </c>
      <c r="F90" s="6">
        <v>1</v>
      </c>
      <c r="G90" s="6">
        <v>1075</v>
      </c>
      <c r="H90" s="6">
        <v>80</v>
      </c>
      <c r="I90" s="6" t="s">
        <v>46</v>
      </c>
      <c r="J90" s="6" t="s">
        <v>45</v>
      </c>
      <c r="K90" s="6" t="s">
        <v>45</v>
      </c>
      <c r="L90" s="6" t="s">
        <v>45</v>
      </c>
      <c r="M90" s="6" t="s">
        <v>57</v>
      </c>
      <c r="N90" s="6" t="s">
        <v>339</v>
      </c>
      <c r="O90" s="6" t="s">
        <v>340</v>
      </c>
      <c r="P90" s="7" t="s">
        <v>341</v>
      </c>
    </row>
    <row r="91" spans="1:16" x14ac:dyDescent="0.3">
      <c r="A91" s="6" t="s">
        <v>288</v>
      </c>
      <c r="B91" s="6" t="s">
        <v>342</v>
      </c>
      <c r="C91" s="6" t="s">
        <v>327</v>
      </c>
      <c r="D91" s="7" t="s">
        <v>322</v>
      </c>
      <c r="E91" s="6" t="s">
        <v>292</v>
      </c>
      <c r="F91" s="6">
        <v>1</v>
      </c>
      <c r="G91" s="6">
        <v>1075</v>
      </c>
      <c r="H91" s="6">
        <v>100</v>
      </c>
      <c r="I91" s="6" t="s">
        <v>46</v>
      </c>
      <c r="J91" s="6" t="s">
        <v>45</v>
      </c>
      <c r="K91" s="6" t="s">
        <v>45</v>
      </c>
      <c r="L91" s="6" t="s">
        <v>45</v>
      </c>
      <c r="M91" s="6" t="s">
        <v>57</v>
      </c>
      <c r="N91" s="6" t="s">
        <v>343</v>
      </c>
      <c r="O91" s="6" t="s">
        <v>344</v>
      </c>
      <c r="P91" s="7" t="s">
        <v>345</v>
      </c>
    </row>
    <row r="92" spans="1:16" x14ac:dyDescent="0.3">
      <c r="A92" s="6" t="s">
        <v>288</v>
      </c>
      <c r="B92" s="6" t="s">
        <v>346</v>
      </c>
      <c r="C92" s="6" t="s">
        <v>301</v>
      </c>
      <c r="D92" s="7" t="s">
        <v>347</v>
      </c>
      <c r="E92" s="6" t="s">
        <v>292</v>
      </c>
      <c r="F92" s="6">
        <v>3</v>
      </c>
      <c r="G92" s="6">
        <v>824</v>
      </c>
      <c r="H92" s="6">
        <v>210</v>
      </c>
      <c r="I92" s="6" t="s">
        <v>44</v>
      </c>
      <c r="J92" s="6" t="s">
        <v>44</v>
      </c>
      <c r="K92" s="6" t="s">
        <v>44</v>
      </c>
      <c r="L92" s="6" t="s">
        <v>44</v>
      </c>
      <c r="M92" s="6" t="s">
        <v>47</v>
      </c>
      <c r="N92" s="6" t="s">
        <v>348</v>
      </c>
      <c r="O92" s="6" t="s">
        <v>349</v>
      </c>
      <c r="P92" s="7" t="s">
        <v>350</v>
      </c>
    </row>
    <row r="93" spans="1:16" x14ac:dyDescent="0.3">
      <c r="A93" s="6" t="s">
        <v>288</v>
      </c>
      <c r="B93" s="6" t="s">
        <v>351</v>
      </c>
      <c r="C93" s="6" t="s">
        <v>301</v>
      </c>
      <c r="D93" s="7" t="s">
        <v>352</v>
      </c>
      <c r="E93" s="6" t="s">
        <v>292</v>
      </c>
      <c r="F93" s="6">
        <v>6</v>
      </c>
      <c r="G93" s="6">
        <v>450</v>
      </c>
      <c r="H93" s="6">
        <v>155</v>
      </c>
      <c r="I93" s="6" t="s">
        <v>46</v>
      </c>
      <c r="J93" s="6" t="s">
        <v>45</v>
      </c>
      <c r="K93" s="6" t="s">
        <v>46</v>
      </c>
      <c r="L93" s="6" t="s">
        <v>45</v>
      </c>
      <c r="M93" s="6" t="s">
        <v>47</v>
      </c>
      <c r="N93" s="6" t="s">
        <v>353</v>
      </c>
      <c r="O93" s="6" t="s">
        <v>354</v>
      </c>
      <c r="P93" s="7" t="s">
        <v>45</v>
      </c>
    </row>
    <row r="94" spans="1:16" x14ac:dyDescent="0.3">
      <c r="A94" s="6" t="s">
        <v>288</v>
      </c>
      <c r="B94" s="6" t="s">
        <v>355</v>
      </c>
      <c r="C94" s="6" t="s">
        <v>301</v>
      </c>
      <c r="D94" s="7" t="s">
        <v>356</v>
      </c>
      <c r="E94" s="6" t="s">
        <v>292</v>
      </c>
      <c r="F94" s="6">
        <v>3</v>
      </c>
      <c r="G94" s="6">
        <v>803</v>
      </c>
      <c r="H94" s="6">
        <v>450</v>
      </c>
      <c r="I94" s="6" t="s">
        <v>46</v>
      </c>
      <c r="J94" s="6" t="s">
        <v>45</v>
      </c>
      <c r="K94" s="6" t="s">
        <v>46</v>
      </c>
      <c r="L94" s="6" t="s">
        <v>46</v>
      </c>
      <c r="M94" s="6" t="s">
        <v>47</v>
      </c>
      <c r="N94" s="6" t="s">
        <v>357</v>
      </c>
      <c r="O94" s="6" t="s">
        <v>358</v>
      </c>
      <c r="P94" s="7" t="s">
        <v>45</v>
      </c>
    </row>
    <row r="95" spans="1:16" x14ac:dyDescent="0.3">
      <c r="A95" s="6" t="s">
        <v>288</v>
      </c>
      <c r="B95" s="6" t="s">
        <v>359</v>
      </c>
      <c r="C95" s="6" t="s">
        <v>301</v>
      </c>
      <c r="D95" s="7" t="s">
        <v>360</v>
      </c>
      <c r="E95" s="6" t="s">
        <v>292</v>
      </c>
      <c r="F95" s="6">
        <v>6</v>
      </c>
      <c r="G95" s="6">
        <v>773</v>
      </c>
      <c r="H95" s="6">
        <v>155</v>
      </c>
      <c r="I95" s="6" t="s">
        <v>46</v>
      </c>
      <c r="J95" s="6" t="s">
        <v>45</v>
      </c>
      <c r="K95" s="6" t="s">
        <v>45</v>
      </c>
      <c r="L95" s="6" t="s">
        <v>45</v>
      </c>
      <c r="M95" s="6" t="s">
        <v>47</v>
      </c>
      <c r="N95" s="6" t="s">
        <v>361</v>
      </c>
      <c r="O95" s="6" t="s">
        <v>362</v>
      </c>
      <c r="P95" s="7" t="s">
        <v>45</v>
      </c>
    </row>
    <row r="96" spans="1:16" x14ac:dyDescent="0.3">
      <c r="A96" s="6" t="s">
        <v>288</v>
      </c>
      <c r="B96" s="6" t="s">
        <v>363</v>
      </c>
      <c r="C96" s="6" t="s">
        <v>301</v>
      </c>
      <c r="D96" s="7" t="s">
        <v>364</v>
      </c>
      <c r="E96" s="6" t="s">
        <v>292</v>
      </c>
      <c r="F96" s="6">
        <v>3</v>
      </c>
      <c r="G96" s="6">
        <v>803</v>
      </c>
      <c r="H96" s="6">
        <v>40</v>
      </c>
      <c r="I96" s="6" t="s">
        <v>46</v>
      </c>
      <c r="J96" s="6" t="s">
        <v>45</v>
      </c>
      <c r="K96" s="6" t="s">
        <v>46</v>
      </c>
      <c r="L96" s="6" t="s">
        <v>46</v>
      </c>
      <c r="M96" s="6" t="s">
        <v>57</v>
      </c>
      <c r="N96" s="6" t="s">
        <v>365</v>
      </c>
      <c r="O96" s="6" t="s">
        <v>366</v>
      </c>
      <c r="P96" s="7" t="s">
        <v>367</v>
      </c>
    </row>
    <row r="97" spans="1:16" x14ac:dyDescent="0.3">
      <c r="A97" s="6" t="s">
        <v>288</v>
      </c>
      <c r="B97" s="6" t="s">
        <v>368</v>
      </c>
      <c r="C97" s="6" t="s">
        <v>369</v>
      </c>
      <c r="D97" s="7" t="s">
        <v>370</v>
      </c>
      <c r="E97" s="6" t="s">
        <v>292</v>
      </c>
      <c r="F97" s="6">
        <v>1</v>
      </c>
      <c r="G97" s="6">
        <v>1950</v>
      </c>
      <c r="H97" s="6">
        <v>92</v>
      </c>
      <c r="I97" s="6" t="s">
        <v>46</v>
      </c>
      <c r="J97" s="6" t="s">
        <v>46</v>
      </c>
      <c r="K97" s="6" t="s">
        <v>46</v>
      </c>
      <c r="L97" s="6" t="s">
        <v>46</v>
      </c>
      <c r="M97" s="6" t="s">
        <v>57</v>
      </c>
      <c r="N97" s="6" t="s">
        <v>371</v>
      </c>
      <c r="O97" s="6" t="s">
        <v>372</v>
      </c>
      <c r="P97" s="7" t="s">
        <v>373</v>
      </c>
    </row>
    <row r="98" spans="1:16" x14ac:dyDescent="0.3">
      <c r="A98" s="6" t="s">
        <v>288</v>
      </c>
      <c r="B98" s="6" t="s">
        <v>374</v>
      </c>
      <c r="C98" s="6" t="s">
        <v>369</v>
      </c>
      <c r="D98" s="7" t="s">
        <v>375</v>
      </c>
      <c r="E98" s="6" t="s">
        <v>292</v>
      </c>
      <c r="F98" s="6">
        <v>1</v>
      </c>
      <c r="G98" s="6">
        <v>1950</v>
      </c>
      <c r="H98" s="6">
        <v>80</v>
      </c>
      <c r="I98" s="6" t="s">
        <v>46</v>
      </c>
      <c r="J98" s="6" t="s">
        <v>46</v>
      </c>
      <c r="K98" s="6" t="s">
        <v>46</v>
      </c>
      <c r="L98" s="6" t="s">
        <v>46</v>
      </c>
      <c r="M98" s="6" t="s">
        <v>57</v>
      </c>
      <c r="N98" s="6" t="s">
        <v>376</v>
      </c>
      <c r="O98" s="6" t="s">
        <v>377</v>
      </c>
      <c r="P98" s="7" t="s">
        <v>378</v>
      </c>
    </row>
    <row r="99" spans="1:16" x14ac:dyDescent="0.3">
      <c r="A99" s="6" t="s">
        <v>288</v>
      </c>
      <c r="B99" s="6" t="s">
        <v>379</v>
      </c>
      <c r="C99" s="6" t="s">
        <v>369</v>
      </c>
      <c r="D99" s="7" t="s">
        <v>380</v>
      </c>
      <c r="E99" s="6" t="s">
        <v>292</v>
      </c>
      <c r="F99" s="6">
        <v>3</v>
      </c>
      <c r="G99" s="6">
        <v>480</v>
      </c>
      <c r="H99" s="6">
        <v>80</v>
      </c>
      <c r="I99" s="6" t="s">
        <v>46</v>
      </c>
      <c r="J99" s="6" t="s">
        <v>46</v>
      </c>
      <c r="K99" s="6" t="s">
        <v>46</v>
      </c>
      <c r="L99" s="6" t="s">
        <v>46</v>
      </c>
      <c r="M99" s="6" t="s">
        <v>57</v>
      </c>
      <c r="N99" s="6" t="s">
        <v>381</v>
      </c>
      <c r="O99" s="6" t="s">
        <v>382</v>
      </c>
      <c r="P99" s="7" t="s">
        <v>383</v>
      </c>
    </row>
    <row r="100" spans="1:16" ht="57.6" x14ac:dyDescent="0.3">
      <c r="A100" s="6" t="s">
        <v>288</v>
      </c>
      <c r="B100" s="6" t="s">
        <v>384</v>
      </c>
      <c r="C100" s="6" t="s">
        <v>385</v>
      </c>
      <c r="D100" s="7" t="s">
        <v>386</v>
      </c>
      <c r="E100" s="6" t="s">
        <v>292</v>
      </c>
      <c r="F100" s="6">
        <v>2</v>
      </c>
      <c r="G100" s="6">
        <v>2195</v>
      </c>
      <c r="H100" s="6">
        <v>975</v>
      </c>
      <c r="I100" s="6" t="s">
        <v>44</v>
      </c>
      <c r="J100" s="6" t="s">
        <v>44</v>
      </c>
      <c r="K100" s="6" t="s">
        <v>44</v>
      </c>
      <c r="L100" s="6" t="s">
        <v>44</v>
      </c>
      <c r="M100" s="6" t="s">
        <v>47</v>
      </c>
      <c r="N100" s="6" t="s">
        <v>387</v>
      </c>
      <c r="O100" s="6" t="s">
        <v>388</v>
      </c>
      <c r="P100" s="7" t="s">
        <v>389</v>
      </c>
    </row>
    <row r="101" spans="1:16" x14ac:dyDescent="0.3">
      <c r="A101" s="6" t="s">
        <v>288</v>
      </c>
      <c r="B101" s="6" t="s">
        <v>390</v>
      </c>
      <c r="C101" s="6" t="s">
        <v>290</v>
      </c>
      <c r="D101" s="7" t="s">
        <v>391</v>
      </c>
      <c r="E101" s="6" t="s">
        <v>292</v>
      </c>
      <c r="F101" s="6">
        <v>1</v>
      </c>
      <c r="G101" s="6">
        <v>1950</v>
      </c>
      <c r="H101" s="6">
        <v>120</v>
      </c>
      <c r="I101" s="6" t="s">
        <v>44</v>
      </c>
      <c r="J101" s="6" t="s">
        <v>46</v>
      </c>
      <c r="K101" s="6" t="s">
        <v>44</v>
      </c>
      <c r="L101" s="6" t="s">
        <v>44</v>
      </c>
      <c r="M101" s="6" t="s">
        <v>47</v>
      </c>
      <c r="N101" s="6" t="s">
        <v>392</v>
      </c>
      <c r="O101" s="6" t="s">
        <v>393</v>
      </c>
      <c r="P101" s="7" t="s">
        <v>45</v>
      </c>
    </row>
    <row r="102" spans="1:16" ht="28.8" x14ac:dyDescent="0.3">
      <c r="A102" s="6" t="s">
        <v>394</v>
      </c>
      <c r="B102" s="6" t="s">
        <v>395</v>
      </c>
      <c r="C102" s="6" t="s">
        <v>396</v>
      </c>
      <c r="D102" s="7" t="s">
        <v>42</v>
      </c>
      <c r="E102" s="6" t="s">
        <v>397</v>
      </c>
      <c r="F102" s="6">
        <v>2</v>
      </c>
      <c r="G102" s="6">
        <v>470</v>
      </c>
      <c r="H102" s="6">
        <v>450</v>
      </c>
      <c r="I102" s="6" t="s">
        <v>44</v>
      </c>
      <c r="J102" s="6" t="s">
        <v>46</v>
      </c>
      <c r="K102" s="6" t="s">
        <v>46</v>
      </c>
      <c r="L102" s="6" t="s">
        <v>46</v>
      </c>
      <c r="M102" s="6" t="s">
        <v>47</v>
      </c>
      <c r="N102" s="6" t="s">
        <v>398</v>
      </c>
      <c r="O102" s="6" t="s">
        <v>399</v>
      </c>
      <c r="P102" s="7" t="s">
        <v>400</v>
      </c>
    </row>
    <row r="103" spans="1:16" ht="28.8" x14ac:dyDescent="0.3">
      <c r="A103" s="6" t="s">
        <v>394</v>
      </c>
      <c r="B103" s="6" t="s">
        <v>401</v>
      </c>
      <c r="C103" s="6" t="s">
        <v>396</v>
      </c>
      <c r="D103" s="7" t="s">
        <v>52</v>
      </c>
      <c r="E103" s="6" t="s">
        <v>397</v>
      </c>
      <c r="F103" s="6">
        <v>1</v>
      </c>
      <c r="G103" s="6">
        <v>490</v>
      </c>
      <c r="H103" s="6">
        <v>450</v>
      </c>
      <c r="I103" s="6" t="s">
        <v>44</v>
      </c>
      <c r="J103" s="6" t="s">
        <v>46</v>
      </c>
      <c r="K103" s="6" t="s">
        <v>46</v>
      </c>
      <c r="L103" s="6" t="s">
        <v>46</v>
      </c>
      <c r="M103" s="6" t="s">
        <v>47</v>
      </c>
      <c r="N103" s="6" t="s">
        <v>402</v>
      </c>
      <c r="O103" s="6" t="s">
        <v>403</v>
      </c>
      <c r="P103" s="7" t="s">
        <v>400</v>
      </c>
    </row>
    <row r="104" spans="1:16" ht="57.6" x14ac:dyDescent="0.3">
      <c r="A104" s="6" t="s">
        <v>394</v>
      </c>
      <c r="B104" s="6" t="s">
        <v>404</v>
      </c>
      <c r="C104" s="6" t="s">
        <v>396</v>
      </c>
      <c r="D104" s="7" t="s">
        <v>405</v>
      </c>
      <c r="E104" s="6" t="s">
        <v>397</v>
      </c>
      <c r="F104" s="6">
        <v>1</v>
      </c>
      <c r="G104" s="6">
        <v>490</v>
      </c>
      <c r="H104" s="6">
        <v>405</v>
      </c>
      <c r="I104" s="6" t="s">
        <v>44</v>
      </c>
      <c r="J104" s="6" t="s">
        <v>46</v>
      </c>
      <c r="K104" s="6" t="s">
        <v>46</v>
      </c>
      <c r="L104" s="6" t="s">
        <v>46</v>
      </c>
      <c r="M104" s="6" t="s">
        <v>47</v>
      </c>
      <c r="N104" s="6" t="s">
        <v>406</v>
      </c>
      <c r="O104" s="6" t="s">
        <v>407</v>
      </c>
      <c r="P104" s="7" t="s">
        <v>408</v>
      </c>
    </row>
    <row r="105" spans="1:16" ht="57.6" x14ac:dyDescent="0.3">
      <c r="A105" s="6" t="s">
        <v>394</v>
      </c>
      <c r="B105" s="6" t="s">
        <v>409</v>
      </c>
      <c r="C105" s="6" t="s">
        <v>396</v>
      </c>
      <c r="D105" s="7" t="s">
        <v>410</v>
      </c>
      <c r="E105" s="6" t="s">
        <v>397</v>
      </c>
      <c r="F105" s="6">
        <v>2</v>
      </c>
      <c r="G105" s="6">
        <v>195</v>
      </c>
      <c r="H105" s="6">
        <v>80</v>
      </c>
      <c r="I105" s="6" t="s">
        <v>46</v>
      </c>
      <c r="J105" s="6" t="s">
        <v>46</v>
      </c>
      <c r="K105" s="6" t="s">
        <v>46</v>
      </c>
      <c r="L105" s="6" t="s">
        <v>46</v>
      </c>
      <c r="M105" s="6" t="s">
        <v>57</v>
      </c>
      <c r="N105" s="6" t="s">
        <v>411</v>
      </c>
      <c r="O105" s="6" t="s">
        <v>412</v>
      </c>
      <c r="P105" s="7" t="s">
        <v>413</v>
      </c>
    </row>
    <row r="106" spans="1:16" ht="57.6" x14ac:dyDescent="0.3">
      <c r="A106" s="6" t="s">
        <v>394</v>
      </c>
      <c r="B106" s="6" t="s">
        <v>414</v>
      </c>
      <c r="C106" s="6" t="s">
        <v>396</v>
      </c>
      <c r="D106" s="7" t="s">
        <v>415</v>
      </c>
      <c r="E106" s="6" t="s">
        <v>397</v>
      </c>
      <c r="F106" s="6">
        <v>1</v>
      </c>
      <c r="G106" s="6">
        <v>490</v>
      </c>
      <c r="H106" s="6">
        <v>80</v>
      </c>
      <c r="I106" s="6" t="s">
        <v>46</v>
      </c>
      <c r="J106" s="6" t="s">
        <v>46</v>
      </c>
      <c r="K106" s="6" t="s">
        <v>46</v>
      </c>
      <c r="L106" s="6" t="s">
        <v>46</v>
      </c>
      <c r="M106" s="6" t="s">
        <v>57</v>
      </c>
      <c r="N106" s="6" t="s">
        <v>416</v>
      </c>
      <c r="O106" s="6" t="s">
        <v>417</v>
      </c>
      <c r="P106" s="7" t="s">
        <v>418</v>
      </c>
    </row>
    <row r="107" spans="1:16" ht="100.8" x14ac:dyDescent="0.3">
      <c r="A107" s="6" t="s">
        <v>394</v>
      </c>
      <c r="B107" s="6" t="s">
        <v>419</v>
      </c>
      <c r="C107" s="6" t="s">
        <v>396</v>
      </c>
      <c r="D107" s="7" t="s">
        <v>420</v>
      </c>
      <c r="E107" s="6" t="s">
        <v>397</v>
      </c>
      <c r="F107" s="6">
        <v>1</v>
      </c>
      <c r="G107" s="6">
        <v>299</v>
      </c>
      <c r="H107" s="6">
        <v>517</v>
      </c>
      <c r="I107" s="6" t="s">
        <v>44</v>
      </c>
      <c r="J107" s="6" t="s">
        <v>44</v>
      </c>
      <c r="K107" s="6" t="s">
        <v>44</v>
      </c>
      <c r="L107" s="6" t="s">
        <v>44</v>
      </c>
      <c r="M107" s="6" t="s">
        <v>47</v>
      </c>
      <c r="N107" s="6" t="s">
        <v>421</v>
      </c>
      <c r="O107" s="6" t="s">
        <v>422</v>
      </c>
      <c r="P107" s="7" t="s">
        <v>423</v>
      </c>
    </row>
    <row r="108" spans="1:16" ht="43.2" x14ac:dyDescent="0.3">
      <c r="A108" s="6" t="s">
        <v>394</v>
      </c>
      <c r="B108" s="6" t="s">
        <v>424</v>
      </c>
      <c r="C108" s="6" t="s">
        <v>425</v>
      </c>
      <c r="D108" s="7" t="s">
        <v>426</v>
      </c>
      <c r="E108" s="6" t="s">
        <v>397</v>
      </c>
      <c r="F108" s="6">
        <v>2</v>
      </c>
      <c r="G108" s="6">
        <v>500</v>
      </c>
      <c r="H108" s="6">
        <v>105</v>
      </c>
      <c r="I108" s="6" t="s">
        <v>44</v>
      </c>
      <c r="J108" s="6" t="s">
        <v>46</v>
      </c>
      <c r="K108" s="6" t="s">
        <v>46</v>
      </c>
      <c r="L108" s="6" t="s">
        <v>46</v>
      </c>
      <c r="M108" s="6" t="s">
        <v>47</v>
      </c>
      <c r="N108" s="6" t="s">
        <v>427</v>
      </c>
      <c r="O108" s="6" t="s">
        <v>428</v>
      </c>
      <c r="P108" s="7" t="s">
        <v>429</v>
      </c>
    </row>
    <row r="109" spans="1:16" ht="28.8" x14ac:dyDescent="0.3">
      <c r="A109" s="6" t="s">
        <v>394</v>
      </c>
      <c r="B109" s="6" t="s">
        <v>430</v>
      </c>
      <c r="C109" s="6" t="s">
        <v>425</v>
      </c>
      <c r="D109" s="7" t="s">
        <v>431</v>
      </c>
      <c r="E109" s="6" t="s">
        <v>397</v>
      </c>
      <c r="F109" s="6">
        <v>2</v>
      </c>
      <c r="G109" s="6">
        <v>420</v>
      </c>
      <c r="H109" s="6">
        <v>105</v>
      </c>
      <c r="I109" s="6" t="s">
        <v>44</v>
      </c>
      <c r="J109" s="6" t="s">
        <v>46</v>
      </c>
      <c r="K109" s="6" t="s">
        <v>46</v>
      </c>
      <c r="L109" s="6" t="s">
        <v>46</v>
      </c>
      <c r="M109" s="6" t="s">
        <v>47</v>
      </c>
      <c r="N109" s="6" t="s">
        <v>432</v>
      </c>
      <c r="O109" s="6" t="s">
        <v>433</v>
      </c>
      <c r="P109" s="7" t="s">
        <v>400</v>
      </c>
    </row>
    <row r="110" spans="1:16" ht="43.2" x14ac:dyDescent="0.3">
      <c r="A110" s="6" t="s">
        <v>394</v>
      </c>
      <c r="B110" s="6" t="s">
        <v>434</v>
      </c>
      <c r="C110" s="6" t="s">
        <v>425</v>
      </c>
      <c r="D110" s="7" t="s">
        <v>243</v>
      </c>
      <c r="E110" s="6" t="s">
        <v>397</v>
      </c>
      <c r="F110" s="6">
        <v>1</v>
      </c>
      <c r="G110" s="6">
        <v>470</v>
      </c>
      <c r="H110" s="6">
        <v>105</v>
      </c>
      <c r="I110" s="6" t="s">
        <v>44</v>
      </c>
      <c r="J110" s="6" t="s">
        <v>46</v>
      </c>
      <c r="K110" s="6" t="s">
        <v>46</v>
      </c>
      <c r="L110" s="6" t="s">
        <v>46</v>
      </c>
      <c r="M110" s="6" t="s">
        <v>47</v>
      </c>
      <c r="N110" s="6" t="s">
        <v>435</v>
      </c>
      <c r="O110" s="6" t="s">
        <v>436</v>
      </c>
      <c r="P110" s="7" t="s">
        <v>437</v>
      </c>
    </row>
    <row r="111" spans="1:16" ht="43.2" x14ac:dyDescent="0.3">
      <c r="A111" s="6" t="s">
        <v>394</v>
      </c>
      <c r="B111" s="6" t="s">
        <v>438</v>
      </c>
      <c r="C111" s="6" t="s">
        <v>425</v>
      </c>
      <c r="D111" s="7" t="s">
        <v>439</v>
      </c>
      <c r="E111" s="6" t="s">
        <v>397</v>
      </c>
      <c r="F111" s="6">
        <v>2</v>
      </c>
      <c r="G111" s="6">
        <v>290</v>
      </c>
      <c r="H111" s="6">
        <v>100</v>
      </c>
      <c r="I111" s="6" t="s">
        <v>44</v>
      </c>
      <c r="J111" s="6" t="s">
        <v>46</v>
      </c>
      <c r="K111" s="6" t="s">
        <v>46</v>
      </c>
      <c r="L111" s="6" t="s">
        <v>46</v>
      </c>
      <c r="M111" s="6" t="s">
        <v>57</v>
      </c>
      <c r="N111" s="6" t="s">
        <v>440</v>
      </c>
      <c r="O111" s="6" t="s">
        <v>441</v>
      </c>
      <c r="P111" s="7" t="s">
        <v>442</v>
      </c>
    </row>
    <row r="112" spans="1:16" ht="43.2" x14ac:dyDescent="0.3">
      <c r="A112" s="6" t="s">
        <v>394</v>
      </c>
      <c r="B112" s="6" t="s">
        <v>443</v>
      </c>
      <c r="C112" s="6" t="s">
        <v>425</v>
      </c>
      <c r="D112" s="7" t="s">
        <v>444</v>
      </c>
      <c r="E112" s="6" t="s">
        <v>397</v>
      </c>
      <c r="F112" s="6">
        <v>1</v>
      </c>
      <c r="G112" s="6">
        <v>115</v>
      </c>
      <c r="H112" s="6">
        <v>100</v>
      </c>
      <c r="I112" s="6" t="s">
        <v>44</v>
      </c>
      <c r="J112" s="6" t="s">
        <v>46</v>
      </c>
      <c r="K112" s="6" t="s">
        <v>46</v>
      </c>
      <c r="L112" s="6" t="s">
        <v>46</v>
      </c>
      <c r="M112" s="6" t="s">
        <v>57</v>
      </c>
      <c r="N112" s="6" t="s">
        <v>445</v>
      </c>
      <c r="O112" s="6" t="s">
        <v>446</v>
      </c>
      <c r="P112" s="7" t="s">
        <v>447</v>
      </c>
    </row>
    <row r="113" spans="1:16" ht="43.2" x14ac:dyDescent="0.3">
      <c r="A113" s="6" t="s">
        <v>394</v>
      </c>
      <c r="B113" s="6" t="s">
        <v>448</v>
      </c>
      <c r="C113" s="6" t="s">
        <v>425</v>
      </c>
      <c r="D113" s="7" t="s">
        <v>449</v>
      </c>
      <c r="E113" s="6" t="s">
        <v>397</v>
      </c>
      <c r="F113" s="6">
        <v>1</v>
      </c>
      <c r="G113" s="6">
        <v>500</v>
      </c>
      <c r="H113" s="6">
        <v>320</v>
      </c>
      <c r="I113" s="6" t="s">
        <v>44</v>
      </c>
      <c r="J113" s="6" t="s">
        <v>44</v>
      </c>
      <c r="K113" s="6" t="s">
        <v>44</v>
      </c>
      <c r="L113" s="6" t="s">
        <v>44</v>
      </c>
      <c r="M113" s="6" t="s">
        <v>47</v>
      </c>
      <c r="N113" s="6" t="s">
        <v>450</v>
      </c>
      <c r="O113" s="6" t="s">
        <v>451</v>
      </c>
      <c r="P113" s="7" t="s">
        <v>452</v>
      </c>
    </row>
    <row r="114" spans="1:16" ht="43.2" x14ac:dyDescent="0.3">
      <c r="A114" s="6" t="s">
        <v>394</v>
      </c>
      <c r="B114" s="6" t="s">
        <v>453</v>
      </c>
      <c r="C114" s="6" t="s">
        <v>425</v>
      </c>
      <c r="D114" s="7" t="s">
        <v>454</v>
      </c>
      <c r="E114" s="6" t="s">
        <v>455</v>
      </c>
      <c r="F114" s="6">
        <v>1</v>
      </c>
      <c r="G114" s="6">
        <v>496</v>
      </c>
      <c r="H114" s="6">
        <v>446</v>
      </c>
      <c r="I114" s="6" t="s">
        <v>46</v>
      </c>
      <c r="J114" s="6" t="s">
        <v>46</v>
      </c>
      <c r="K114" s="6" t="s">
        <v>46</v>
      </c>
      <c r="L114" s="6" t="s">
        <v>46</v>
      </c>
      <c r="M114" s="6" t="s">
        <v>47</v>
      </c>
      <c r="N114" s="6" t="s">
        <v>456</v>
      </c>
      <c r="O114" s="6" t="s">
        <v>457</v>
      </c>
      <c r="P114" s="7" t="s">
        <v>458</v>
      </c>
    </row>
  </sheetData>
  <autoFilter ref="A6:P114"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15"/>
  <sheetViews>
    <sheetView workbookViewId="0"/>
  </sheetViews>
  <sheetFormatPr baseColWidth="10" defaultColWidth="8.88671875" defaultRowHeight="14.4" x14ac:dyDescent="0.3"/>
  <cols>
    <col min="1" max="1" width="12" customWidth="1"/>
    <col min="2" max="2" width="8" customWidth="1"/>
    <col min="3" max="3" width="11" customWidth="1"/>
    <col min="4" max="4" width="120" customWidth="1"/>
  </cols>
  <sheetData>
    <row r="2" spans="1:4" ht="18" x14ac:dyDescent="0.35">
      <c r="A2" s="1" t="s">
        <v>459</v>
      </c>
    </row>
    <row r="3" spans="1:4" x14ac:dyDescent="0.3">
      <c r="A3" s="2" t="s">
        <v>460</v>
      </c>
    </row>
    <row r="6" spans="1:4" x14ac:dyDescent="0.3">
      <c r="A6" s="3" t="s">
        <v>27</v>
      </c>
      <c r="B6" s="3" t="s">
        <v>461</v>
      </c>
      <c r="C6" s="3" t="s">
        <v>462</v>
      </c>
      <c r="D6" s="3" t="s">
        <v>463</v>
      </c>
    </row>
    <row r="7" spans="1:4" x14ac:dyDescent="0.3">
      <c r="A7" t="s">
        <v>464</v>
      </c>
      <c r="B7">
        <v>1</v>
      </c>
      <c r="C7" s="8">
        <v>0.96899999999999997</v>
      </c>
      <c r="D7" s="7" t="s">
        <v>465</v>
      </c>
    </row>
    <row r="8" spans="1:4" ht="28.8" x14ac:dyDescent="0.3">
      <c r="A8" t="s">
        <v>464</v>
      </c>
      <c r="B8">
        <v>2</v>
      </c>
      <c r="C8" s="8">
        <v>0.89600000000000002</v>
      </c>
      <c r="D8" s="7" t="s">
        <v>466</v>
      </c>
    </row>
    <row r="9" spans="1:4" x14ac:dyDescent="0.3">
      <c r="A9" t="s">
        <v>464</v>
      </c>
      <c r="B9">
        <v>3</v>
      </c>
      <c r="C9" s="8">
        <v>0.89500000000000002</v>
      </c>
      <c r="D9" s="7" t="s">
        <v>467</v>
      </c>
    </row>
    <row r="10" spans="1:4" x14ac:dyDescent="0.3">
      <c r="A10" t="s">
        <v>464</v>
      </c>
      <c r="B10">
        <v>4</v>
      </c>
      <c r="C10" s="8">
        <v>0.89200000000000002</v>
      </c>
      <c r="D10" s="7" t="s">
        <v>468</v>
      </c>
    </row>
    <row r="11" spans="1:4" x14ac:dyDescent="0.3">
      <c r="A11" t="s">
        <v>464</v>
      </c>
      <c r="B11">
        <v>5</v>
      </c>
      <c r="C11" s="8">
        <v>0.89100000000000001</v>
      </c>
      <c r="D11" s="7" t="s">
        <v>469</v>
      </c>
    </row>
    <row r="12" spans="1:4" ht="43.2" x14ac:dyDescent="0.3">
      <c r="A12" t="s">
        <v>464</v>
      </c>
      <c r="B12">
        <v>6</v>
      </c>
      <c r="C12" s="8">
        <v>0.91300000000000003</v>
      </c>
      <c r="D12" s="7" t="s">
        <v>470</v>
      </c>
    </row>
    <row r="13" spans="1:4" ht="43.2" x14ac:dyDescent="0.3">
      <c r="A13" t="s">
        <v>464</v>
      </c>
      <c r="B13">
        <v>7</v>
      </c>
      <c r="C13" s="8">
        <v>0.91100000000000003</v>
      </c>
      <c r="D13" s="7" t="s">
        <v>471</v>
      </c>
    </row>
    <row r="14" spans="1:4" ht="57.6" x14ac:dyDescent="0.3">
      <c r="A14" t="s">
        <v>464</v>
      </c>
      <c r="B14">
        <v>8</v>
      </c>
      <c r="C14" s="8">
        <v>0.68</v>
      </c>
      <c r="D14" s="7" t="s">
        <v>472</v>
      </c>
    </row>
    <row r="15" spans="1:4" x14ac:dyDescent="0.3">
      <c r="A15" t="s">
        <v>473</v>
      </c>
      <c r="B15">
        <v>1</v>
      </c>
      <c r="C15" s="8">
        <v>0.63900000000000001</v>
      </c>
      <c r="D15" s="7" t="s">
        <v>474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15"/>
  <sheetViews>
    <sheetView workbookViewId="0"/>
  </sheetViews>
  <sheetFormatPr baseColWidth="10" defaultColWidth="8.88671875" defaultRowHeight="14.4" x14ac:dyDescent="0.3"/>
  <cols>
    <col min="1" max="1" width="18" customWidth="1"/>
    <col min="2" max="2" width="22" customWidth="1"/>
    <col min="3" max="3" width="14" customWidth="1"/>
    <col min="4" max="4" width="10" customWidth="1"/>
  </cols>
  <sheetData>
    <row r="2" spans="1:4" ht="18" x14ac:dyDescent="0.35">
      <c r="A2" s="1" t="s">
        <v>475</v>
      </c>
    </row>
    <row r="3" spans="1:4" x14ac:dyDescent="0.3">
      <c r="A3" s="2" t="s">
        <v>476</v>
      </c>
    </row>
    <row r="6" spans="1:4" x14ac:dyDescent="0.3">
      <c r="A6" s="3" t="s">
        <v>477</v>
      </c>
      <c r="B6" s="3" t="s">
        <v>23</v>
      </c>
      <c r="C6" s="3" t="s">
        <v>478</v>
      </c>
      <c r="D6" s="3" t="s">
        <v>479</v>
      </c>
    </row>
    <row r="7" spans="1:4" x14ac:dyDescent="0.3">
      <c r="A7" t="s">
        <v>480</v>
      </c>
      <c r="B7" t="s">
        <v>39</v>
      </c>
      <c r="C7">
        <v>58.947000000000003</v>
      </c>
      <c r="D7">
        <v>118</v>
      </c>
    </row>
    <row r="8" spans="1:4" x14ac:dyDescent="0.3">
      <c r="A8" t="s">
        <v>480</v>
      </c>
      <c r="B8" t="s">
        <v>288</v>
      </c>
      <c r="C8">
        <v>31.643999999999998</v>
      </c>
      <c r="D8">
        <v>30</v>
      </c>
    </row>
    <row r="9" spans="1:4" x14ac:dyDescent="0.3">
      <c r="A9" t="s">
        <v>480</v>
      </c>
      <c r="B9" t="s">
        <v>394</v>
      </c>
      <c r="C9">
        <v>8.1969999999999992</v>
      </c>
      <c r="D9">
        <v>20</v>
      </c>
    </row>
    <row r="10" spans="1:4" x14ac:dyDescent="0.3">
      <c r="A10" s="4" t="s">
        <v>480</v>
      </c>
      <c r="B10" s="4" t="s">
        <v>481</v>
      </c>
      <c r="C10" s="4">
        <v>98.787999999999997</v>
      </c>
      <c r="D10" s="4">
        <v>168</v>
      </c>
    </row>
    <row r="12" spans="1:4" x14ac:dyDescent="0.3">
      <c r="A12" t="s">
        <v>482</v>
      </c>
      <c r="B12" t="s">
        <v>39</v>
      </c>
      <c r="C12">
        <v>39.207999999999998</v>
      </c>
      <c r="D12">
        <v>94</v>
      </c>
    </row>
    <row r="13" spans="1:4" x14ac:dyDescent="0.3">
      <c r="A13" t="s">
        <v>482</v>
      </c>
      <c r="B13" t="s">
        <v>288</v>
      </c>
      <c r="C13">
        <v>39.045000000000002</v>
      </c>
      <c r="D13">
        <v>70</v>
      </c>
    </row>
    <row r="14" spans="1:4" x14ac:dyDescent="0.3">
      <c r="A14" t="s">
        <v>482</v>
      </c>
      <c r="B14" t="s">
        <v>394</v>
      </c>
      <c r="C14">
        <v>14.827999999999999</v>
      </c>
      <c r="D14">
        <v>54</v>
      </c>
    </row>
    <row r="15" spans="1:4" x14ac:dyDescent="0.3">
      <c r="A15" s="4" t="s">
        <v>482</v>
      </c>
      <c r="B15" s="4" t="s">
        <v>483</v>
      </c>
      <c r="C15" s="4">
        <v>93.081000000000003</v>
      </c>
      <c r="D15" s="4">
        <v>218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H68"/>
  <sheetViews>
    <sheetView workbookViewId="0"/>
  </sheetViews>
  <sheetFormatPr baseColWidth="10" defaultColWidth="8.88671875" defaultRowHeight="14.4" x14ac:dyDescent="0.3"/>
  <cols>
    <col min="1" max="1" width="20" customWidth="1"/>
    <col min="2" max="2" width="46" customWidth="1"/>
    <col min="3" max="3" width="20" customWidth="1"/>
    <col min="4" max="4" width="7" customWidth="1"/>
    <col min="5" max="5" width="9" customWidth="1"/>
    <col min="6" max="6" width="14" customWidth="1"/>
    <col min="7" max="7" width="15" customWidth="1"/>
    <col min="8" max="8" width="80" customWidth="1"/>
  </cols>
  <sheetData>
    <row r="2" spans="1:8" ht="18" x14ac:dyDescent="0.35">
      <c r="A2" s="1" t="s">
        <v>484</v>
      </c>
    </row>
    <row r="3" spans="1:8" x14ac:dyDescent="0.3">
      <c r="A3" s="2" t="s">
        <v>485</v>
      </c>
    </row>
    <row r="9" spans="1:8" ht="28.8" x14ac:dyDescent="0.3">
      <c r="A9" s="3" t="s">
        <v>486</v>
      </c>
      <c r="B9" s="3" t="s">
        <v>487</v>
      </c>
      <c r="C9" s="3" t="s">
        <v>23</v>
      </c>
      <c r="D9" s="3" t="s">
        <v>28</v>
      </c>
      <c r="E9" s="3" t="s">
        <v>488</v>
      </c>
      <c r="F9" s="3" t="s">
        <v>489</v>
      </c>
      <c r="G9" s="3" t="s">
        <v>490</v>
      </c>
      <c r="H9" s="3" t="s">
        <v>5</v>
      </c>
    </row>
    <row r="10" spans="1:8" ht="28.8" x14ac:dyDescent="0.3">
      <c r="A10" t="s">
        <v>491</v>
      </c>
      <c r="B10" t="s">
        <v>492</v>
      </c>
      <c r="C10" t="s">
        <v>493</v>
      </c>
      <c r="D10">
        <v>8</v>
      </c>
      <c r="E10" t="s">
        <v>494</v>
      </c>
      <c r="F10" s="9">
        <v>365872</v>
      </c>
      <c r="G10" s="9">
        <f t="shared" ref="G10:G41" si="0">IF(AND(ISNUMBER(D10),ISNUMBER(F10)),D10*F10,"Por cotizar")</f>
        <v>2926976</v>
      </c>
      <c r="H10" s="7" t="s">
        <v>495</v>
      </c>
    </row>
    <row r="11" spans="1:8" x14ac:dyDescent="0.3">
      <c r="A11" t="s">
        <v>491</v>
      </c>
      <c r="B11" t="s">
        <v>496</v>
      </c>
      <c r="C11" t="s">
        <v>497</v>
      </c>
      <c r="D11">
        <v>1</v>
      </c>
      <c r="E11" t="s">
        <v>494</v>
      </c>
      <c r="F11" s="9">
        <v>212534</v>
      </c>
      <c r="G11" s="9">
        <f t="shared" si="0"/>
        <v>212534</v>
      </c>
      <c r="H11" s="7" t="s">
        <v>498</v>
      </c>
    </row>
    <row r="12" spans="1:8" x14ac:dyDescent="0.3">
      <c r="A12" t="s">
        <v>491</v>
      </c>
      <c r="B12" t="s">
        <v>499</v>
      </c>
      <c r="C12" t="s">
        <v>493</v>
      </c>
      <c r="D12">
        <v>1</v>
      </c>
      <c r="E12" t="s">
        <v>500</v>
      </c>
      <c r="F12" s="9">
        <v>531600</v>
      </c>
      <c r="G12" s="9">
        <f t="shared" si="0"/>
        <v>531600</v>
      </c>
      <c r="H12" s="7" t="s">
        <v>501</v>
      </c>
    </row>
    <row r="13" spans="1:8" x14ac:dyDescent="0.3">
      <c r="A13" t="s">
        <v>491</v>
      </c>
      <c r="B13" t="s">
        <v>502</v>
      </c>
      <c r="C13" t="s">
        <v>493</v>
      </c>
      <c r="D13">
        <v>18</v>
      </c>
      <c r="E13" t="s">
        <v>503</v>
      </c>
      <c r="F13" s="9" t="s">
        <v>504</v>
      </c>
      <c r="G13" s="9" t="str">
        <f t="shared" si="0"/>
        <v>Por cotizar</v>
      </c>
      <c r="H13" s="7" t="s">
        <v>505</v>
      </c>
    </row>
    <row r="14" spans="1:8" ht="28.8" x14ac:dyDescent="0.3">
      <c r="A14" t="s">
        <v>491</v>
      </c>
      <c r="B14" t="s">
        <v>506</v>
      </c>
      <c r="C14" t="s">
        <v>493</v>
      </c>
      <c r="D14">
        <v>1</v>
      </c>
      <c r="E14" t="s">
        <v>500</v>
      </c>
      <c r="F14" s="9">
        <v>285600</v>
      </c>
      <c r="G14" s="9">
        <f t="shared" si="0"/>
        <v>285600</v>
      </c>
      <c r="H14" s="7" t="s">
        <v>507</v>
      </c>
    </row>
    <row r="15" spans="1:8" ht="28.8" x14ac:dyDescent="0.3">
      <c r="A15" t="s">
        <v>508</v>
      </c>
      <c r="B15" t="s">
        <v>509</v>
      </c>
      <c r="C15" t="s">
        <v>39</v>
      </c>
      <c r="D15">
        <v>1</v>
      </c>
      <c r="F15" s="9">
        <v>41215</v>
      </c>
      <c r="G15" s="9">
        <f t="shared" si="0"/>
        <v>41215</v>
      </c>
      <c r="H15" s="7" t="s">
        <v>510</v>
      </c>
    </row>
    <row r="16" spans="1:8" x14ac:dyDescent="0.3">
      <c r="A16" t="s">
        <v>508</v>
      </c>
      <c r="B16" t="s">
        <v>511</v>
      </c>
      <c r="C16" t="s">
        <v>39</v>
      </c>
      <c r="D16">
        <v>1</v>
      </c>
      <c r="F16" s="9">
        <v>51014</v>
      </c>
      <c r="G16" s="9">
        <f t="shared" si="0"/>
        <v>51014</v>
      </c>
      <c r="H16" s="7" t="s">
        <v>512</v>
      </c>
    </row>
    <row r="17" spans="1:8" ht="28.8" x14ac:dyDescent="0.3">
      <c r="A17" t="s">
        <v>508</v>
      </c>
      <c r="B17" t="s">
        <v>513</v>
      </c>
      <c r="C17" t="s">
        <v>39</v>
      </c>
      <c r="D17">
        <v>1</v>
      </c>
      <c r="F17" s="9">
        <v>47034</v>
      </c>
      <c r="G17" s="9">
        <f t="shared" si="0"/>
        <v>47034</v>
      </c>
      <c r="H17" s="7" t="s">
        <v>514</v>
      </c>
    </row>
    <row r="18" spans="1:8" ht="43.2" x14ac:dyDescent="0.3">
      <c r="A18" t="s">
        <v>508</v>
      </c>
      <c r="B18" t="s">
        <v>515</v>
      </c>
      <c r="C18" t="s">
        <v>39</v>
      </c>
      <c r="D18">
        <v>1</v>
      </c>
      <c r="F18" s="9">
        <v>63539</v>
      </c>
      <c r="G18" s="9">
        <f t="shared" si="0"/>
        <v>63539</v>
      </c>
      <c r="H18" s="7" t="s">
        <v>516</v>
      </c>
    </row>
    <row r="19" spans="1:8" x14ac:dyDescent="0.3">
      <c r="A19" t="s">
        <v>508</v>
      </c>
      <c r="B19" t="s">
        <v>517</v>
      </c>
      <c r="C19" t="s">
        <v>39</v>
      </c>
      <c r="D19">
        <v>1</v>
      </c>
      <c r="F19" s="9">
        <v>38791</v>
      </c>
      <c r="G19" s="9">
        <f t="shared" si="0"/>
        <v>38791</v>
      </c>
      <c r="H19" s="7" t="s">
        <v>518</v>
      </c>
    </row>
    <row r="20" spans="1:8" x14ac:dyDescent="0.3">
      <c r="A20" t="s">
        <v>508</v>
      </c>
      <c r="B20" t="s">
        <v>519</v>
      </c>
      <c r="C20" t="s">
        <v>39</v>
      </c>
      <c r="D20">
        <v>24</v>
      </c>
      <c r="F20" s="9">
        <v>2042</v>
      </c>
      <c r="G20" s="9">
        <f t="shared" si="0"/>
        <v>49008</v>
      </c>
      <c r="H20" s="7" t="s">
        <v>520</v>
      </c>
    </row>
    <row r="21" spans="1:8" ht="28.8" x14ac:dyDescent="0.3">
      <c r="A21" t="s">
        <v>508</v>
      </c>
      <c r="B21" t="s">
        <v>521</v>
      </c>
      <c r="C21" t="s">
        <v>39</v>
      </c>
      <c r="D21">
        <v>5</v>
      </c>
      <c r="F21" s="9" t="s">
        <v>504</v>
      </c>
      <c r="G21" s="9" t="str">
        <f t="shared" si="0"/>
        <v>Por cotizar</v>
      </c>
      <c r="H21" s="7" t="s">
        <v>522</v>
      </c>
    </row>
    <row r="22" spans="1:8" ht="43.2" x14ac:dyDescent="0.3">
      <c r="A22" t="s">
        <v>508</v>
      </c>
      <c r="B22" t="s">
        <v>523</v>
      </c>
      <c r="C22" t="s">
        <v>39</v>
      </c>
      <c r="D22">
        <v>1</v>
      </c>
      <c r="F22" s="9" t="s">
        <v>504</v>
      </c>
      <c r="G22" s="9" t="str">
        <f t="shared" si="0"/>
        <v>Por cotizar</v>
      </c>
      <c r="H22" s="7" t="s">
        <v>524</v>
      </c>
    </row>
    <row r="23" spans="1:8" ht="72" x14ac:dyDescent="0.3">
      <c r="A23" t="s">
        <v>508</v>
      </c>
      <c r="B23" t="s">
        <v>525</v>
      </c>
      <c r="C23" t="s">
        <v>39</v>
      </c>
      <c r="D23">
        <v>1</v>
      </c>
      <c r="F23" s="9">
        <v>122902</v>
      </c>
      <c r="G23" s="9">
        <f t="shared" si="0"/>
        <v>122902</v>
      </c>
      <c r="H23" s="7" t="s">
        <v>526</v>
      </c>
    </row>
    <row r="24" spans="1:8" ht="57.6" x14ac:dyDescent="0.3">
      <c r="A24" t="s">
        <v>508</v>
      </c>
      <c r="B24" t="s">
        <v>527</v>
      </c>
      <c r="C24" t="s">
        <v>39</v>
      </c>
      <c r="D24">
        <v>1</v>
      </c>
      <c r="F24" s="9">
        <v>109700</v>
      </c>
      <c r="G24" s="9">
        <f t="shared" si="0"/>
        <v>109700</v>
      </c>
      <c r="H24" s="7" t="s">
        <v>528</v>
      </c>
    </row>
    <row r="25" spans="1:8" ht="57.6" x14ac:dyDescent="0.3">
      <c r="A25" t="s">
        <v>508</v>
      </c>
      <c r="B25" t="s">
        <v>529</v>
      </c>
      <c r="C25" t="s">
        <v>39</v>
      </c>
      <c r="D25">
        <v>1</v>
      </c>
      <c r="F25" s="9">
        <v>12560</v>
      </c>
      <c r="G25" s="9">
        <f t="shared" si="0"/>
        <v>12560</v>
      </c>
      <c r="H25" s="7" t="s">
        <v>530</v>
      </c>
    </row>
    <row r="26" spans="1:8" ht="28.8" x14ac:dyDescent="0.3">
      <c r="A26" t="s">
        <v>508</v>
      </c>
      <c r="B26" t="s">
        <v>531</v>
      </c>
      <c r="C26" t="s">
        <v>39</v>
      </c>
      <c r="D26">
        <v>1</v>
      </c>
      <c r="F26" s="9" t="s">
        <v>504</v>
      </c>
      <c r="G26" s="9" t="str">
        <f t="shared" si="0"/>
        <v>Por cotizar</v>
      </c>
      <c r="H26" s="7" t="s">
        <v>532</v>
      </c>
    </row>
    <row r="27" spans="1:8" ht="57.6" x14ac:dyDescent="0.3">
      <c r="A27" t="s">
        <v>508</v>
      </c>
      <c r="B27" t="s">
        <v>533</v>
      </c>
      <c r="C27" t="s">
        <v>39</v>
      </c>
      <c r="D27">
        <v>2</v>
      </c>
      <c r="F27" s="9">
        <v>9126</v>
      </c>
      <c r="G27" s="9">
        <f t="shared" si="0"/>
        <v>18252</v>
      </c>
      <c r="H27" s="7" t="s">
        <v>534</v>
      </c>
    </row>
    <row r="28" spans="1:8" ht="57.6" x14ac:dyDescent="0.3">
      <c r="A28" t="s">
        <v>508</v>
      </c>
      <c r="B28" t="s">
        <v>535</v>
      </c>
      <c r="C28" t="s">
        <v>39</v>
      </c>
      <c r="D28">
        <v>10</v>
      </c>
      <c r="F28" s="9">
        <v>2998</v>
      </c>
      <c r="G28" s="9">
        <f t="shared" si="0"/>
        <v>29980</v>
      </c>
      <c r="H28" s="7" t="s">
        <v>536</v>
      </c>
    </row>
    <row r="29" spans="1:8" ht="28.8" x14ac:dyDescent="0.3">
      <c r="A29" t="s">
        <v>508</v>
      </c>
      <c r="B29" t="s">
        <v>537</v>
      </c>
      <c r="C29" t="s">
        <v>288</v>
      </c>
      <c r="D29">
        <v>3</v>
      </c>
      <c r="E29" t="s">
        <v>538</v>
      </c>
      <c r="F29" s="9">
        <v>11287</v>
      </c>
      <c r="G29" s="9">
        <f t="shared" si="0"/>
        <v>33861</v>
      </c>
      <c r="H29" s="7" t="s">
        <v>539</v>
      </c>
    </row>
    <row r="30" spans="1:8" ht="57.6" x14ac:dyDescent="0.3">
      <c r="A30" t="s">
        <v>508</v>
      </c>
      <c r="B30" t="s">
        <v>540</v>
      </c>
      <c r="C30" t="s">
        <v>288</v>
      </c>
      <c r="D30">
        <v>1</v>
      </c>
      <c r="E30" t="s">
        <v>541</v>
      </c>
      <c r="F30" s="9">
        <v>12730</v>
      </c>
      <c r="G30" s="9">
        <f t="shared" si="0"/>
        <v>12730</v>
      </c>
      <c r="H30" s="7" t="s">
        <v>542</v>
      </c>
    </row>
    <row r="31" spans="1:8" ht="57.6" x14ac:dyDescent="0.3">
      <c r="A31" t="s">
        <v>508</v>
      </c>
      <c r="B31" t="s">
        <v>543</v>
      </c>
      <c r="C31" t="s">
        <v>288</v>
      </c>
      <c r="D31">
        <v>1</v>
      </c>
      <c r="E31" t="s">
        <v>544</v>
      </c>
      <c r="F31" s="9">
        <v>33278</v>
      </c>
      <c r="G31" s="9">
        <f t="shared" si="0"/>
        <v>33278</v>
      </c>
      <c r="H31" s="7" t="s">
        <v>545</v>
      </c>
    </row>
    <row r="32" spans="1:8" ht="43.2" x14ac:dyDescent="0.3">
      <c r="A32" t="s">
        <v>508</v>
      </c>
      <c r="B32" t="s">
        <v>546</v>
      </c>
      <c r="C32" t="s">
        <v>288</v>
      </c>
      <c r="D32">
        <v>2</v>
      </c>
      <c r="E32" t="s">
        <v>547</v>
      </c>
      <c r="F32" s="9">
        <v>2743</v>
      </c>
      <c r="G32" s="9">
        <f t="shared" si="0"/>
        <v>5486</v>
      </c>
      <c r="H32" s="7" t="s">
        <v>548</v>
      </c>
    </row>
    <row r="33" spans="1:8" ht="43.2" x14ac:dyDescent="0.3">
      <c r="A33" t="s">
        <v>508</v>
      </c>
      <c r="B33" t="s">
        <v>549</v>
      </c>
      <c r="C33" t="s">
        <v>288</v>
      </c>
      <c r="E33" t="s">
        <v>550</v>
      </c>
      <c r="F33" s="9"/>
      <c r="G33" s="9" t="str">
        <f t="shared" si="0"/>
        <v>Por cotizar</v>
      </c>
      <c r="H33" s="7" t="s">
        <v>551</v>
      </c>
    </row>
    <row r="34" spans="1:8" ht="28.8" x14ac:dyDescent="0.3">
      <c r="A34" t="s">
        <v>508</v>
      </c>
      <c r="B34" t="s">
        <v>552</v>
      </c>
      <c r="C34" t="s">
        <v>288</v>
      </c>
      <c r="D34">
        <v>3</v>
      </c>
      <c r="E34" t="s">
        <v>553</v>
      </c>
      <c r="F34" s="9"/>
      <c r="G34" s="9" t="str">
        <f t="shared" si="0"/>
        <v>Por cotizar</v>
      </c>
      <c r="H34" s="7" t="s">
        <v>554</v>
      </c>
    </row>
    <row r="35" spans="1:8" x14ac:dyDescent="0.3">
      <c r="A35" t="s">
        <v>508</v>
      </c>
      <c r="B35" t="s">
        <v>555</v>
      </c>
      <c r="C35" t="s">
        <v>288</v>
      </c>
      <c r="D35">
        <v>6</v>
      </c>
      <c r="E35" t="s">
        <v>547</v>
      </c>
      <c r="F35" s="9"/>
      <c r="G35" s="9" t="str">
        <f t="shared" si="0"/>
        <v>Por cotizar</v>
      </c>
      <c r="H35" s="7" t="s">
        <v>556</v>
      </c>
    </row>
    <row r="36" spans="1:8" ht="28.8" x14ac:dyDescent="0.3">
      <c r="A36" t="s">
        <v>508</v>
      </c>
      <c r="B36" t="s">
        <v>557</v>
      </c>
      <c r="C36" t="s">
        <v>288</v>
      </c>
      <c r="D36">
        <v>6</v>
      </c>
      <c r="E36" t="s">
        <v>547</v>
      </c>
      <c r="F36" s="9"/>
      <c r="G36" s="9" t="str">
        <f t="shared" si="0"/>
        <v>Por cotizar</v>
      </c>
      <c r="H36" s="7" t="s">
        <v>558</v>
      </c>
    </row>
    <row r="37" spans="1:8" ht="43.2" x14ac:dyDescent="0.3">
      <c r="A37" t="s">
        <v>508</v>
      </c>
      <c r="B37" t="s">
        <v>559</v>
      </c>
      <c r="C37" t="s">
        <v>288</v>
      </c>
      <c r="D37">
        <v>1</v>
      </c>
      <c r="E37" t="s">
        <v>560</v>
      </c>
      <c r="F37" s="9"/>
      <c r="G37" s="9" t="str">
        <f t="shared" si="0"/>
        <v>Por cotizar</v>
      </c>
      <c r="H37" s="7" t="s">
        <v>561</v>
      </c>
    </row>
    <row r="38" spans="1:8" ht="72" x14ac:dyDescent="0.3">
      <c r="A38" t="s">
        <v>508</v>
      </c>
      <c r="B38" t="s">
        <v>562</v>
      </c>
      <c r="C38" t="s">
        <v>288</v>
      </c>
      <c r="D38">
        <v>1</v>
      </c>
      <c r="E38" t="s">
        <v>563</v>
      </c>
      <c r="F38" s="9"/>
      <c r="G38" s="9" t="str">
        <f t="shared" si="0"/>
        <v>Por cotizar</v>
      </c>
      <c r="H38" s="7" t="s">
        <v>564</v>
      </c>
    </row>
    <row r="39" spans="1:8" ht="28.8" x14ac:dyDescent="0.3">
      <c r="A39" t="s">
        <v>508</v>
      </c>
      <c r="B39" t="s">
        <v>565</v>
      </c>
      <c r="C39" t="s">
        <v>288</v>
      </c>
      <c r="D39">
        <v>1</v>
      </c>
      <c r="E39" t="s">
        <v>560</v>
      </c>
      <c r="F39" s="9"/>
      <c r="G39" s="9" t="str">
        <f t="shared" si="0"/>
        <v>Por cotizar</v>
      </c>
      <c r="H39" s="7" t="s">
        <v>566</v>
      </c>
    </row>
    <row r="40" spans="1:8" x14ac:dyDescent="0.3">
      <c r="A40" t="s">
        <v>508</v>
      </c>
      <c r="B40" t="s">
        <v>567</v>
      </c>
      <c r="C40" t="s">
        <v>394</v>
      </c>
      <c r="D40">
        <v>2</v>
      </c>
      <c r="E40" t="s">
        <v>547</v>
      </c>
      <c r="F40" s="9"/>
      <c r="G40" s="9" t="str">
        <f t="shared" si="0"/>
        <v>Por cotizar</v>
      </c>
      <c r="H40" s="7" t="s">
        <v>568</v>
      </c>
    </row>
    <row r="41" spans="1:8" x14ac:dyDescent="0.3">
      <c r="A41" t="s">
        <v>508</v>
      </c>
      <c r="B41" t="s">
        <v>569</v>
      </c>
      <c r="C41" t="s">
        <v>394</v>
      </c>
      <c r="D41">
        <v>1</v>
      </c>
      <c r="E41" t="s">
        <v>570</v>
      </c>
      <c r="F41" s="9"/>
      <c r="G41" s="9" t="str">
        <f t="shared" si="0"/>
        <v>Por cotizar</v>
      </c>
      <c r="H41" s="7" t="s">
        <v>571</v>
      </c>
    </row>
    <row r="42" spans="1:8" x14ac:dyDescent="0.3">
      <c r="A42" t="s">
        <v>508</v>
      </c>
      <c r="B42" t="s">
        <v>572</v>
      </c>
      <c r="C42" t="s">
        <v>394</v>
      </c>
      <c r="D42">
        <v>1</v>
      </c>
      <c r="E42" t="s">
        <v>560</v>
      </c>
      <c r="F42" s="9"/>
      <c r="G42" s="9" t="str">
        <f t="shared" ref="G42:G73" si="1">IF(AND(ISNUMBER(D42),ISNUMBER(F42)),D42*F42,"Por cotizar")</f>
        <v>Por cotizar</v>
      </c>
      <c r="H42" s="7" t="s">
        <v>573</v>
      </c>
    </row>
    <row r="43" spans="1:8" ht="28.8" x14ac:dyDescent="0.3">
      <c r="A43" t="s">
        <v>508</v>
      </c>
      <c r="B43" t="s">
        <v>574</v>
      </c>
      <c r="C43" t="s">
        <v>497</v>
      </c>
      <c r="D43">
        <v>15</v>
      </c>
      <c r="E43" t="s">
        <v>538</v>
      </c>
      <c r="F43" s="9">
        <v>17750</v>
      </c>
      <c r="G43" s="9">
        <f t="shared" si="1"/>
        <v>266250</v>
      </c>
      <c r="H43" s="7" t="s">
        <v>575</v>
      </c>
    </row>
    <row r="44" spans="1:8" ht="72" x14ac:dyDescent="0.3">
      <c r="A44" t="s">
        <v>576</v>
      </c>
      <c r="B44" t="s">
        <v>577</v>
      </c>
      <c r="C44" t="s">
        <v>39</v>
      </c>
      <c r="D44">
        <v>1</v>
      </c>
      <c r="F44" s="9">
        <v>1486300</v>
      </c>
      <c r="G44" s="9">
        <f t="shared" si="1"/>
        <v>1486300</v>
      </c>
      <c r="H44" s="7" t="s">
        <v>578</v>
      </c>
    </row>
    <row r="45" spans="1:8" ht="86.4" x14ac:dyDescent="0.3">
      <c r="A45" t="s">
        <v>576</v>
      </c>
      <c r="B45" t="s">
        <v>579</v>
      </c>
      <c r="C45" t="s">
        <v>39</v>
      </c>
      <c r="D45">
        <v>1</v>
      </c>
      <c r="F45" s="9">
        <v>209900</v>
      </c>
      <c r="G45" s="9">
        <f t="shared" si="1"/>
        <v>209900</v>
      </c>
      <c r="H45" s="7" t="s">
        <v>580</v>
      </c>
    </row>
    <row r="46" spans="1:8" ht="28.8" x14ac:dyDescent="0.3">
      <c r="A46" t="s">
        <v>576</v>
      </c>
      <c r="B46" t="s">
        <v>581</v>
      </c>
      <c r="C46" t="s">
        <v>39</v>
      </c>
      <c r="D46">
        <v>1</v>
      </c>
      <c r="F46" s="9">
        <v>1864800</v>
      </c>
      <c r="G46" s="9">
        <f t="shared" si="1"/>
        <v>1864800</v>
      </c>
      <c r="H46" s="7" t="s">
        <v>582</v>
      </c>
    </row>
    <row r="47" spans="1:8" x14ac:dyDescent="0.3">
      <c r="A47" t="s">
        <v>576</v>
      </c>
      <c r="B47" t="s">
        <v>583</v>
      </c>
      <c r="C47" t="s">
        <v>39</v>
      </c>
      <c r="D47">
        <v>1</v>
      </c>
      <c r="F47" s="9" t="s">
        <v>504</v>
      </c>
      <c r="G47" s="9" t="str">
        <f t="shared" si="1"/>
        <v>Por cotizar</v>
      </c>
      <c r="H47" s="7" t="s">
        <v>584</v>
      </c>
    </row>
    <row r="48" spans="1:8" x14ac:dyDescent="0.3">
      <c r="A48" t="s">
        <v>576</v>
      </c>
      <c r="B48" t="s">
        <v>585</v>
      </c>
      <c r="C48" t="s">
        <v>39</v>
      </c>
      <c r="D48">
        <v>1</v>
      </c>
      <c r="F48" s="9" t="s">
        <v>504</v>
      </c>
      <c r="G48" s="9" t="str">
        <f t="shared" si="1"/>
        <v>Por cotizar</v>
      </c>
      <c r="H48" s="7" t="s">
        <v>586</v>
      </c>
    </row>
    <row r="49" spans="1:8" ht="28.8" x14ac:dyDescent="0.3">
      <c r="A49" t="s">
        <v>576</v>
      </c>
      <c r="B49" t="s">
        <v>587</v>
      </c>
      <c r="C49" t="s">
        <v>39</v>
      </c>
      <c r="D49">
        <v>1</v>
      </c>
      <c r="F49" s="9" t="s">
        <v>504</v>
      </c>
      <c r="G49" s="9" t="str">
        <f t="shared" si="1"/>
        <v>Por cotizar</v>
      </c>
      <c r="H49" s="7" t="s">
        <v>588</v>
      </c>
    </row>
    <row r="50" spans="1:8" ht="28.8" x14ac:dyDescent="0.3">
      <c r="A50" t="s">
        <v>576</v>
      </c>
      <c r="B50" t="s">
        <v>589</v>
      </c>
      <c r="C50" t="s">
        <v>39</v>
      </c>
      <c r="D50">
        <v>1</v>
      </c>
      <c r="F50" s="9" t="s">
        <v>504</v>
      </c>
      <c r="G50" s="9" t="str">
        <f t="shared" si="1"/>
        <v>Por cotizar</v>
      </c>
      <c r="H50" s="7" t="s">
        <v>590</v>
      </c>
    </row>
    <row r="51" spans="1:8" x14ac:dyDescent="0.3">
      <c r="A51" t="s">
        <v>576</v>
      </c>
      <c r="B51" t="s">
        <v>591</v>
      </c>
      <c r="C51" t="s">
        <v>394</v>
      </c>
      <c r="D51">
        <v>1</v>
      </c>
      <c r="E51" t="s">
        <v>547</v>
      </c>
      <c r="F51" s="9"/>
      <c r="G51" s="9" t="str">
        <f t="shared" si="1"/>
        <v>Por cotizar</v>
      </c>
      <c r="H51" s="7" t="s">
        <v>592</v>
      </c>
    </row>
    <row r="52" spans="1:8" x14ac:dyDescent="0.3">
      <c r="A52" t="s">
        <v>576</v>
      </c>
      <c r="B52" t="s">
        <v>593</v>
      </c>
      <c r="C52" t="s">
        <v>394</v>
      </c>
      <c r="D52">
        <v>1</v>
      </c>
      <c r="E52" t="s">
        <v>547</v>
      </c>
      <c r="F52" s="9"/>
      <c r="G52" s="9" t="str">
        <f t="shared" si="1"/>
        <v>Por cotizar</v>
      </c>
      <c r="H52" s="7" t="s">
        <v>594</v>
      </c>
    </row>
    <row r="53" spans="1:8" x14ac:dyDescent="0.3">
      <c r="A53" t="s">
        <v>576</v>
      </c>
      <c r="B53" t="s">
        <v>595</v>
      </c>
      <c r="C53" t="s">
        <v>394</v>
      </c>
      <c r="D53">
        <v>1</v>
      </c>
      <c r="E53" t="s">
        <v>570</v>
      </c>
      <c r="F53" s="9"/>
      <c r="G53" s="9" t="str">
        <f t="shared" si="1"/>
        <v>Por cotizar</v>
      </c>
      <c r="H53" s="7" t="s">
        <v>596</v>
      </c>
    </row>
    <row r="54" spans="1:8" x14ac:dyDescent="0.3">
      <c r="A54" t="s">
        <v>597</v>
      </c>
      <c r="B54" t="s">
        <v>598</v>
      </c>
      <c r="C54" t="s">
        <v>394</v>
      </c>
      <c r="D54">
        <v>1</v>
      </c>
      <c r="E54" t="s">
        <v>599</v>
      </c>
      <c r="F54" s="9"/>
      <c r="G54" s="9" t="str">
        <f t="shared" si="1"/>
        <v>Por cotizar</v>
      </c>
      <c r="H54" s="7" t="s">
        <v>600</v>
      </c>
    </row>
    <row r="55" spans="1:8" x14ac:dyDescent="0.3">
      <c r="A55" t="s">
        <v>597</v>
      </c>
      <c r="B55" t="s">
        <v>601</v>
      </c>
      <c r="C55" t="s">
        <v>394</v>
      </c>
      <c r="D55">
        <v>1</v>
      </c>
      <c r="E55" t="s">
        <v>599</v>
      </c>
      <c r="F55" s="9"/>
      <c r="G55" s="9" t="str">
        <f t="shared" si="1"/>
        <v>Por cotizar</v>
      </c>
      <c r="H55" s="7" t="s">
        <v>602</v>
      </c>
    </row>
    <row r="56" spans="1:8" ht="28.8" x14ac:dyDescent="0.3">
      <c r="A56" t="s">
        <v>603</v>
      </c>
      <c r="B56" t="s">
        <v>604</v>
      </c>
      <c r="C56" t="s">
        <v>39</v>
      </c>
      <c r="D56">
        <v>1</v>
      </c>
      <c r="F56" s="9" t="s">
        <v>504</v>
      </c>
      <c r="G56" s="9" t="str">
        <f t="shared" si="1"/>
        <v>Por cotizar</v>
      </c>
      <c r="H56" s="7" t="s">
        <v>605</v>
      </c>
    </row>
    <row r="57" spans="1:8" ht="57.6" x14ac:dyDescent="0.3">
      <c r="A57" t="s">
        <v>606</v>
      </c>
      <c r="B57" t="s">
        <v>607</v>
      </c>
      <c r="C57" t="s">
        <v>39</v>
      </c>
      <c r="D57">
        <v>1</v>
      </c>
      <c r="F57" s="9" t="s">
        <v>504</v>
      </c>
      <c r="G57" s="9" t="str">
        <f t="shared" si="1"/>
        <v>Por cotizar</v>
      </c>
      <c r="H57" s="7" t="s">
        <v>608</v>
      </c>
    </row>
    <row r="58" spans="1:8" ht="28.8" x14ac:dyDescent="0.3">
      <c r="A58" t="s">
        <v>606</v>
      </c>
      <c r="B58" t="s">
        <v>609</v>
      </c>
      <c r="C58" t="s">
        <v>39</v>
      </c>
      <c r="D58">
        <v>1</v>
      </c>
      <c r="F58" s="9" t="s">
        <v>504</v>
      </c>
      <c r="G58" s="9" t="str">
        <f t="shared" si="1"/>
        <v>Por cotizar</v>
      </c>
      <c r="H58" s="7" t="s">
        <v>610</v>
      </c>
    </row>
    <row r="59" spans="1:8" x14ac:dyDescent="0.3">
      <c r="A59" t="s">
        <v>606</v>
      </c>
      <c r="B59" t="s">
        <v>611</v>
      </c>
      <c r="C59" t="s">
        <v>39</v>
      </c>
      <c r="D59">
        <v>1</v>
      </c>
      <c r="F59" s="9" t="s">
        <v>504</v>
      </c>
      <c r="G59" s="9" t="str">
        <f t="shared" si="1"/>
        <v>Por cotizar</v>
      </c>
      <c r="H59" s="7" t="s">
        <v>612</v>
      </c>
    </row>
    <row r="60" spans="1:8" ht="28.8" x14ac:dyDescent="0.3">
      <c r="A60" t="s">
        <v>606</v>
      </c>
      <c r="B60" t="s">
        <v>613</v>
      </c>
      <c r="C60" t="s">
        <v>493</v>
      </c>
      <c r="D60">
        <v>1</v>
      </c>
      <c r="E60" t="s">
        <v>614</v>
      </c>
      <c r="F60" s="9" t="s">
        <v>504</v>
      </c>
      <c r="G60" s="9" t="str">
        <f t="shared" si="1"/>
        <v>Por cotizar</v>
      </c>
      <c r="H60" s="7" t="s">
        <v>615</v>
      </c>
    </row>
    <row r="61" spans="1:8" x14ac:dyDescent="0.3">
      <c r="B61" t="s">
        <v>616</v>
      </c>
      <c r="G61" s="9">
        <f>SUMIF(A10:A60,"Tableros y cantos",G10:G60)</f>
        <v>3956710</v>
      </c>
    </row>
    <row r="62" spans="1:8" x14ac:dyDescent="0.3">
      <c r="B62" t="s">
        <v>617</v>
      </c>
      <c r="G62" s="9">
        <f>SUMIF(A10:A60,"Herrajes",G10:G60)</f>
        <v>935600</v>
      </c>
    </row>
    <row r="63" spans="1:8" x14ac:dyDescent="0.3">
      <c r="B63" t="s">
        <v>618</v>
      </c>
      <c r="G63" s="9">
        <f>SUMIF(A10:A60,"Mesón, equipos y grifería",G10:G60)</f>
        <v>3561000</v>
      </c>
    </row>
    <row r="64" spans="1:8" x14ac:dyDescent="0.3">
      <c r="B64" t="s">
        <v>619</v>
      </c>
      <c r="G64" s="9">
        <f>SUMIF(A10:A60,"Otros proveedores",G10:G60)</f>
        <v>0</v>
      </c>
    </row>
    <row r="65" spans="2:7" x14ac:dyDescent="0.3">
      <c r="B65" t="s">
        <v>620</v>
      </c>
      <c r="G65" s="9">
        <f>SUMIF(A10:A60,"Accesorios",G10:G60)</f>
        <v>0</v>
      </c>
    </row>
    <row r="66" spans="2:7" x14ac:dyDescent="0.3">
      <c r="B66" t="s">
        <v>621</v>
      </c>
      <c r="G66" s="9">
        <f>SUMIF(A10:A60,"Servicios",G10:G60)</f>
        <v>0</v>
      </c>
    </row>
    <row r="67" spans="2:7" x14ac:dyDescent="0.3">
      <c r="B67" s="4" t="s">
        <v>622</v>
      </c>
      <c r="G67" s="5">
        <f>SUM(G61:G66)</f>
        <v>8453310</v>
      </c>
    </row>
    <row r="68" spans="2:7" x14ac:dyDescent="0.3">
      <c r="B68" t="s">
        <v>18</v>
      </c>
      <c r="G68">
        <f>COUNTIF(G10:G60,"Por cotizar")</f>
        <v>28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D7"/>
  <sheetViews>
    <sheetView workbookViewId="0"/>
  </sheetViews>
  <sheetFormatPr baseColWidth="10" defaultColWidth="8.88671875" defaultRowHeight="14.4" x14ac:dyDescent="0.3"/>
  <cols>
    <col min="1" max="2" width="10" customWidth="1"/>
    <col min="3" max="3" width="40" customWidth="1"/>
    <col min="4" max="4" width="100" customWidth="1"/>
  </cols>
  <sheetData>
    <row r="2" spans="1:4" ht="18" x14ac:dyDescent="0.35">
      <c r="A2" s="1" t="s">
        <v>623</v>
      </c>
    </row>
    <row r="3" spans="1:4" x14ac:dyDescent="0.3">
      <c r="A3" s="2" t="s">
        <v>624</v>
      </c>
    </row>
    <row r="6" spans="1:4" x14ac:dyDescent="0.3">
      <c r="A6" s="3" t="s">
        <v>23</v>
      </c>
      <c r="B6" s="3" t="s">
        <v>24</v>
      </c>
      <c r="C6" s="3" t="s">
        <v>26</v>
      </c>
      <c r="D6" s="3" t="s">
        <v>625</v>
      </c>
    </row>
    <row r="7" spans="1:4" ht="28.8" x14ac:dyDescent="0.3">
      <c r="A7" s="7" t="s">
        <v>288</v>
      </c>
      <c r="B7" s="7" t="s">
        <v>626</v>
      </c>
      <c r="C7" s="7" t="s">
        <v>627</v>
      </c>
      <c r="D7" s="7" t="s">
        <v>628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D25"/>
  <sheetViews>
    <sheetView workbookViewId="0"/>
  </sheetViews>
  <sheetFormatPr baseColWidth="10" defaultColWidth="8.88671875" defaultRowHeight="14.4" x14ac:dyDescent="0.3"/>
  <cols>
    <col min="1" max="2" width="10" customWidth="1"/>
    <col min="3" max="3" width="40" customWidth="1"/>
    <col min="4" max="4" width="110" customWidth="1"/>
  </cols>
  <sheetData>
    <row r="2" spans="1:4" ht="18" x14ac:dyDescent="0.35">
      <c r="A2" s="1" t="s">
        <v>629</v>
      </c>
    </row>
    <row r="3" spans="1:4" x14ac:dyDescent="0.3">
      <c r="A3" s="2" t="s">
        <v>630</v>
      </c>
    </row>
    <row r="6" spans="1:4" x14ac:dyDescent="0.3">
      <c r="A6" s="3" t="s">
        <v>23</v>
      </c>
      <c r="B6" s="3" t="s">
        <v>24</v>
      </c>
      <c r="C6" s="3" t="s">
        <v>26</v>
      </c>
      <c r="D6" s="3" t="s">
        <v>631</v>
      </c>
    </row>
    <row r="7" spans="1:4" x14ac:dyDescent="0.3">
      <c r="A7" s="7" t="s">
        <v>39</v>
      </c>
      <c r="B7" s="7" t="s">
        <v>40</v>
      </c>
      <c r="C7" s="7" t="s">
        <v>42</v>
      </c>
      <c r="D7" s="7" t="s">
        <v>50</v>
      </c>
    </row>
    <row r="8" spans="1:4" ht="28.8" x14ac:dyDescent="0.3">
      <c r="A8" s="7" t="s">
        <v>39</v>
      </c>
      <c r="B8" s="7" t="s">
        <v>55</v>
      </c>
      <c r="C8" s="7" t="s">
        <v>56</v>
      </c>
      <c r="D8" s="7" t="s">
        <v>60</v>
      </c>
    </row>
    <row r="9" spans="1:4" x14ac:dyDescent="0.3">
      <c r="A9" s="7" t="s">
        <v>39</v>
      </c>
      <c r="B9" s="7" t="s">
        <v>82</v>
      </c>
      <c r="C9" s="7" t="s">
        <v>83</v>
      </c>
      <c r="D9" s="7" t="s">
        <v>86</v>
      </c>
    </row>
    <row r="10" spans="1:4" ht="28.8" x14ac:dyDescent="0.3">
      <c r="A10" s="7" t="s">
        <v>39</v>
      </c>
      <c r="B10" s="7" t="s">
        <v>92</v>
      </c>
      <c r="C10" s="7" t="s">
        <v>93</v>
      </c>
      <c r="D10" s="7" t="s">
        <v>96</v>
      </c>
    </row>
    <row r="11" spans="1:4" x14ac:dyDescent="0.3">
      <c r="A11" s="7" t="s">
        <v>39</v>
      </c>
      <c r="B11" s="7" t="s">
        <v>97</v>
      </c>
      <c r="C11" s="7" t="s">
        <v>42</v>
      </c>
      <c r="D11" s="7" t="s">
        <v>50</v>
      </c>
    </row>
    <row r="12" spans="1:4" ht="28.8" x14ac:dyDescent="0.3">
      <c r="A12" s="7" t="s">
        <v>39</v>
      </c>
      <c r="B12" s="7" t="s">
        <v>102</v>
      </c>
      <c r="C12" s="7" t="s">
        <v>56</v>
      </c>
      <c r="D12" s="7" t="s">
        <v>105</v>
      </c>
    </row>
    <row r="13" spans="1:4" x14ac:dyDescent="0.3">
      <c r="A13" s="7" t="s">
        <v>39</v>
      </c>
      <c r="B13" s="7" t="s">
        <v>136</v>
      </c>
      <c r="C13" s="7" t="s">
        <v>42</v>
      </c>
      <c r="D13" s="7" t="s">
        <v>50</v>
      </c>
    </row>
    <row r="14" spans="1:4" ht="28.8" x14ac:dyDescent="0.3">
      <c r="A14" s="7" t="s">
        <v>39</v>
      </c>
      <c r="B14" s="7" t="s">
        <v>141</v>
      </c>
      <c r="C14" s="7" t="s">
        <v>142</v>
      </c>
      <c r="D14" s="7" t="s">
        <v>145</v>
      </c>
    </row>
    <row r="15" spans="1:4" x14ac:dyDescent="0.3">
      <c r="A15" s="7" t="s">
        <v>39</v>
      </c>
      <c r="B15" s="7" t="s">
        <v>154</v>
      </c>
      <c r="C15" s="7" t="s">
        <v>155</v>
      </c>
      <c r="D15" s="7" t="s">
        <v>158</v>
      </c>
    </row>
    <row r="16" spans="1:4" x14ac:dyDescent="0.3">
      <c r="A16" s="7" t="s">
        <v>39</v>
      </c>
      <c r="B16" s="7" t="s">
        <v>159</v>
      </c>
      <c r="C16" s="7" t="s">
        <v>42</v>
      </c>
      <c r="D16" s="7" t="s">
        <v>50</v>
      </c>
    </row>
    <row r="17" spans="1:4" ht="28.8" x14ac:dyDescent="0.3">
      <c r="A17" s="7" t="s">
        <v>39</v>
      </c>
      <c r="B17" s="7" t="s">
        <v>164</v>
      </c>
      <c r="C17" s="7" t="s">
        <v>56</v>
      </c>
      <c r="D17" s="7" t="s">
        <v>167</v>
      </c>
    </row>
    <row r="18" spans="1:4" x14ac:dyDescent="0.3">
      <c r="A18" s="7" t="s">
        <v>39</v>
      </c>
      <c r="B18" s="7" t="s">
        <v>170</v>
      </c>
      <c r="C18" s="7" t="s">
        <v>171</v>
      </c>
      <c r="D18" s="7" t="s">
        <v>50</v>
      </c>
    </row>
    <row r="19" spans="1:4" ht="28.8" x14ac:dyDescent="0.3">
      <c r="A19" s="7" t="s">
        <v>39</v>
      </c>
      <c r="B19" s="7" t="s">
        <v>632</v>
      </c>
      <c r="C19" s="7" t="s">
        <v>633</v>
      </c>
      <c r="D19" s="7" t="s">
        <v>634</v>
      </c>
    </row>
    <row r="20" spans="1:4" ht="28.8" x14ac:dyDescent="0.3">
      <c r="A20" s="7" t="s">
        <v>39</v>
      </c>
      <c r="B20" s="7" t="s">
        <v>635</v>
      </c>
      <c r="C20" s="7" t="s">
        <v>636</v>
      </c>
      <c r="D20" s="7" t="s">
        <v>637</v>
      </c>
    </row>
    <row r="21" spans="1:4" ht="28.8" x14ac:dyDescent="0.3">
      <c r="A21" s="7" t="s">
        <v>39</v>
      </c>
      <c r="B21" s="7" t="s">
        <v>638</v>
      </c>
      <c r="C21" s="7" t="s">
        <v>639</v>
      </c>
      <c r="D21" s="7" t="s">
        <v>640</v>
      </c>
    </row>
    <row r="22" spans="1:4" x14ac:dyDescent="0.3">
      <c r="A22" s="7" t="s">
        <v>288</v>
      </c>
      <c r="B22" s="7" t="s">
        <v>289</v>
      </c>
      <c r="C22" s="7" t="s">
        <v>291</v>
      </c>
      <c r="D22" s="7" t="s">
        <v>295</v>
      </c>
    </row>
    <row r="23" spans="1:4" ht="28.8" x14ac:dyDescent="0.3">
      <c r="A23" s="7" t="s">
        <v>288</v>
      </c>
      <c r="B23" s="7" t="s">
        <v>384</v>
      </c>
      <c r="C23" s="7" t="s">
        <v>386</v>
      </c>
      <c r="D23" s="7" t="s">
        <v>389</v>
      </c>
    </row>
    <row r="24" spans="1:4" ht="28.8" x14ac:dyDescent="0.3">
      <c r="A24" s="7" t="s">
        <v>394</v>
      </c>
      <c r="B24" s="7" t="s">
        <v>404</v>
      </c>
      <c r="C24" s="7" t="s">
        <v>405</v>
      </c>
      <c r="D24" s="7" t="s">
        <v>408</v>
      </c>
    </row>
    <row r="25" spans="1:4" ht="57.6" x14ac:dyDescent="0.3">
      <c r="A25" s="7" t="s">
        <v>394</v>
      </c>
      <c r="B25" s="7" t="s">
        <v>419</v>
      </c>
      <c r="C25" s="7" t="s">
        <v>420</v>
      </c>
      <c r="D25" s="7" t="s">
        <v>423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Resumen</vt:lpstr>
      <vt:lpstr>Pedido de corte</vt:lpstr>
      <vt:lpstr>Láminas</vt:lpstr>
      <vt:lpstr>Cantos</vt:lpstr>
      <vt:lpstr>Compras</vt:lpstr>
      <vt:lpstr>Bloqueos</vt:lpstr>
      <vt:lpstr>En el armado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William Perez Muñoz</cp:lastModifiedBy>
  <dcterms:created xsi:type="dcterms:W3CDTF">2026-10-28T03:16:07Z</dcterms:created>
  <dcterms:modified xsi:type="dcterms:W3CDTF">2026-10-28T03:16:11Z</dcterms:modified>
</cp:coreProperties>
</file>