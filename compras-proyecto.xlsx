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f6cce73099b4a4c" /></Relationships>
</file>

<file path=xl/workbook.xml><?xml version="1.0" encoding="utf-8"?>
<x:workbook xmlns:x="http://schemas.openxmlformats.org/spreadsheetml/2006/main">
  <x:sheets>
    <x:sheet xmlns:r="http://schemas.openxmlformats.org/officeDocument/2006/relationships" name="Resumen" sheetId="1" r:id="R22261d597eb64c5e"/>
    <x:sheet xmlns:r="http://schemas.openxmlformats.org/officeDocument/2006/relationships" name="Pedido de corte" sheetId="2" r:id="R1aee4edc6ec641ea"/>
    <x:sheet xmlns:r="http://schemas.openxmlformats.org/officeDocument/2006/relationships" name="Láminas" sheetId="3" r:id="R5cdc49ae4d094ad2"/>
    <x:sheet xmlns:r="http://schemas.openxmlformats.org/officeDocument/2006/relationships" name="Cantos" sheetId="4" r:id="R9f55a881f64e4ed8"/>
    <x:sheet xmlns:r="http://schemas.openxmlformats.org/officeDocument/2006/relationships" name="Compras" sheetId="5" r:id="R89e54929ecef4b62"/>
    <x:sheet xmlns:r="http://schemas.openxmlformats.org/officeDocument/2006/relationships" name="Bloqueos" sheetId="6" r:id="Rd41c2da8a27c4626"/>
    <x:sheet xmlns:r="http://schemas.openxmlformats.org/officeDocument/2006/relationships" name="En el armado" sheetId="7" r:id="R87b8fa41abe74842"/>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164" formatCode="&quot;$&quot;#,##0"/>
    <x:numFmt numFmtId="200" formatCode="General"/>
    <x:numFmt numFmtId="201" formatCode="0%"/>
  </x:numFmts>
  <x:fonts count="5">
    <x:font>
      <x:sz val="11"/>
      <x:color theme="1"/>
      <x:name val="Calibri"/>
      <x:family val="2"/>
      <x:scheme val="minor"/>
    </x:font>
    <x:font>
      <x:b/>
      <x:sz val="14"/>
      <x:name val="Calibri"/>
    </x:font>
    <x:font>
      <x:i/>
      <x:sz val="11"/>
      <x:name val="Calibri"/>
    </x:font>
    <x:font>
      <x:b/>
      <x:sz val="11"/>
      <x:color rgb="FFFFFFFF"/>
      <x:name val="Calibri"/>
    </x:font>
    <x:font>
      <x:b/>
      <x:sz val="11"/>
      <x:name val="Calibri"/>
    </x:font>
  </x:fonts>
  <x:fills count="3">
    <x:fill>
      <x:patternFill patternType="none"/>
    </x:fill>
    <x:fill>
      <x:patternFill patternType="gray125"/>
    </x:fill>
    <x:fill>
      <x:patternFill patternType="solid">
        <x:fgColor rgb="FF253B35"/>
      </x:patternFill>
    </x:fill>
  </x:fills>
  <x:borders count="1">
    <x:border>
      <x:left/>
      <x:right/>
      <x:top/>
      <x:bottom/>
      <x:diagonal/>
    </x:border>
  </x:borders>
  <x:cellStyleXfs count="1">
    <x:xf numFmtId="0" fontId="0" fillId="0" borderId="0"/>
  </x:cellStyleXfs>
  <x:cellXfs count="20">
    <x:xf numFmtId="0" fontId="0" fillId="0" borderId="0" xfId="0"/>
    <x:xf numFmtId="0" fontId="1" fillId="0" borderId="0" xfId="0" applyFont="1"/>
    <x:xf numFmtId="0" fontId="2" fillId="0" borderId="0" xfId="0" applyFont="1"/>
    <x:xf numFmtId="0" fontId="3" fillId="2" borderId="0" xfId="0" applyFont="1" applyFill="1" applyAlignment="1">
      <x:alignment vertical="center" wrapText="1"/>
    </x:xf>
    <x:xf numFmtId="0" fontId="4" fillId="0" borderId="0" xfId="0" applyFont="1"/>
    <x:xf numFmtId="164" fontId="4" fillId="0" borderId="0" xfId="0" applyNumberFormat="1" applyFont="1"/>
    <x:xf numFmtId="0" fontId="0" fillId="0" borderId="0" xfId="0" applyAlignment="1">
      <x:alignment vertical="top"/>
    </x:xf>
    <x:xf numFmtId="0" fontId="0" fillId="0" borderId="0" xfId="0" applyAlignment="1">
      <x:alignment vertical="top" wrapText="1"/>
    </x:xf>
    <x:xf numFmtId="9" fontId="0" fillId="0" borderId="0" xfId="0" applyNumberFormat="1"/>
    <x:xf numFmtId="164" fontId="0" fillId="0" borderId="0" xfId="0" applyNumberFormat="1"/>
    <x:xf numFmtId="200" fontId="1" fillId="0" borderId="0" xfId="0" applyNumberFormat="1" applyFont="1" applyFill="1" applyBorder="1"/>
    <x:xf numFmtId="200" fontId="2" fillId="0" borderId="0" xfId="0" applyNumberFormat="1" applyFont="1" applyFill="1" applyBorder="1"/>
    <x:xf numFmtId="200" fontId="3" fillId="2" borderId="0" xfId="0" applyNumberFormat="1" applyFont="1" applyFill="1" applyBorder="1" applyAlignment="1">
      <x:alignment vertical="center" wrapText="1"/>
    </x:xf>
    <x:xf numFmtId="200" fontId="0" fillId="0" borderId="0" xfId="0" applyNumberFormat="1" applyFont="1" applyFill="1" applyBorder="1"/>
    <x:xf numFmtId="200" fontId="4" fillId="0" borderId="0" xfId="0" applyNumberFormat="1" applyFont="1" applyFill="1" applyBorder="1"/>
    <x:xf numFmtId="164" fontId="4" fillId="0" borderId="0" xfId="0" applyNumberFormat="1" applyFont="1" applyFill="1" applyBorder="1"/>
    <x:xf numFmtId="200" fontId="0" fillId="0" borderId="0" xfId="0" applyNumberFormat="1" applyFont="1" applyFill="1" applyBorder="1" applyAlignment="1">
      <x:alignment vertical="top"/>
    </x:xf>
    <x:xf numFmtId="200" fontId="0" fillId="0" borderId="0" xfId="0" applyNumberFormat="1" applyFont="1" applyFill="1" applyBorder="1" applyAlignment="1">
      <x:alignment vertical="top" wrapText="1"/>
    </x:xf>
    <x:xf numFmtId="201" fontId="0" fillId="0" borderId="0" xfId="0" applyNumberFormat="1" applyFont="1" applyFill="1" applyBorder="1"/>
    <x:xf numFmtId="164"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22fa125d37f482d" /><Relationship Type="http://schemas.openxmlformats.org/officeDocument/2006/relationships/theme" Target="/xl/theme/theme1.xml" Id="R8c860d2cf68046c8" /><Relationship Type="http://schemas.openxmlformats.org/officeDocument/2006/relationships/sharedStrings" Target="/xl/sharedStrings.xml" Id="R17ec56c2f64349c0" /><Relationship Type="http://schemas.openxmlformats.org/officeDocument/2006/relationships/worksheet" Target="/xl/worksheets/sheet1.xml" Id="R22261d597eb64c5e" /><Relationship Type="http://schemas.openxmlformats.org/officeDocument/2006/relationships/worksheet" Target="/xl/worksheets/sheet2.xml" Id="R1aee4edc6ec641ea" /><Relationship Type="http://schemas.openxmlformats.org/officeDocument/2006/relationships/worksheet" Target="/xl/worksheets/sheet3.xml" Id="R5cdc49ae4d094ad2" /><Relationship Type="http://schemas.openxmlformats.org/officeDocument/2006/relationships/worksheet" Target="/xl/worksheets/sheet4.xml" Id="R9f55a881f64e4ed8" /><Relationship Type="http://schemas.openxmlformats.org/officeDocument/2006/relationships/worksheet" Target="/xl/worksheets/sheet5.xml" Id="R89e54929ecef4b62" /><Relationship Type="http://schemas.openxmlformats.org/officeDocument/2006/relationships/worksheet" Target="/xl/worksheets/sheet6.xml" Id="Rd41c2da8a27c4626" /><Relationship Type="http://schemas.openxmlformats.org/officeDocument/2006/relationships/worksheet" Target="/xl/worksheets/sheet7.xml" Id="R87b8fa41abe7484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10" defaultColWidth="8.88671875" defaultRowHeight="14.399999618530273"/>
  <x:cols>
    <x:col min="1" max="1" width="42" customWidth="1"/>
    <x:col min="2" max="3" width="16" customWidth="1"/>
    <x:col min="4" max="4" width="90" customWidth="1"/>
  </x:cols>
  <x:sheetData>
    <x:row r="2" ht="18">
      <x:c r="A2" s="10" t="str">
        <x:v>Compras del proyecto · cocina, clóset y baño</x:v>
      </x:c>
    </x:row>
    <x:row r="3">
      <x:c r="A3" s="11" t="str">
        <x:v>Estimación conjunta del 28/10/2026, generada desde los Excel de cada mueble (herramientas/build_compras_proyecto.py).</x:v>
      </x:c>
    </x:row>
    <x:row r="6">
      <x:c r="A6" s="12" t="str">
        <x:v>Concepto</x:v>
      </x:c>
      <x:c r="B6" s="12" t="str">
        <x:v>Por separado</x:v>
      </x:c>
      <x:c r="C6" s="12" t="str">
        <x:v>Conjunto</x:v>
      </x:c>
      <x:c r="D6" s="12" t="str">
        <x:v>Nota</x:v>
      </x:c>
    </x:row>
    <x:row r="7">
      <x:c r="A7" s="13" t="str">
        <x:v>Láminas RH15</x:v>
      </x:c>
      <x:c r="B7" s="13" t="n">
        <x:v>9</x:v>
      </x:c>
      <x:c r="C7" s="13" t="n">
        <x:v>8</x:v>
      </x:c>
      <x:c r="D7" s="13" t="str">
        <x:v>Cocina 4 + clóset 4 + baño 1 por separado; encaje conjunto en la hoja Láminas.</x:v>
      </x:c>
    </x:row>
    <x:row r="8">
      <x:c r="A8" s="13" t="str">
        <x:v>Láminas de fondo RH6</x:v>
      </x:c>
      <x:c r="B8" s="13" t="n">
        <x:v>2</x:v>
      </x:c>
      <x:c r="C8" s="13" t="n">
        <x:v>1</x:v>
      </x:c>
      <x:c r="D8" s="13" t="str">
        <x:v>El fondo del baño cabe en la lámina de fondo de la cocina.</x:v>
      </x:c>
    </x:row>
    <x:row r="9">
      <x:c r="A9" s="13" t="str">
        <x:v>Rollos de canto rígido 100 m</x:v>
      </x:c>
      <x:c r="B9" s="13" t="n">
        <x:v>2</x:v>
      </x:c>
      <x:c r="C9" s="13" t="n">
        <x:v>1</x:v>
      </x:c>
      <x:c r="D9" s="13" t="str">
        <x:v>Más 0 m sueltos en la sucursal.</x:v>
      </x:c>
    </x:row>
    <x:row r="10">
      <x:c r="A10" s="13" t="str">
        <x:v>Rollos de canto flexible 200 m</x:v>
      </x:c>
      <x:c r="B10" s="13" t="n">
        <x:v>2</x:v>
      </x:c>
      <x:c r="C10" s="13" t="n">
        <x:v>1</x:v>
      </x:c>
      <x:c r="D10" s="13" t="str">
        <x:v>Sobran unos 19 m para cantear piezas pequeñas en el armado.</x:v>
      </x:c>
    </x:row>
    <x:row r="11">
      <x:c r="A11" s="13" t="str">
        <x:v>Bisagras HBM897-01 (pares)</x:v>
      </x:c>
      <x:c r="B11" s="13" t="n">
        <x:v>15</x:v>
      </x:c>
      <x:c r="C11" s="13" t="n">
        <x:v>15</x:v>
      </x:c>
      <x:c r="D11" s="13" t="str">
        <x:v>Misma referencia en cocina y baño: se compran juntas.</x:v>
      </x:c>
    </x:row>
    <x:row r="13">
      <x:c r="A13" s="14" t="str">
        <x:v>Total con precio conocido (hoja Compras)</x:v>
      </x:c>
      <x:c r="C13" s="15" t="n">
        <x:f>Compras!G67</x:f>
        <x:v>8453310</x:v>
      </x:c>
      <x:c r="D13" s="13" t="str">
        <x:v>Los metros sueltos de rígido y las partidas sin precio no están incluidos.</x:v>
      </x:c>
    </x:row>
    <x:row r="14">
      <x:c r="A14" s="13" t="str">
        <x:v>Partidas sin precio</x:v>
      </x:c>
      <x:c r="C14" s="13" t="n">
        <x:f>Compras!G68</x:f>
        <x:v>28</x:v>
      </x:c>
    </x:row>
    <x:row r="16">
      <x:c r="A16" s="11" t="str">
        <x:v>Espejo, retal de granito y mesón son de otros proveedores; lavamanos, grifería y equipos se eligen aparte.</x:v>
      </x:c>
    </x:row>
  </x:sheetData>
  <x:pageMargins left="0.7" right="0.7" top="0.75" bottom="0.75" header="0.3" footer="0.3"/>
</x:worksheet>
</file>

<file path=xl/worksheets/sheet2.xml><?xml version="1.0" encoding="utf-8"?>
<worksheet xmlns="http://schemas.openxmlformats.org/spreadsheetml/2006/main">
  <sheetViews>
    <sheetView workbookViewId="0">
      <pane ySplit="6" topLeftCell="A7" activePane="bottomLeft" state="frozen"/>
    </sheetView>
  </sheetViews>
  <sheetFormatPr baseColWidth="10" defaultColWidth="8.88671875" defaultRowHeight="14.399999618530273"/>
  <cols>
    <col min="1" max="1" width="9" customWidth="1"/>
    <col min="2" max="2" width="8" customWidth="1"/>
    <col min="3" max="3" width="18" customWidth="1"/>
    <col min="4" max="4" width="34" customWidth="1"/>
    <col min="5" max="5" width="22" customWidth="1"/>
    <col min="6" max="6" width="6" customWidth="1"/>
    <col min="7" max="8" width="10" customWidth="1"/>
    <col min="9" max="12" width="7" customWidth="1"/>
    <col min="13" max="13" width="10" customWidth="1"/>
    <col min="14" max="14" width="14" customWidth="1"/>
    <col min="15" max="15" width="15" customWidth="1"/>
    <col min="16" max="16" width="60" customWidth="1"/>
  </cols>
  <sheetData>
    <row r="2" ht="18">
      <c r="A2" s="10" t="str">
        <v>Pedido de corte y canteado · pedido único de los tres muebles</v>
      </c>
    </row>
    <row r="3">
      <c r="A3" s="11" t="str">
        <v>Medidas finales en mm, con canto incluido; largo en sentido de veta. R = rígido 2 mm · F = flexible 0,45 mm · — = sin canto. Un solo tipo de canto por pieza, únicamente en los bordes indicados.</v>
      </c>
    </row>
    <row r="4">
      <c r="A4" s="13" t="str">
        <v>Supuestos de cada despiece: el proveedor pide medida terminada y descuenta el canto; piezas pequeñas = lado menor &lt; 100 mm o mayor &lt; 250 mm. Si la sucursal pide medida de corte, usar la columna «Corte sin canto».</v>
      </c>
    </row>
    <row r="6" ht="28.799999237060547">
      <c r="A6" s="12" t="str">
        <v>Mueble</v>
      </c>
      <c r="B6" s="12" t="str">
        <v>ID</v>
      </c>
      <c r="C6" s="12" t="str">
        <v>Módulo</v>
      </c>
      <c r="D6" s="12" t="str">
        <v>Pieza</v>
      </c>
      <c r="E6" s="12" t="str">
        <v>Material</v>
      </c>
      <c r="F6" s="12" t="str">
        <v>Cant.</v>
      </c>
      <c r="G6" s="12" t="str">
        <v>Largo a pedir</v>
      </c>
      <c r="H6" s="12" t="str">
        <v>Ancho a pedir</v>
      </c>
      <c r="I6" s="12" t="str">
        <v>Largo 1</v>
      </c>
      <c r="J6" s="12" t="str">
        <v>Largo 2</v>
      </c>
      <c r="K6" s="12" t="str">
        <v>Corto 1</v>
      </c>
      <c r="L6" s="12" t="str">
        <v>Corto 2</v>
      </c>
      <c r="M6" s="12" t="str">
        <v>Canteo</v>
      </c>
      <c r="N6" s="12" t="str">
        <v>Medida terminada</v>
      </c>
      <c r="O6" s="12" t="str">
        <v>Corte sin canto</v>
      </c>
      <c r="P6" s="12" t="str">
        <v>Observaciones</v>
      </c>
    </row>
    <row r="7" ht="28.799999237060547">
      <c r="A7" s="16" t="str">
        <v>Cocina</v>
      </c>
      <c r="B7" s="16" t="str">
        <v>P001</v>
      </c>
      <c r="C7" s="16" t="str">
        <v>B1 Condimentero 18</v>
      </c>
      <c r="D7" s="17" t="str">
        <v>Lateral</v>
      </c>
      <c r="E7" s="16" t="str">
        <v>Melamina Cartagena RH 15</v>
      </c>
      <c r="F7" s="16" t="n">
        <v>2</v>
      </c>
      <c r="G7" s="16" t="n">
        <v>785</v>
      </c>
      <c r="H7" s="16" t="n">
        <v>580</v>
      </c>
      <c r="I7" s="16" t="str">
        <v>F</v>
      </c>
      <c r="J7" s="16" t="str">
        <v>—</v>
      </c>
      <c r="K7" s="16" t="str">
        <v>F</v>
      </c>
      <c r="L7" s="16" t="str">
        <v>—</v>
      </c>
      <c r="M7" s="16" t="str">
        <v>Normal</v>
      </c>
      <c r="N7" s="16" t="str">
        <v>785 × 580</v>
      </c>
      <c r="O7" s="16" t="str">
        <v>784,55 × 579,55</v>
      </c>
      <c r="P7" s="17" t="str">
        <v>Rebaje para la gola en el armado, cuando se defina el borde del granito; no lo hace el proveedor.</v>
      </c>
    </row>
    <row r="8">
      <c r="A8" s="16" t="str">
        <v>Cocina</v>
      </c>
      <c r="B8" s="16" t="str">
        <v>P002</v>
      </c>
      <c r="C8" s="16" t="str">
        <v>B1 Condimentero 18</v>
      </c>
      <c r="D8" s="17" t="str">
        <v>Piso</v>
      </c>
      <c r="E8" s="16" t="str">
        <v>Melamina Cartagena RH 15</v>
      </c>
      <c r="F8" s="16" t="n">
        <v>1</v>
      </c>
      <c r="G8" s="16" t="n">
        <v>150</v>
      </c>
      <c r="H8" s="16" t="n">
        <v>580</v>
      </c>
      <c r="I8" s="16" t="str">
        <v>F</v>
      </c>
      <c r="J8" s="16" t="str">
        <v>—</v>
      </c>
      <c r="K8" s="16" t="str">
        <v>—</v>
      </c>
      <c r="L8" s="16" t="str">
        <v>—</v>
      </c>
      <c r="M8" s="16" t="str">
        <v>Normal</v>
      </c>
      <c r="N8" s="16" t="str">
        <v>150 × 580</v>
      </c>
      <c r="O8" s="16" t="str">
        <v>150 × 579,55</v>
      </c>
      <c r="P8" s="17" t="str">
        <v>—</v>
      </c>
    </row>
    <row r="9" ht="43.20000076293945">
      <c r="A9" s="16" t="str">
        <v>Cocina</v>
      </c>
      <c r="B9" s="16" t="str">
        <v>P003</v>
      </c>
      <c r="C9" s="16" t="str">
        <v>B1 Condimentero 18</v>
      </c>
      <c r="D9" s="17" t="str">
        <v>Travesaño horizontal</v>
      </c>
      <c r="E9" s="16" t="str">
        <v>Melamina Cartagena RH 15</v>
      </c>
      <c r="F9" s="16" t="n">
        <v>2</v>
      </c>
      <c r="G9" s="16" t="n">
        <v>150</v>
      </c>
      <c r="H9" s="16" t="n">
        <v>100</v>
      </c>
      <c r="I9" s="16" t="str">
        <v>F</v>
      </c>
      <c r="J9" s="16" t="str">
        <v>F</v>
      </c>
      <c r="K9" s="16" t="str">
        <v>—</v>
      </c>
      <c r="L9" s="16" t="str">
        <v>—</v>
      </c>
      <c r="M9" s="16" t="str">
        <v>Pequeña</v>
      </c>
      <c r="N9" s="16" t="str">
        <v>150 × 100</v>
      </c>
      <c r="O9" s="16" t="str">
        <v>150 × 99,1</v>
      </c>
      <c r="P9" s="17" t="str">
        <v>Si no la cantean: cortar a 150 × 99,1 y cantear en el armado. Rebaje para la gola en el armado, cuando se defina el borde del granito; no lo hace el proveedor.</v>
      </c>
    </row>
    <row r="10">
      <c r="A10" s="16" t="str">
        <v>Cocina</v>
      </c>
      <c r="B10" s="16" t="str">
        <v>P004</v>
      </c>
      <c r="C10" s="16" t="str">
        <v>B1 Condimentero 18</v>
      </c>
      <c r="D10" s="17" t="str">
        <v>Fondo clavado atrás</v>
      </c>
      <c r="E10" s="16" t="str">
        <v>Fondo melamina 6</v>
      </c>
      <c r="F10" s="16" t="n">
        <v>1</v>
      </c>
      <c r="G10" s="16" t="n">
        <v>176</v>
      </c>
      <c r="H10" s="16" t="n">
        <v>781</v>
      </c>
      <c r="I10" s="16" t="str">
        <v>—</v>
      </c>
      <c r="J10" s="16" t="str">
        <v>—</v>
      </c>
      <c r="K10" s="16" t="str">
        <v>—</v>
      </c>
      <c r="L10" s="16" t="str">
        <v>—</v>
      </c>
      <c r="M10" s="16" t="str">
        <v>Sin canto</v>
      </c>
      <c r="N10" s="16" t="str">
        <v>176 × 781</v>
      </c>
      <c r="O10" s="16" t="str">
        <v>176 × 781</v>
      </c>
      <c r="P10" s="17" t="str">
        <v>—</v>
      </c>
    </row>
    <row r="11">
      <c r="A11" s="16" t="str">
        <v>Cocina</v>
      </c>
      <c r="B11" s="16" t="str">
        <v>P005</v>
      </c>
      <c r="C11" s="16" t="str">
        <v>B1 Condimentero 18</v>
      </c>
      <c r="D11" s="17" t="str">
        <v>Frente condimentero</v>
      </c>
      <c r="E11" s="16" t="str">
        <v>Melamina Cartagena RH 15</v>
      </c>
      <c r="F11" s="16" t="n">
        <v>1</v>
      </c>
      <c r="G11" s="16" t="n">
        <v>732</v>
      </c>
      <c r="H11" s="16" t="n">
        <v>177</v>
      </c>
      <c r="I11" s="16" t="str">
        <v>R</v>
      </c>
      <c r="J11" s="16" t="str">
        <v>R</v>
      </c>
      <c r="K11" s="16" t="str">
        <v>R</v>
      </c>
      <c r="L11" s="16" t="str">
        <v>R</v>
      </c>
      <c r="M11" s="16" t="str">
        <v>Normal</v>
      </c>
      <c r="N11" s="16" t="str">
        <v>732 × 177</v>
      </c>
      <c r="O11" s="16" t="str">
        <v>728 × 173</v>
      </c>
      <c r="P11" s="17" t="str">
        <v>—</v>
      </c>
    </row>
    <row r="12">
      <c r="A12" s="16" t="str">
        <v>Cocina</v>
      </c>
      <c r="B12" s="16" t="str">
        <v>P006</v>
      </c>
      <c r="C12" s="16" t="str">
        <v>B2 Horno y estufa 60</v>
      </c>
      <c r="D12" s="17" t="str">
        <v>Lateral</v>
      </c>
      <c r="E12" s="16" t="str">
        <v>Melamina Cartagena RH 15</v>
      </c>
      <c r="F12" s="16" t="n">
        <v>2</v>
      </c>
      <c r="G12" s="16" t="n">
        <v>785</v>
      </c>
      <c r="H12" s="16" t="n">
        <v>580</v>
      </c>
      <c r="I12" s="16" t="str">
        <v>F</v>
      </c>
      <c r="J12" s="16" t="str">
        <v>—</v>
      </c>
      <c r="K12" s="16" t="str">
        <v>F</v>
      </c>
      <c r="L12" s="16" t="str">
        <v>—</v>
      </c>
      <c r="M12" s="16" t="str">
        <v>Normal</v>
      </c>
      <c r="N12" s="16" t="str">
        <v>785 × 580</v>
      </c>
      <c r="O12" s="16" t="str">
        <v>784,55 × 579,55</v>
      </c>
      <c r="P12" s="17" t="str">
        <v>—</v>
      </c>
    </row>
    <row r="13" ht="28.799999237060547">
      <c r="A13" s="16" t="str">
        <v>Cocina</v>
      </c>
      <c r="B13" s="16" t="str">
        <v>P007</v>
      </c>
      <c r="C13" s="16" t="str">
        <v>B2 Horno y estufa 60</v>
      </c>
      <c r="D13" s="17" t="str">
        <v>Piso de apoyo horno (validar montaje)</v>
      </c>
      <c r="E13" s="16" t="str">
        <v>Melamina Cartagena RH 15</v>
      </c>
      <c r="F13" s="16" t="n">
        <v>1</v>
      </c>
      <c r="G13" s="16" t="n">
        <v>570</v>
      </c>
      <c r="H13" s="16" t="n">
        <v>580</v>
      </c>
      <c r="I13" s="16" t="str">
        <v>F</v>
      </c>
      <c r="J13" s="16" t="str">
        <v>—</v>
      </c>
      <c r="K13" s="16" t="str">
        <v>—</v>
      </c>
      <c r="L13" s="16" t="str">
        <v>—</v>
      </c>
      <c r="M13" s="16" t="str">
        <v>Normal</v>
      </c>
      <c r="N13" s="16" t="str">
        <v>570 × 580</v>
      </c>
      <c r="O13" s="16" t="str">
        <v>570 × 579,55</v>
      </c>
      <c r="P13" s="17" t="str">
        <v>Ranura de ventilación o paso de cable en obra, si el manual del horno lo pide.</v>
      </c>
    </row>
    <row r="14">
      <c r="A14" s="16" t="str">
        <v>Cocina</v>
      </c>
      <c r="B14" s="16" t="str">
        <v>P008</v>
      </c>
      <c r="C14" s="16" t="str">
        <v>B2 Horno y estufa 60</v>
      </c>
      <c r="D14" s="17" t="str">
        <v>Travesaño trasero</v>
      </c>
      <c r="E14" s="16" t="str">
        <v>Melamina Cartagena RH 15</v>
      </c>
      <c r="F14" s="16" t="n">
        <v>1</v>
      </c>
      <c r="G14" s="16" t="n">
        <v>570</v>
      </c>
      <c r="H14" s="16" t="n">
        <v>100</v>
      </c>
      <c r="I14" s="16" t="str">
        <v>F</v>
      </c>
      <c r="J14" s="16" t="str">
        <v>—</v>
      </c>
      <c r="K14" s="16" t="str">
        <v>—</v>
      </c>
      <c r="L14" s="16" t="str">
        <v>—</v>
      </c>
      <c r="M14" s="16" t="str">
        <v>Pequeña</v>
      </c>
      <c r="N14" s="16" t="str">
        <v>570 × 100</v>
      </c>
      <c r="O14" s="16" t="str">
        <v>570 × 99,55</v>
      </c>
      <c r="P14" s="17" t="str">
        <v>Si no la cantean: cortar a 570 × 99,55 y cantear en el armado.</v>
      </c>
    </row>
    <row r="15" ht="28.799999237060547">
      <c r="A15" s="16" t="str">
        <v>Cocina</v>
      </c>
      <c r="B15" s="16" t="str">
        <v>P009</v>
      </c>
      <c r="C15" s="16" t="str">
        <v>B2 Horno y estufa 60</v>
      </c>
      <c r="D15" s="17" t="str">
        <v>Repisa sobre horno (posición por manual)</v>
      </c>
      <c r="E15" s="16" t="str">
        <v>Melamina Cartagena RH 15</v>
      </c>
      <c r="F15" s="16" t="n">
        <v>1</v>
      </c>
      <c r="G15" s="16" t="n">
        <v>570</v>
      </c>
      <c r="H15" s="16" t="n">
        <v>500</v>
      </c>
      <c r="I15" s="16" t="str">
        <v>F</v>
      </c>
      <c r="J15" s="16" t="str">
        <v>—</v>
      </c>
      <c r="K15" s="16" t="str">
        <v>—</v>
      </c>
      <c r="L15" s="16" t="str">
        <v>—</v>
      </c>
      <c r="M15" s="16" t="str">
        <v>Normal</v>
      </c>
      <c r="N15" s="16" t="str">
        <v>570 × 500</v>
      </c>
      <c r="O15" s="16" t="str">
        <v>570 × 499,55</v>
      </c>
      <c r="P15" s="17" t="str">
        <v>Su altura se fija en el armado según el manual del horno; si pide más ventilación atrás, recortar el borde trasero (sin canto).</v>
      </c>
    </row>
    <row r="16" ht="28.799999237060547">
      <c r="A16" s="16" t="str">
        <v>Cocina</v>
      </c>
      <c r="B16" s="16" t="str">
        <v>P010</v>
      </c>
      <c r="C16" s="16" t="str">
        <v>B2 Horno y estufa 60</v>
      </c>
      <c r="D16" s="17" t="str">
        <v>Listón frontal de apoyo del mesón (de canto)</v>
      </c>
      <c r="E16" s="16" t="str">
        <v>Melamina Cartagena RH 15</v>
      </c>
      <c r="F16" s="16" t="n">
        <v>1</v>
      </c>
      <c r="G16" s="16" t="n">
        <v>570</v>
      </c>
      <c r="H16" s="16" t="n">
        <v>80</v>
      </c>
      <c r="I16" s="16" t="str">
        <v>F</v>
      </c>
      <c r="J16" s="16" t="str">
        <v>—</v>
      </c>
      <c r="K16" s="16" t="str">
        <v>—</v>
      </c>
      <c r="L16" s="16" t="str">
        <v>—</v>
      </c>
      <c r="M16" s="16" t="str">
        <v>Pequeña</v>
      </c>
      <c r="N16" s="16" t="str">
        <v>570 × 80</v>
      </c>
      <c r="O16" s="16" t="str">
        <v>570 × 79,55</v>
      </c>
      <c r="P16" s="17" t="str">
        <v>Si no la cantean: cortar a 570 × 79,55 y cantear en el armado.</v>
      </c>
    </row>
    <row r="17" ht="43.20000076293945">
      <c r="A17" s="16" t="str">
        <v>Cocina</v>
      </c>
      <c r="B17" s="16" t="str">
        <v>P011</v>
      </c>
      <c r="C17" s="16" t="str">
        <v>B2 Horno y estufa 60</v>
      </c>
      <c r="D17" s="17" t="str">
        <v>Panel fijo bajo estufa (ajustar con equipo)</v>
      </c>
      <c r="E17" s="16" t="str">
        <v>Melamina Cartagena RH 15</v>
      </c>
      <c r="F17" s="16" t="n">
        <v>1</v>
      </c>
      <c r="G17" s="16" t="n">
        <v>160</v>
      </c>
      <c r="H17" s="16" t="n">
        <v>597</v>
      </c>
      <c r="I17" s="16" t="str">
        <v>F</v>
      </c>
      <c r="J17" s="16" t="str">
        <v>F</v>
      </c>
      <c r="K17" s="16" t="str">
        <v>F</v>
      </c>
      <c r="L17" s="16" t="str">
        <v>—</v>
      </c>
      <c r="M17" s="16" t="str">
        <v>Normal</v>
      </c>
      <c r="N17" s="16" t="str">
        <v>145 × 597</v>
      </c>
      <c r="O17" s="16" t="str">
        <v>159,55 × 596,1</v>
      </c>
      <c r="P17" s="17" t="str">
        <v>Pedida 15 mm más alta (160 en vez de 145): en el armado, recortar el borde superior —oculto bajo el mesón y sin canto— según el horno instalado.</v>
      </c>
    </row>
    <row r="18" ht="28.799999237060547">
      <c r="A18" s="16" t="str">
        <v>Cocina</v>
      </c>
      <c r="B18" s="16" t="str">
        <v>P012</v>
      </c>
      <c r="C18" s="16" t="str">
        <v>B3 Cubiertero y puertas 67</v>
      </c>
      <c r="D18" s="17" t="str">
        <v>Lateral</v>
      </c>
      <c r="E18" s="16" t="str">
        <v>Melamina Cartagena RH 15</v>
      </c>
      <c r="F18" s="16" t="n">
        <v>2</v>
      </c>
      <c r="G18" s="16" t="n">
        <v>785</v>
      </c>
      <c r="H18" s="16" t="n">
        <v>580</v>
      </c>
      <c r="I18" s="16" t="str">
        <v>F</v>
      </c>
      <c r="J18" s="16" t="str">
        <v>—</v>
      </c>
      <c r="K18" s="16" t="str">
        <v>F</v>
      </c>
      <c r="L18" s="16" t="str">
        <v>—</v>
      </c>
      <c r="M18" s="16" t="str">
        <v>Normal</v>
      </c>
      <c r="N18" s="16" t="str">
        <v>785 × 580</v>
      </c>
      <c r="O18" s="16" t="str">
        <v>784,55 × 579,55</v>
      </c>
      <c r="P18" s="17" t="str">
        <v>Rebaje para la gola en el armado, cuando se defina el borde del granito; no lo hace el proveedor.</v>
      </c>
    </row>
    <row r="19">
      <c r="A19" s="16" t="str">
        <v>Cocina</v>
      </c>
      <c r="B19" s="16" t="str">
        <v>P013</v>
      </c>
      <c r="C19" s="16" t="str">
        <v>B3 Cubiertero y puertas 67</v>
      </c>
      <c r="D19" s="17" t="str">
        <v>Piso</v>
      </c>
      <c r="E19" s="16" t="str">
        <v>Melamina Cartagena RH 15</v>
      </c>
      <c r="F19" s="16" t="n">
        <v>1</v>
      </c>
      <c r="G19" s="16" t="n">
        <v>640</v>
      </c>
      <c r="H19" s="16" t="n">
        <v>580</v>
      </c>
      <c r="I19" s="16" t="str">
        <v>F</v>
      </c>
      <c r="J19" s="16" t="str">
        <v>—</v>
      </c>
      <c r="K19" s="16" t="str">
        <v>—</v>
      </c>
      <c r="L19" s="16" t="str">
        <v>—</v>
      </c>
      <c r="M19" s="16" t="str">
        <v>Normal</v>
      </c>
      <c r="N19" s="16" t="str">
        <v>640 × 580</v>
      </c>
      <c r="O19" s="16" t="str">
        <v>640 × 579,55</v>
      </c>
      <c r="P19" s="17" t="str">
        <v>—</v>
      </c>
    </row>
    <row r="20" ht="43.20000076293945">
      <c r="A20" s="16" t="str">
        <v>Cocina</v>
      </c>
      <c r="B20" s="16" t="str">
        <v>P014</v>
      </c>
      <c r="C20" s="16" t="str">
        <v>B3 Cubiertero y puertas 67</v>
      </c>
      <c r="D20" s="17" t="str">
        <v>Travesaño horizontal</v>
      </c>
      <c r="E20" s="16" t="str">
        <v>Melamina Cartagena RH 15</v>
      </c>
      <c r="F20" s="16" t="n">
        <v>2</v>
      </c>
      <c r="G20" s="16" t="n">
        <v>640</v>
      </c>
      <c r="H20" s="16" t="n">
        <v>100</v>
      </c>
      <c r="I20" s="16" t="str">
        <v>F</v>
      </c>
      <c r="J20" s="16" t="str">
        <v>F</v>
      </c>
      <c r="K20" s="16" t="str">
        <v>—</v>
      </c>
      <c r="L20" s="16" t="str">
        <v>—</v>
      </c>
      <c r="M20" s="16" t="str">
        <v>Pequeña</v>
      </c>
      <c r="N20" s="16" t="str">
        <v>640 × 100</v>
      </c>
      <c r="O20" s="16" t="str">
        <v>640 × 99,1</v>
      </c>
      <c r="P20" s="17" t="str">
        <v>Si no la cantean: cortar a 640 × 99,1 y cantear en el armado. Rebaje para la gola en el armado, cuando se defina el borde del granito; no lo hace el proveedor.</v>
      </c>
    </row>
    <row r="21">
      <c r="A21" s="16" t="str">
        <v>Cocina</v>
      </c>
      <c r="B21" s="16" t="str">
        <v>P015</v>
      </c>
      <c r="C21" s="16" t="str">
        <v>B3 Cubiertero y puertas 67</v>
      </c>
      <c r="D21" s="17" t="str">
        <v>Fondo clavado atrás</v>
      </c>
      <c r="E21" s="16" t="str">
        <v>Fondo melamina 6</v>
      </c>
      <c r="F21" s="16" t="n">
        <v>1</v>
      </c>
      <c r="G21" s="16" t="n">
        <v>666</v>
      </c>
      <c r="H21" s="16" t="n">
        <v>781</v>
      </c>
      <c r="I21" s="16" t="str">
        <v>—</v>
      </c>
      <c r="J21" s="16" t="str">
        <v>—</v>
      </c>
      <c r="K21" s="16" t="str">
        <v>—</v>
      </c>
      <c r="L21" s="16" t="str">
        <v>—</v>
      </c>
      <c r="M21" s="16" t="str">
        <v>Sin canto</v>
      </c>
      <c r="N21" s="16" t="str">
        <v>666 × 781</v>
      </c>
      <c r="O21" s="16" t="str">
        <v>666 × 781</v>
      </c>
      <c r="P21" s="17" t="str">
        <v>—</v>
      </c>
    </row>
    <row r="22">
      <c r="A22" s="16" t="str">
        <v>Cocina</v>
      </c>
      <c r="B22" s="16" t="str">
        <v>P016</v>
      </c>
      <c r="C22" s="16" t="str">
        <v>B3 Cubiertero y puertas 67</v>
      </c>
      <c r="D22" s="17" t="str">
        <v>Frente cajón superior cubiertero</v>
      </c>
      <c r="E22" s="16" t="str">
        <v>Melamina Cartagena RH 15</v>
      </c>
      <c r="F22" s="16" t="n">
        <v>1</v>
      </c>
      <c r="G22" s="16" t="n">
        <v>167</v>
      </c>
      <c r="H22" s="16" t="n">
        <v>667</v>
      </c>
      <c r="I22" s="16" t="str">
        <v>R</v>
      </c>
      <c r="J22" s="16" t="str">
        <v>R</v>
      </c>
      <c r="K22" s="16" t="str">
        <v>R</v>
      </c>
      <c r="L22" s="16" t="str">
        <v>R</v>
      </c>
      <c r="M22" s="16" t="str">
        <v>Normal</v>
      </c>
      <c r="N22" s="16" t="str">
        <v>167 × 667</v>
      </c>
      <c r="O22" s="16" t="str">
        <v>163 × 663</v>
      </c>
      <c r="P22" s="17" t="str">
        <v>—</v>
      </c>
    </row>
    <row r="23">
      <c r="A23" s="16" t="str">
        <v>Cocina</v>
      </c>
      <c r="B23" s="16" t="str">
        <v>P017</v>
      </c>
      <c r="C23" s="16" t="str">
        <v>B3 Cubiertero y puertas 67</v>
      </c>
      <c r="D23" s="17" t="str">
        <v>Cajón: base aplicada inferior</v>
      </c>
      <c r="E23" s="16" t="str">
        <v>Melamina Cartagena RH 15</v>
      </c>
      <c r="F23" s="16" t="n">
        <v>1</v>
      </c>
      <c r="G23" s="16" t="n">
        <v>613</v>
      </c>
      <c r="H23" s="16" t="n">
        <v>550</v>
      </c>
      <c r="I23" s="16" t="str">
        <v>F</v>
      </c>
      <c r="J23" s="16" t="str">
        <v>—</v>
      </c>
      <c r="K23" s="16" t="str">
        <v>F</v>
      </c>
      <c r="L23" s="16" t="str">
        <v>F</v>
      </c>
      <c r="M23" s="16" t="str">
        <v>Normal</v>
      </c>
      <c r="N23" s="16" t="str">
        <v>613 × 550</v>
      </c>
      <c r="O23" s="16" t="str">
        <v>612,1 × 549,55</v>
      </c>
      <c r="P23" s="17" t="str">
        <v>—</v>
      </c>
    </row>
    <row r="24">
      <c r="A24" s="16" t="str">
        <v>Cocina</v>
      </c>
      <c r="B24" s="16" t="str">
        <v>P018</v>
      </c>
      <c r="C24" s="16" t="str">
        <v>B3 Cubiertero y puertas 67</v>
      </c>
      <c r="D24" s="17" t="str">
        <v>Cajón: costado</v>
      </c>
      <c r="E24" s="16" t="str">
        <v>Melamina Cartagena RH 15</v>
      </c>
      <c r="F24" s="16" t="n">
        <v>2</v>
      </c>
      <c r="G24" s="16" t="n">
        <v>550</v>
      </c>
      <c r="H24" s="16" t="n">
        <v>75</v>
      </c>
      <c r="I24" s="16" t="str">
        <v>F</v>
      </c>
      <c r="J24" s="16" t="str">
        <v>—</v>
      </c>
      <c r="K24" s="16" t="str">
        <v>F</v>
      </c>
      <c r="L24" s="16" t="str">
        <v>—</v>
      </c>
      <c r="M24" s="16" t="str">
        <v>Pequeña</v>
      </c>
      <c r="N24" s="16" t="str">
        <v>550 × 75</v>
      </c>
      <c r="O24" s="16" t="str">
        <v>549,55 × 74,55</v>
      </c>
      <c r="P24" s="17" t="str">
        <v>Si no la cantean: cortar a 549,55 × 74,55 y cantear en el armado.</v>
      </c>
    </row>
    <row r="25">
      <c r="A25" s="16" t="str">
        <v>Cocina</v>
      </c>
      <c r="B25" s="16" t="str">
        <v>P019</v>
      </c>
      <c r="C25" s="16" t="str">
        <v>B3 Cubiertero y puertas 67</v>
      </c>
      <c r="D25" s="17" t="str">
        <v>Cajón: frente y trasero interiores</v>
      </c>
      <c r="E25" s="16" t="str">
        <v>Melamina Cartagena RH 15</v>
      </c>
      <c r="F25" s="16" t="n">
        <v>2</v>
      </c>
      <c r="G25" s="16" t="n">
        <v>583</v>
      </c>
      <c r="H25" s="16" t="n">
        <v>75</v>
      </c>
      <c r="I25" s="16" t="str">
        <v>F</v>
      </c>
      <c r="J25" s="16" t="str">
        <v>—</v>
      </c>
      <c r="K25" s="16" t="str">
        <v>—</v>
      </c>
      <c r="L25" s="16" t="str">
        <v>—</v>
      </c>
      <c r="M25" s="16" t="str">
        <v>Pequeña</v>
      </c>
      <c r="N25" s="16" t="str">
        <v>583 × 75</v>
      </c>
      <c r="O25" s="16" t="str">
        <v>583 × 74,55</v>
      </c>
      <c r="P25" s="17" t="str">
        <v>Si no la cantean: cortar a 583 × 74,55 y cantear en el armado.</v>
      </c>
    </row>
    <row r="26">
      <c r="A26" s="16" t="str">
        <v>Cocina</v>
      </c>
      <c r="B26" s="16" t="str">
        <v>P020</v>
      </c>
      <c r="C26" s="16" t="str">
        <v>B3 Cubiertero y puertas 67</v>
      </c>
      <c r="D26" s="17" t="str">
        <v>Puerta inferior izquierda</v>
      </c>
      <c r="E26" s="16" t="str">
        <v>Melamina Cartagena RH 15</v>
      </c>
      <c r="F26" s="16" t="n">
        <v>1</v>
      </c>
      <c r="G26" s="16" t="n">
        <v>537</v>
      </c>
      <c r="H26" s="16" t="n">
        <v>332</v>
      </c>
      <c r="I26" s="16" t="str">
        <v>R</v>
      </c>
      <c r="J26" s="16" t="str">
        <v>R</v>
      </c>
      <c r="K26" s="16" t="str">
        <v>R</v>
      </c>
      <c r="L26" s="16" t="str">
        <v>R</v>
      </c>
      <c r="M26" s="16" t="str">
        <v>Normal</v>
      </c>
      <c r="N26" s="16" t="str">
        <v>537 × 332</v>
      </c>
      <c r="O26" s="16" t="str">
        <v>533 × 328</v>
      </c>
      <c r="P26" s="17" t="str">
        <v>—</v>
      </c>
    </row>
    <row r="27">
      <c r="A27" s="16" t="str">
        <v>Cocina</v>
      </c>
      <c r="B27" s="16" t="str">
        <v>P021</v>
      </c>
      <c r="C27" s="16" t="str">
        <v>B3 Cubiertero y puertas 67</v>
      </c>
      <c r="D27" s="17" t="str">
        <v>Puerta inferior derecha</v>
      </c>
      <c r="E27" s="16" t="str">
        <v>Melamina Cartagena RH 15</v>
      </c>
      <c r="F27" s="16" t="n">
        <v>1</v>
      </c>
      <c r="G27" s="16" t="n">
        <v>537</v>
      </c>
      <c r="H27" s="16" t="n">
        <v>332</v>
      </c>
      <c r="I27" s="16" t="str">
        <v>R</v>
      </c>
      <c r="J27" s="16" t="str">
        <v>R</v>
      </c>
      <c r="K27" s="16" t="str">
        <v>R</v>
      </c>
      <c r="L27" s="16" t="str">
        <v>R</v>
      </c>
      <c r="M27" s="16" t="str">
        <v>Normal</v>
      </c>
      <c r="N27" s="16" t="str">
        <v>537 × 332</v>
      </c>
      <c r="O27" s="16" t="str">
        <v>533 × 328</v>
      </c>
      <c r="P27" s="17" t="str">
        <v>—</v>
      </c>
    </row>
    <row r="28">
      <c r="A28" s="16" t="str">
        <v>Cocina</v>
      </c>
      <c r="B28" s="16" t="str">
        <v>P022</v>
      </c>
      <c r="C28" s="16" t="str">
        <v>B3 Cubiertero y puertas 67</v>
      </c>
      <c r="D28" s="17" t="str">
        <v>Entrepaño regulable inferior</v>
      </c>
      <c r="E28" s="16" t="str">
        <v>Melamina Cartagena RH 15</v>
      </c>
      <c r="F28" s="16" t="n">
        <v>1</v>
      </c>
      <c r="G28" s="16" t="n">
        <v>638</v>
      </c>
      <c r="H28" s="16" t="n">
        <v>550</v>
      </c>
      <c r="I28" s="16" t="str">
        <v>F</v>
      </c>
      <c r="J28" s="16" t="str">
        <v>—</v>
      </c>
      <c r="K28" s="16" t="str">
        <v>—</v>
      </c>
      <c r="L28" s="16" t="str">
        <v>—</v>
      </c>
      <c r="M28" s="16" t="str">
        <v>Normal</v>
      </c>
      <c r="N28" s="16" t="str">
        <v>638 × 550</v>
      </c>
      <c r="O28" s="16" t="str">
        <v>638 × 549,55</v>
      </c>
      <c r="P28" s="17" t="str">
        <v>—</v>
      </c>
    </row>
    <row r="29" ht="28.799999237060547">
      <c r="A29" s="16" t="str">
        <v>Cocina</v>
      </c>
      <c r="B29" s="16" t="str">
        <v>P023</v>
      </c>
      <c r="C29" s="16" t="str">
        <v>B5 Lavaplatos 70</v>
      </c>
      <c r="D29" s="17" t="str">
        <v>Lateral</v>
      </c>
      <c r="E29" s="16" t="str">
        <v>Melamina Cartagena RH 15</v>
      </c>
      <c r="F29" s="16" t="n">
        <v>2</v>
      </c>
      <c r="G29" s="16" t="n">
        <v>785</v>
      </c>
      <c r="H29" s="16" t="n">
        <v>580</v>
      </c>
      <c r="I29" s="16" t="str">
        <v>F</v>
      </c>
      <c r="J29" s="16" t="str">
        <v>—</v>
      </c>
      <c r="K29" s="16" t="str">
        <v>F</v>
      </c>
      <c r="L29" s="16" t="str">
        <v>—</v>
      </c>
      <c r="M29" s="16" t="str">
        <v>Normal</v>
      </c>
      <c r="N29" s="16" t="str">
        <v>785 × 580</v>
      </c>
      <c r="O29" s="16" t="str">
        <v>784,55 × 579,55</v>
      </c>
      <c r="P29" s="17" t="str">
        <v>Rebaje para la gola en el armado, cuando se defina el borde del granito; no lo hace el proveedor.</v>
      </c>
    </row>
    <row r="30">
      <c r="A30" s="16" t="str">
        <v>Cocina</v>
      </c>
      <c r="B30" s="16" t="str">
        <v>P024</v>
      </c>
      <c r="C30" s="16" t="str">
        <v>B5 Lavaplatos 70</v>
      </c>
      <c r="D30" s="17" t="str">
        <v>Piso</v>
      </c>
      <c r="E30" s="16" t="str">
        <v>Melamina Cartagena RH 15</v>
      </c>
      <c r="F30" s="16" t="n">
        <v>1</v>
      </c>
      <c r="G30" s="16" t="n">
        <v>670</v>
      </c>
      <c r="H30" s="16" t="n">
        <v>580</v>
      </c>
      <c r="I30" s="16" t="str">
        <v>F</v>
      </c>
      <c r="J30" s="16" t="str">
        <v>—</v>
      </c>
      <c r="K30" s="16" t="str">
        <v>—</v>
      </c>
      <c r="L30" s="16" t="str">
        <v>—</v>
      </c>
      <c r="M30" s="16" t="str">
        <v>Normal</v>
      </c>
      <c r="N30" s="16" t="str">
        <v>670 × 580</v>
      </c>
      <c r="O30" s="16" t="str">
        <v>670 × 579,55</v>
      </c>
      <c r="P30" s="17" t="str">
        <v>—</v>
      </c>
    </row>
    <row r="31" ht="43.20000076293945">
      <c r="A31" s="16" t="str">
        <v>Cocina</v>
      </c>
      <c r="B31" s="16" t="str">
        <v>P025</v>
      </c>
      <c r="C31" s="16" t="str">
        <v>B5 Lavaplatos 70</v>
      </c>
      <c r="D31" s="17" t="str">
        <v>Travesaño de canto</v>
      </c>
      <c r="E31" s="16" t="str">
        <v>Melamina Cartagena RH 15</v>
      </c>
      <c r="F31" s="16" t="n">
        <v>2</v>
      </c>
      <c r="G31" s="16" t="n">
        <v>670</v>
      </c>
      <c r="H31" s="16" t="n">
        <v>100</v>
      </c>
      <c r="I31" s="16" t="str">
        <v>F</v>
      </c>
      <c r="J31" s="16" t="str">
        <v>F</v>
      </c>
      <c r="K31" s="16" t="str">
        <v>F</v>
      </c>
      <c r="L31" s="16" t="str">
        <v>F</v>
      </c>
      <c r="M31" s="16" t="str">
        <v>Pequeña</v>
      </c>
      <c r="N31" s="16" t="str">
        <v>670 × 100</v>
      </c>
      <c r="O31" s="16" t="str">
        <v>669,1 × 99,1</v>
      </c>
      <c r="P31" s="17" t="str">
        <v>Si no la cantean: cortar a 669,1 × 99,1 y cantear en el armado. Rebaje para la gola en el armado, cuando se defina el borde del granito; no lo hace el proveedor.</v>
      </c>
    </row>
    <row r="32">
      <c r="A32" s="16" t="str">
        <v>Cocina</v>
      </c>
      <c r="B32" s="16" t="str">
        <v>P026</v>
      </c>
      <c r="C32" s="16" t="str">
        <v>B5 Lavaplatos 70</v>
      </c>
      <c r="D32" s="17" t="str">
        <v>Fondo clavado atrás</v>
      </c>
      <c r="E32" s="16" t="str">
        <v>Fondo melamina 6</v>
      </c>
      <c r="F32" s="16" t="n">
        <v>1</v>
      </c>
      <c r="G32" s="16" t="n">
        <v>696</v>
      </c>
      <c r="H32" s="16" t="n">
        <v>781</v>
      </c>
      <c r="I32" s="16" t="str">
        <v>—</v>
      </c>
      <c r="J32" s="16" t="str">
        <v>—</v>
      </c>
      <c r="K32" s="16" t="str">
        <v>—</v>
      </c>
      <c r="L32" s="16" t="str">
        <v>—</v>
      </c>
      <c r="M32" s="16" t="str">
        <v>Sin canto</v>
      </c>
      <c r="N32" s="16" t="str">
        <v>696 × 781</v>
      </c>
      <c r="O32" s="16" t="str">
        <v>696 × 781</v>
      </c>
      <c r="P32" s="17" t="str">
        <v>—</v>
      </c>
    </row>
    <row r="33">
      <c r="A33" s="16" t="str">
        <v>Cocina</v>
      </c>
      <c r="B33" s="16" t="str">
        <v>P027</v>
      </c>
      <c r="C33" s="16" t="str">
        <v>B5 Lavaplatos 70</v>
      </c>
      <c r="D33" s="17" t="str">
        <v>Puerta izquierda</v>
      </c>
      <c r="E33" s="16" t="str">
        <v>Melamina Cartagena RH 15</v>
      </c>
      <c r="F33" s="16" t="n">
        <v>1</v>
      </c>
      <c r="G33" s="16" t="n">
        <v>732</v>
      </c>
      <c r="H33" s="16" t="n">
        <v>347</v>
      </c>
      <c r="I33" s="16" t="str">
        <v>R</v>
      </c>
      <c r="J33" s="16" t="str">
        <v>R</v>
      </c>
      <c r="K33" s="16" t="str">
        <v>R</v>
      </c>
      <c r="L33" s="16" t="str">
        <v>R</v>
      </c>
      <c r="M33" s="16" t="str">
        <v>Normal</v>
      </c>
      <c r="N33" s="16" t="str">
        <v>732 × 347</v>
      </c>
      <c r="O33" s="16" t="str">
        <v>728 × 343</v>
      </c>
      <c r="P33" s="17" t="str">
        <v>—</v>
      </c>
    </row>
    <row r="34">
      <c r="A34" s="16" t="str">
        <v>Cocina</v>
      </c>
      <c r="B34" s="16" t="str">
        <v>P028</v>
      </c>
      <c r="C34" s="16" t="str">
        <v>B5 Lavaplatos 70</v>
      </c>
      <c r="D34" s="17" t="str">
        <v>Puerta derecha</v>
      </c>
      <c r="E34" s="16" t="str">
        <v>Melamina Cartagena RH 15</v>
      </c>
      <c r="F34" s="16" t="n">
        <v>1</v>
      </c>
      <c r="G34" s="16" t="n">
        <v>732</v>
      </c>
      <c r="H34" s="16" t="n">
        <v>347</v>
      </c>
      <c r="I34" s="16" t="str">
        <v>R</v>
      </c>
      <c r="J34" s="16" t="str">
        <v>R</v>
      </c>
      <c r="K34" s="16" t="str">
        <v>R</v>
      </c>
      <c r="L34" s="16" t="str">
        <v>R</v>
      </c>
      <c r="M34" s="16" t="str">
        <v>Normal</v>
      </c>
      <c r="N34" s="16" t="str">
        <v>732 × 347</v>
      </c>
      <c r="O34" s="16" t="str">
        <v>728 × 343</v>
      </c>
      <c r="P34" s="17" t="str">
        <v>—</v>
      </c>
    </row>
    <row r="35" ht="28.799999237060547">
      <c r="A35" s="16" t="str">
        <v>Cocina</v>
      </c>
      <c r="B35" s="16" t="str">
        <v>P029</v>
      </c>
      <c r="C35" s="16" t="str">
        <v>B5 Lavaplatos 70</v>
      </c>
      <c r="D35" s="17" t="str">
        <v>Entrepaño desmontable; recortar sifón en obra</v>
      </c>
      <c r="E35" s="16" t="str">
        <v>Melamina Cartagena RH 15</v>
      </c>
      <c r="F35" s="16" t="n">
        <v>1</v>
      </c>
      <c r="G35" s="16" t="n">
        <v>668</v>
      </c>
      <c r="H35" s="16" t="n">
        <v>520</v>
      </c>
      <c r="I35" s="16" t="str">
        <v>F</v>
      </c>
      <c r="J35" s="16" t="str">
        <v>F</v>
      </c>
      <c r="K35" s="16" t="str">
        <v>F</v>
      </c>
      <c r="L35" s="16" t="str">
        <v>F</v>
      </c>
      <c r="M35" s="16" t="str">
        <v>Normal</v>
      </c>
      <c r="N35" s="16" t="str">
        <v>668 × 520</v>
      </c>
      <c r="O35" s="16" t="str">
        <v>667,1 × 519,1</v>
      </c>
      <c r="P35" s="17" t="str">
        <v>P029: flexible 0,45 mm en los cuatro bordes. Recorte de sifón y tuberías en obra: sellar el corte.</v>
      </c>
    </row>
    <row r="36" ht="28.799999237060547">
      <c r="A36" s="16" t="str">
        <v>Cocina</v>
      </c>
      <c r="B36" s="16" t="str">
        <v>P030</v>
      </c>
      <c r="C36" s="16" t="str">
        <v>B4 Basurero y puerta 40</v>
      </c>
      <c r="D36" s="17" t="str">
        <v>Lateral</v>
      </c>
      <c r="E36" s="16" t="str">
        <v>Melamina Cartagena RH 15</v>
      </c>
      <c r="F36" s="16" t="n">
        <v>2</v>
      </c>
      <c r="G36" s="16" t="n">
        <v>785</v>
      </c>
      <c r="H36" s="16" t="n">
        <v>580</v>
      </c>
      <c r="I36" s="16" t="str">
        <v>F</v>
      </c>
      <c r="J36" s="16" t="str">
        <v>—</v>
      </c>
      <c r="K36" s="16" t="str">
        <v>F</v>
      </c>
      <c r="L36" s="16" t="str">
        <v>—</v>
      </c>
      <c r="M36" s="16" t="str">
        <v>Normal</v>
      </c>
      <c r="N36" s="16" t="str">
        <v>785 × 580</v>
      </c>
      <c r="O36" s="16" t="str">
        <v>784,55 × 579,55</v>
      </c>
      <c r="P36" s="17" t="str">
        <v>Rebaje para la gola en el armado, cuando se defina el borde del granito; no lo hace el proveedor.</v>
      </c>
    </row>
    <row r="37">
      <c r="A37" s="16" t="str">
        <v>Cocina</v>
      </c>
      <c r="B37" s="16" t="str">
        <v>P031</v>
      </c>
      <c r="C37" s="16" t="str">
        <v>B4 Basurero y puerta 40</v>
      </c>
      <c r="D37" s="17" t="str">
        <v>Piso</v>
      </c>
      <c r="E37" s="16" t="str">
        <v>Melamina Cartagena RH 15</v>
      </c>
      <c r="F37" s="16" t="n">
        <v>1</v>
      </c>
      <c r="G37" s="16" t="n">
        <v>370</v>
      </c>
      <c r="H37" s="16" t="n">
        <v>580</v>
      </c>
      <c r="I37" s="16" t="str">
        <v>F</v>
      </c>
      <c r="J37" s="16" t="str">
        <v>—</v>
      </c>
      <c r="K37" s="16" t="str">
        <v>—</v>
      </c>
      <c r="L37" s="16" t="str">
        <v>—</v>
      </c>
      <c r="M37" s="16" t="str">
        <v>Normal</v>
      </c>
      <c r="N37" s="16" t="str">
        <v>370 × 580</v>
      </c>
      <c r="O37" s="16" t="str">
        <v>370 × 579,55</v>
      </c>
      <c r="P37" s="17" t="str">
        <v>—</v>
      </c>
    </row>
    <row r="38" ht="43.20000076293945">
      <c r="A38" s="16" t="str">
        <v>Cocina</v>
      </c>
      <c r="B38" s="16" t="str">
        <v>P032</v>
      </c>
      <c r="C38" s="16" t="str">
        <v>B4 Basurero y puerta 40</v>
      </c>
      <c r="D38" s="17" t="str">
        <v>Travesaño horizontal</v>
      </c>
      <c r="E38" s="16" t="str">
        <v>Melamina Cartagena RH 15</v>
      </c>
      <c r="F38" s="16" t="n">
        <v>2</v>
      </c>
      <c r="G38" s="16" t="n">
        <v>370</v>
      </c>
      <c r="H38" s="16" t="n">
        <v>100</v>
      </c>
      <c r="I38" s="16" t="str">
        <v>F</v>
      </c>
      <c r="J38" s="16" t="str">
        <v>F</v>
      </c>
      <c r="K38" s="16" t="str">
        <v>—</v>
      </c>
      <c r="L38" s="16" t="str">
        <v>—</v>
      </c>
      <c r="M38" s="16" t="str">
        <v>Pequeña</v>
      </c>
      <c r="N38" s="16" t="str">
        <v>370 × 100</v>
      </c>
      <c r="O38" s="16" t="str">
        <v>370 × 99,1</v>
      </c>
      <c r="P38" s="17" t="str">
        <v>Si no la cantean: cortar a 370 × 99,1 y cantear en el armado. Rebaje para la gola en el armado, cuando se defina el borde del granito; no lo hace el proveedor.</v>
      </c>
    </row>
    <row r="39">
      <c r="A39" s="16" t="str">
        <v>Cocina</v>
      </c>
      <c r="B39" s="16" t="str">
        <v>P033</v>
      </c>
      <c r="C39" s="16" t="str">
        <v>B4 Basurero y puerta 40</v>
      </c>
      <c r="D39" s="17" t="str">
        <v>Fondo clavado atrás</v>
      </c>
      <c r="E39" s="16" t="str">
        <v>Fondo melamina 6</v>
      </c>
      <c r="F39" s="16" t="n">
        <v>1</v>
      </c>
      <c r="G39" s="16" t="n">
        <v>396</v>
      </c>
      <c r="H39" s="16" t="n">
        <v>781</v>
      </c>
      <c r="I39" s="16" t="str">
        <v>—</v>
      </c>
      <c r="J39" s="16" t="str">
        <v>—</v>
      </c>
      <c r="K39" s="16" t="str">
        <v>—</v>
      </c>
      <c r="L39" s="16" t="str">
        <v>—</v>
      </c>
      <c r="M39" s="16" t="str">
        <v>Sin canto</v>
      </c>
      <c r="N39" s="16" t="str">
        <v>396 × 781</v>
      </c>
      <c r="O39" s="16" t="str">
        <v>396 × 781</v>
      </c>
      <c r="P39" s="17" t="str">
        <v>—</v>
      </c>
    </row>
    <row r="40" ht="28.799999237060547">
      <c r="A40" s="16" t="str">
        <v>Cocina</v>
      </c>
      <c r="B40" s="16" t="str">
        <v>P034</v>
      </c>
      <c r="C40" s="16" t="str">
        <v>B4 Basurero y puerta 40</v>
      </c>
      <c r="D40" s="17" t="str">
        <v>Entrepaño FIJO separador superior/basurero</v>
      </c>
      <c r="E40" s="16" t="str">
        <v>Melamina Cartagena RH 15</v>
      </c>
      <c r="F40" s="16" t="n">
        <v>1</v>
      </c>
      <c r="G40" s="16" t="n">
        <v>370</v>
      </c>
      <c r="H40" s="16" t="n">
        <v>550</v>
      </c>
      <c r="I40" s="16" t="str">
        <v>F</v>
      </c>
      <c r="J40" s="16" t="str">
        <v>—</v>
      </c>
      <c r="K40" s="16" t="str">
        <v>—</v>
      </c>
      <c r="L40" s="16" t="str">
        <v>—</v>
      </c>
      <c r="M40" s="16" t="str">
        <v>Normal</v>
      </c>
      <c r="N40" s="16" t="str">
        <v>370 × 550</v>
      </c>
      <c r="O40" s="16" t="str">
        <v>370 × 549,55</v>
      </c>
      <c r="P40" s="17" t="str">
        <v>Rebaje para la gola en el armado, cuando se defina el borde del granito; no lo hace el proveedor.</v>
      </c>
    </row>
    <row r="41">
      <c r="A41" s="16" t="str">
        <v>Cocina</v>
      </c>
      <c r="B41" s="16" t="str">
        <v>P035</v>
      </c>
      <c r="C41" s="16" t="str">
        <v>B4 Basurero y puerta 40</v>
      </c>
      <c r="D41" s="17" t="str">
        <v>Puerta superior</v>
      </c>
      <c r="E41" s="16" t="str">
        <v>Melamina Cartagena RH 15</v>
      </c>
      <c r="F41" s="16" t="n">
        <v>1</v>
      </c>
      <c r="G41" s="16" t="n">
        <v>402</v>
      </c>
      <c r="H41" s="16" t="n">
        <v>397</v>
      </c>
      <c r="I41" s="16" t="str">
        <v>R</v>
      </c>
      <c r="J41" s="16" t="str">
        <v>R</v>
      </c>
      <c r="K41" s="16" t="str">
        <v>R</v>
      </c>
      <c r="L41" s="16" t="str">
        <v>R</v>
      </c>
      <c r="M41" s="16" t="str">
        <v>Normal</v>
      </c>
      <c r="N41" s="16" t="str">
        <v>402 × 397</v>
      </c>
      <c r="O41" s="16" t="str">
        <v>398 × 393</v>
      </c>
      <c r="P41" s="17" t="str">
        <v>—</v>
      </c>
    </row>
    <row r="42">
      <c r="A42" s="16" t="str">
        <v>Cocina</v>
      </c>
      <c r="B42" s="16" t="str">
        <v>P036</v>
      </c>
      <c r="C42" s="16" t="str">
        <v>B4 Basurero y puerta 40</v>
      </c>
      <c r="D42" s="17" t="str">
        <v>Frente inferior extraíble basurero</v>
      </c>
      <c r="E42" s="16" t="str">
        <v>Melamina Cartagena RH 15</v>
      </c>
      <c r="F42" s="16" t="n">
        <v>1</v>
      </c>
      <c r="G42" s="16" t="n">
        <v>302</v>
      </c>
      <c r="H42" s="16" t="n">
        <v>397</v>
      </c>
      <c r="I42" s="16" t="str">
        <v>R</v>
      </c>
      <c r="J42" s="16" t="str">
        <v>R</v>
      </c>
      <c r="K42" s="16" t="str">
        <v>R</v>
      </c>
      <c r="L42" s="16" t="str">
        <v>R</v>
      </c>
      <c r="M42" s="16" t="str">
        <v>Normal</v>
      </c>
      <c r="N42" s="16" t="str">
        <v>302 × 397</v>
      </c>
      <c r="O42" s="16" t="str">
        <v>298 × 393</v>
      </c>
      <c r="P42" s="17" t="str">
        <v>—</v>
      </c>
    </row>
    <row r="43">
      <c r="A43" s="16" t="str">
        <v>Cocina</v>
      </c>
      <c r="B43" s="16" t="str">
        <v>P037</v>
      </c>
      <c r="C43" s="16" t="str">
        <v>B6 Terminación</v>
      </c>
      <c r="D43" s="17" t="str">
        <v>Costado de terminación</v>
      </c>
      <c r="E43" s="16" t="str">
        <v>Melamina Cartagena RH 15</v>
      </c>
      <c r="F43" s="16" t="n">
        <v>1</v>
      </c>
      <c r="G43" s="16" t="n">
        <v>882</v>
      </c>
      <c r="H43" s="16" t="n">
        <v>595</v>
      </c>
      <c r="I43" s="16" t="str">
        <v>R</v>
      </c>
      <c r="J43" s="16" t="str">
        <v>—</v>
      </c>
      <c r="K43" s="16" t="str">
        <v>R</v>
      </c>
      <c r="L43" s="16" t="str">
        <v>—</v>
      </c>
      <c r="M43" s="16" t="str">
        <v>Normal</v>
      </c>
      <c r="N43" s="16" t="str">
        <v>882 × 595</v>
      </c>
      <c r="O43" s="16" t="str">
        <v>880 × 593</v>
      </c>
      <c r="P43" s="17" t="str">
        <v>—</v>
      </c>
    </row>
    <row r="44">
      <c r="A44" s="16" t="str">
        <v>Cocina</v>
      </c>
      <c r="B44" s="16" t="str">
        <v>P038</v>
      </c>
      <c r="C44" s="16" t="str">
        <v>B6 Terminación</v>
      </c>
      <c r="D44" s="17" t="str">
        <v>Zócalo retranqueado (dos tramos)</v>
      </c>
      <c r="E44" s="16" t="str">
        <v>Melamina Cartagena RH 15</v>
      </c>
      <c r="F44" s="16" t="n">
        <v>2</v>
      </c>
      <c r="G44" s="16" t="n">
        <v>1275</v>
      </c>
      <c r="H44" s="16" t="n">
        <v>97</v>
      </c>
      <c r="I44" s="16" t="str">
        <v>F</v>
      </c>
      <c r="J44" s="16" t="str">
        <v>F</v>
      </c>
      <c r="K44" s="16" t="str">
        <v>F</v>
      </c>
      <c r="L44" s="16" t="str">
        <v>F</v>
      </c>
      <c r="M44" s="16" t="str">
        <v>Pequeña</v>
      </c>
      <c r="N44" s="16" t="str">
        <v>1275 × 97</v>
      </c>
      <c r="O44" s="16" t="str">
        <v>1274,1 × 96,1</v>
      </c>
      <c r="P44" s="17" t="str">
        <v>Si no la cantean: cortar a 1274,1 × 96,1 y cantear en el armado.</v>
      </c>
    </row>
    <row r="45">
      <c r="A45" s="16" t="str">
        <v>Cocina</v>
      </c>
      <c r="B45" s="16" t="str">
        <v>P039</v>
      </c>
      <c r="C45" s="16" t="str">
        <v>S1 Alacena 19,5</v>
      </c>
      <c r="D45" s="17" t="str">
        <v>Lateral</v>
      </c>
      <c r="E45" s="16" t="str">
        <v>Melamina Cartagena RH 15</v>
      </c>
      <c r="F45" s="16" t="n">
        <v>2</v>
      </c>
      <c r="G45" s="16" t="n">
        <v>700</v>
      </c>
      <c r="H45" s="16" t="n">
        <v>320</v>
      </c>
      <c r="I45" s="16" t="str">
        <v>F</v>
      </c>
      <c r="J45" s="16" t="str">
        <v>—</v>
      </c>
      <c r="K45" s="16" t="str">
        <v>F</v>
      </c>
      <c r="L45" s="16" t="str">
        <v>F</v>
      </c>
      <c r="M45" s="16" t="str">
        <v>Normal</v>
      </c>
      <c r="N45" s="16" t="str">
        <v>700 × 320</v>
      </c>
      <c r="O45" s="16" t="str">
        <v>699,1 × 319,55</v>
      </c>
      <c r="P45" s="17" t="str">
        <v>—</v>
      </c>
    </row>
    <row r="46">
      <c r="A46" s="16" t="str">
        <v>Cocina</v>
      </c>
      <c r="B46" s="16" t="str">
        <v>P040</v>
      </c>
      <c r="C46" s="16" t="str">
        <v>S1 Alacena 19,5</v>
      </c>
      <c r="D46" s="17" t="str">
        <v>Techo</v>
      </c>
      <c r="E46" s="16" t="str">
        <v>Melamina Cartagena RH 15</v>
      </c>
      <c r="F46" s="16" t="n">
        <v>1</v>
      </c>
      <c r="G46" s="16" t="n">
        <v>165</v>
      </c>
      <c r="H46" s="16" t="n">
        <v>320</v>
      </c>
      <c r="I46" s="16" t="str">
        <v>F</v>
      </c>
      <c r="J46" s="16" t="str">
        <v>—</v>
      </c>
      <c r="K46" s="16" t="str">
        <v>—</v>
      </c>
      <c r="L46" s="16" t="str">
        <v>—</v>
      </c>
      <c r="M46" s="16" t="str">
        <v>Normal</v>
      </c>
      <c r="N46" s="16" t="str">
        <v>165 × 320</v>
      </c>
      <c r="O46" s="16" t="str">
        <v>165 × 319,55</v>
      </c>
      <c r="P46" s="17" t="str">
        <v>—</v>
      </c>
    </row>
    <row r="47">
      <c r="A47" s="16" t="str">
        <v>Cocina</v>
      </c>
      <c r="B47" s="16" t="str">
        <v>P041</v>
      </c>
      <c r="C47" s="16" t="str">
        <v>S1 Alacena 19,5</v>
      </c>
      <c r="D47" s="17" t="str">
        <v>Piso</v>
      </c>
      <c r="E47" s="16" t="str">
        <v>Melamina Cartagena RH 15</v>
      </c>
      <c r="F47" s="16" t="n">
        <v>1</v>
      </c>
      <c r="G47" s="16" t="n">
        <v>165</v>
      </c>
      <c r="H47" s="16" t="n">
        <v>320</v>
      </c>
      <c r="I47" s="16" t="str">
        <v>F</v>
      </c>
      <c r="J47" s="16" t="str">
        <v>—</v>
      </c>
      <c r="K47" s="16" t="str">
        <v>—</v>
      </c>
      <c r="L47" s="16" t="str">
        <v>—</v>
      </c>
      <c r="M47" s="16" t="str">
        <v>Normal</v>
      </c>
      <c r="N47" s="16" t="str">
        <v>165 × 320</v>
      </c>
      <c r="O47" s="16" t="str">
        <v>165 × 319,55</v>
      </c>
      <c r="P47" s="17" t="str">
        <v>—</v>
      </c>
    </row>
    <row r="48">
      <c r="A48" s="16" t="str">
        <v>Cocina</v>
      </c>
      <c r="B48" s="16" t="str">
        <v>P042</v>
      </c>
      <c r="C48" s="16" t="str">
        <v>S1 Alacena 19,5</v>
      </c>
      <c r="D48" s="17" t="str">
        <v>Fondo</v>
      </c>
      <c r="E48" s="16" t="str">
        <v>Fondo melamina 6</v>
      </c>
      <c r="F48" s="16" t="n">
        <v>1</v>
      </c>
      <c r="G48" s="16" t="n">
        <v>191</v>
      </c>
      <c r="H48" s="16" t="n">
        <v>696</v>
      </c>
      <c r="I48" s="16" t="str">
        <v>—</v>
      </c>
      <c r="J48" s="16" t="str">
        <v>—</v>
      </c>
      <c r="K48" s="16" t="str">
        <v>—</v>
      </c>
      <c r="L48" s="16" t="str">
        <v>—</v>
      </c>
      <c r="M48" s="16" t="str">
        <v>Sin canto</v>
      </c>
      <c r="N48" s="16" t="str">
        <v>191 × 696</v>
      </c>
      <c r="O48" s="16" t="str">
        <v>191 × 696</v>
      </c>
      <c r="P48" s="17" t="str">
        <v>—</v>
      </c>
    </row>
    <row r="49">
      <c r="A49" s="16" t="str">
        <v>Cocina</v>
      </c>
      <c r="B49" s="16" t="str">
        <v>P043</v>
      </c>
      <c r="C49" s="16" t="str">
        <v>S1 Alacena 19,5</v>
      </c>
      <c r="D49" s="17" t="str">
        <v>Entrepaño regulable</v>
      </c>
      <c r="E49" s="16" t="str">
        <v>Melamina Cartagena RH 15</v>
      </c>
      <c r="F49" s="16" t="n">
        <v>1</v>
      </c>
      <c r="G49" s="16" t="n">
        <v>163</v>
      </c>
      <c r="H49" s="16" t="n">
        <v>300</v>
      </c>
      <c r="I49" s="16" t="str">
        <v>F</v>
      </c>
      <c r="J49" s="16" t="str">
        <v>—</v>
      </c>
      <c r="K49" s="16" t="str">
        <v>—</v>
      </c>
      <c r="L49" s="16" t="str">
        <v>—</v>
      </c>
      <c r="M49" s="16" t="str">
        <v>Normal</v>
      </c>
      <c r="N49" s="16" t="str">
        <v>163 × 300</v>
      </c>
      <c r="O49" s="16" t="str">
        <v>163 × 299,55</v>
      </c>
      <c r="P49" s="17" t="str">
        <v>—</v>
      </c>
    </row>
    <row r="50">
      <c r="A50" s="16" t="str">
        <v>Cocina</v>
      </c>
      <c r="B50" s="16" t="str">
        <v>P044</v>
      </c>
      <c r="C50" s="16" t="str">
        <v>S1 Alacena 19,5</v>
      </c>
      <c r="D50" s="17" t="str">
        <v>Puerta</v>
      </c>
      <c r="E50" s="16" t="str">
        <v>Melamina Cartagena RH 15</v>
      </c>
      <c r="F50" s="16" t="n">
        <v>1</v>
      </c>
      <c r="G50" s="16" t="n">
        <v>717</v>
      </c>
      <c r="H50" s="16" t="n">
        <v>192</v>
      </c>
      <c r="I50" s="16" t="str">
        <v>R</v>
      </c>
      <c r="J50" s="16" t="str">
        <v>R</v>
      </c>
      <c r="K50" s="16" t="str">
        <v>R</v>
      </c>
      <c r="L50" s="16" t="str">
        <v>R</v>
      </c>
      <c r="M50" s="16" t="str">
        <v>Normal</v>
      </c>
      <c r="N50" s="16" t="str">
        <v>717 × 192</v>
      </c>
      <c r="O50" s="16" t="str">
        <v>713 × 188</v>
      </c>
      <c r="P50" s="17" t="str">
        <v>—</v>
      </c>
    </row>
    <row r="51">
      <c r="A51" s="16" t="str">
        <v>Cocina</v>
      </c>
      <c r="B51" s="16" t="str">
        <v>P045</v>
      </c>
      <c r="C51" s="16" t="str">
        <v>S2 Gabinete ducto 60</v>
      </c>
      <c r="D51" s="17" t="str">
        <v>Lateral</v>
      </c>
      <c r="E51" s="16" t="str">
        <v>Melamina Cartagena RH 15</v>
      </c>
      <c r="F51" s="16" t="n">
        <v>2</v>
      </c>
      <c r="G51" s="16" t="n">
        <v>350</v>
      </c>
      <c r="H51" s="16" t="n">
        <v>320</v>
      </c>
      <c r="I51" s="16" t="str">
        <v>F</v>
      </c>
      <c r="J51" s="16" t="str">
        <v>—</v>
      </c>
      <c r="K51" s="16" t="str">
        <v>F</v>
      </c>
      <c r="L51" s="16" t="str">
        <v>F</v>
      </c>
      <c r="M51" s="16" t="str">
        <v>Normal</v>
      </c>
      <c r="N51" s="16" t="str">
        <v>350 × 320</v>
      </c>
      <c r="O51" s="16" t="str">
        <v>349,1 × 319,55</v>
      </c>
      <c r="P51" s="17" t="str">
        <v>—</v>
      </c>
    </row>
    <row r="52" ht="28.799999237060547">
      <c r="A52" s="16" t="str">
        <v>Cocina</v>
      </c>
      <c r="B52" s="16" t="str">
        <v>P046</v>
      </c>
      <c r="C52" s="16" t="str">
        <v>S2 Gabinete ducto 60</v>
      </c>
      <c r="D52" s="17" t="str">
        <v>Techo (perforar solo si el ducto sale hacia arriba; definir con manual)</v>
      </c>
      <c r="E52" s="16" t="str">
        <v>Melamina Cartagena RH 15</v>
      </c>
      <c r="F52" s="16" t="n">
        <v>1</v>
      </c>
      <c r="G52" s="16" t="n">
        <v>570</v>
      </c>
      <c r="H52" s="16" t="n">
        <v>320</v>
      </c>
      <c r="I52" s="16" t="str">
        <v>F</v>
      </c>
      <c r="J52" s="16" t="str">
        <v>—</v>
      </c>
      <c r="K52" s="16" t="str">
        <v>—</v>
      </c>
      <c r="L52" s="16" t="str">
        <v>—</v>
      </c>
      <c r="M52" s="16" t="str">
        <v>Normal</v>
      </c>
      <c r="N52" s="16" t="str">
        <v>570 × 320</v>
      </c>
      <c r="O52" s="16" t="str">
        <v>570 × 319,55</v>
      </c>
      <c r="P52" s="17" t="str">
        <v>Perforación del ducto en obra, según manual de la campana.</v>
      </c>
    </row>
    <row r="53" ht="43.20000076293945">
      <c r="A53" s="16" t="str">
        <v>Cocina</v>
      </c>
      <c r="B53" s="16" t="str">
        <v>P047</v>
      </c>
      <c r="C53" s="16" t="str">
        <v>S2 Gabinete ducto 60</v>
      </c>
      <c r="D53" s="17" t="str">
        <v>Piso elevado 40 mm para agarre inferior; perforar para ducto (diámetro y posición según manual de campana)</v>
      </c>
      <c r="E53" s="16" t="str">
        <v>Melamina Cartagena RH 15</v>
      </c>
      <c r="F53" s="16" t="n">
        <v>1</v>
      </c>
      <c r="G53" s="16" t="n">
        <v>570</v>
      </c>
      <c r="H53" s="16" t="n">
        <v>320</v>
      </c>
      <c r="I53" s="16" t="str">
        <v>F</v>
      </c>
      <c r="J53" s="16" t="str">
        <v>—</v>
      </c>
      <c r="K53" s="16" t="str">
        <v>—</v>
      </c>
      <c r="L53" s="16" t="str">
        <v>—</v>
      </c>
      <c r="M53" s="16" t="str">
        <v>Normal</v>
      </c>
      <c r="N53" s="16" t="str">
        <v>570 × 320</v>
      </c>
      <c r="O53" s="16" t="str">
        <v>570 × 319,55</v>
      </c>
      <c r="P53" s="17" t="str">
        <v>Perforación del ducto en obra, según manual de la campana.</v>
      </c>
    </row>
    <row r="54">
      <c r="A54" s="16" t="str">
        <v>Cocina</v>
      </c>
      <c r="B54" s="16" t="str">
        <v>P048</v>
      </c>
      <c r="C54" s="16" t="str">
        <v>S2 Gabinete ducto 60</v>
      </c>
      <c r="D54" s="17" t="str">
        <v>Fondo</v>
      </c>
      <c r="E54" s="16" t="str">
        <v>Fondo melamina 6</v>
      </c>
      <c r="F54" s="16" t="n">
        <v>1</v>
      </c>
      <c r="G54" s="16" t="n">
        <v>596</v>
      </c>
      <c r="H54" s="16" t="n">
        <v>346</v>
      </c>
      <c r="I54" s="16" t="str">
        <v>—</v>
      </c>
      <c r="J54" s="16" t="str">
        <v>—</v>
      </c>
      <c r="K54" s="16" t="str">
        <v>—</v>
      </c>
      <c r="L54" s="16" t="str">
        <v>—</v>
      </c>
      <c r="M54" s="16" t="str">
        <v>Sin canto</v>
      </c>
      <c r="N54" s="16" t="str">
        <v>596 × 346</v>
      </c>
      <c r="O54" s="16" t="str">
        <v>596 × 346</v>
      </c>
      <c r="P54" s="17" t="str">
        <v>—</v>
      </c>
    </row>
    <row r="55">
      <c r="A55" s="16" t="str">
        <v>Cocina</v>
      </c>
      <c r="B55" s="16" t="str">
        <v>P049</v>
      </c>
      <c r="C55" s="16" t="str">
        <v>S2 Gabinete ducto 60</v>
      </c>
      <c r="D55" s="17" t="str">
        <v>Puerta abatible superior</v>
      </c>
      <c r="E55" s="16" t="str">
        <v>Melamina Cartagena RH 15</v>
      </c>
      <c r="F55" s="16" t="n">
        <v>1</v>
      </c>
      <c r="G55" s="16" t="n">
        <v>347</v>
      </c>
      <c r="H55" s="16" t="n">
        <v>597</v>
      </c>
      <c r="I55" s="16" t="str">
        <v>R</v>
      </c>
      <c r="J55" s="16" t="str">
        <v>R</v>
      </c>
      <c r="K55" s="16" t="str">
        <v>R</v>
      </c>
      <c r="L55" s="16" t="str">
        <v>R</v>
      </c>
      <c r="M55" s="16" t="str">
        <v>Normal</v>
      </c>
      <c r="N55" s="16" t="str">
        <v>347 × 597</v>
      </c>
      <c r="O55" s="16" t="str">
        <v>343 × 593</v>
      </c>
      <c r="P55" s="17" t="str">
        <v>—</v>
      </c>
    </row>
    <row r="56" ht="43.20000076293945">
      <c r="A56" s="16" t="str">
        <v>Cocina</v>
      </c>
      <c r="B56" s="16" t="str">
        <v>P071</v>
      </c>
      <c r="C56" s="16" t="str">
        <v>S2 Gabinete ducto 60</v>
      </c>
      <c r="D56" s="17" t="str">
        <v>Faja retranqueada de agarre sobre campana</v>
      </c>
      <c r="E56" s="16" t="str">
        <v>Melamina Cartagena RH 15</v>
      </c>
      <c r="F56" s="16" t="n">
        <v>1</v>
      </c>
      <c r="G56" s="16" t="n">
        <v>570</v>
      </c>
      <c r="H56" s="16" t="n">
        <v>60</v>
      </c>
      <c r="I56" s="16" t="str">
        <v>F</v>
      </c>
      <c r="J56" s="16" t="str">
        <v>F</v>
      </c>
      <c r="K56" s="16" t="str">
        <v>F</v>
      </c>
      <c r="L56" s="16" t="str">
        <v>F</v>
      </c>
      <c r="M56" s="16" t="str">
        <v>Pequeña</v>
      </c>
      <c r="N56" s="16" t="str">
        <v>570 × 60</v>
      </c>
      <c r="O56" s="16" t="str">
        <v>569,1 × 59,1</v>
      </c>
      <c r="P56" s="17" t="str">
        <v>Si no la cantean: cortar a 569,1 × 59,1 y cantear en el armado. P071: flexible 0,45 mm en los cuatro bordes. Confirmar cabida en canteadora; si la rechaza, cantear en taller con el descuento correspondiente.</v>
      </c>
    </row>
    <row r="57">
      <c r="A57" s="16" t="str">
        <v>Cocina</v>
      </c>
      <c r="B57" s="16" t="str">
        <v>P050</v>
      </c>
      <c r="C57" s="16" t="str">
        <v>S3 Alacena 65,5</v>
      </c>
      <c r="D57" s="17" t="str">
        <v>Lateral</v>
      </c>
      <c r="E57" s="16" t="str">
        <v>Melamina Cartagena RH 15</v>
      </c>
      <c r="F57" s="16" t="n">
        <v>2</v>
      </c>
      <c r="G57" s="16" t="n">
        <v>700</v>
      </c>
      <c r="H57" s="16" t="n">
        <v>320</v>
      </c>
      <c r="I57" s="16" t="str">
        <v>F</v>
      </c>
      <c r="J57" s="16" t="str">
        <v>—</v>
      </c>
      <c r="K57" s="16" t="str">
        <v>F</v>
      </c>
      <c r="L57" s="16" t="str">
        <v>F</v>
      </c>
      <c r="M57" s="16" t="str">
        <v>Normal</v>
      </c>
      <c r="N57" s="16" t="str">
        <v>700 × 320</v>
      </c>
      <c r="O57" s="16" t="str">
        <v>699,1 × 319,55</v>
      </c>
      <c r="P57" s="17" t="str">
        <v>—</v>
      </c>
    </row>
    <row r="58">
      <c r="A58" s="16" t="str">
        <v>Cocina</v>
      </c>
      <c r="B58" s="16" t="str">
        <v>P051</v>
      </c>
      <c r="C58" s="16" t="str">
        <v>S3 Alacena 65,5</v>
      </c>
      <c r="D58" s="17" t="str">
        <v>Techo</v>
      </c>
      <c r="E58" s="16" t="str">
        <v>Melamina Cartagena RH 15</v>
      </c>
      <c r="F58" s="16" t="n">
        <v>1</v>
      </c>
      <c r="G58" s="16" t="n">
        <v>625</v>
      </c>
      <c r="H58" s="16" t="n">
        <v>320</v>
      </c>
      <c r="I58" s="16" t="str">
        <v>F</v>
      </c>
      <c r="J58" s="16" t="str">
        <v>—</v>
      </c>
      <c r="K58" s="16" t="str">
        <v>—</v>
      </c>
      <c r="L58" s="16" t="str">
        <v>—</v>
      </c>
      <c r="M58" s="16" t="str">
        <v>Normal</v>
      </c>
      <c r="N58" s="16" t="str">
        <v>625 × 320</v>
      </c>
      <c r="O58" s="16" t="str">
        <v>625 × 319,55</v>
      </c>
      <c r="P58" s="17" t="str">
        <v>—</v>
      </c>
    </row>
    <row r="59">
      <c r="A59" s="16" t="str">
        <v>Cocina</v>
      </c>
      <c r="B59" s="16" t="str">
        <v>P052</v>
      </c>
      <c r="C59" s="16" t="str">
        <v>S3 Alacena 65,5</v>
      </c>
      <c r="D59" s="17" t="str">
        <v>Piso</v>
      </c>
      <c r="E59" s="16" t="str">
        <v>Melamina Cartagena RH 15</v>
      </c>
      <c r="F59" s="16" t="n">
        <v>1</v>
      </c>
      <c r="G59" s="16" t="n">
        <v>625</v>
      </c>
      <c r="H59" s="16" t="n">
        <v>320</v>
      </c>
      <c r="I59" s="16" t="str">
        <v>F</v>
      </c>
      <c r="J59" s="16" t="str">
        <v>—</v>
      </c>
      <c r="K59" s="16" t="str">
        <v>—</v>
      </c>
      <c r="L59" s="16" t="str">
        <v>—</v>
      </c>
      <c r="M59" s="16" t="str">
        <v>Normal</v>
      </c>
      <c r="N59" s="16" t="str">
        <v>625 × 320</v>
      </c>
      <c r="O59" s="16" t="str">
        <v>625 × 319,55</v>
      </c>
      <c r="P59" s="17" t="str">
        <v>—</v>
      </c>
    </row>
    <row r="60">
      <c r="A60" s="16" t="str">
        <v>Cocina</v>
      </c>
      <c r="B60" s="16" t="str">
        <v>P053</v>
      </c>
      <c r="C60" s="16" t="str">
        <v>S3 Alacena 65,5</v>
      </c>
      <c r="D60" s="17" t="str">
        <v>Fondo</v>
      </c>
      <c r="E60" s="16" t="str">
        <v>Fondo melamina 6</v>
      </c>
      <c r="F60" s="16" t="n">
        <v>1</v>
      </c>
      <c r="G60" s="16" t="n">
        <v>651</v>
      </c>
      <c r="H60" s="16" t="n">
        <v>696</v>
      </c>
      <c r="I60" s="16" t="str">
        <v>—</v>
      </c>
      <c r="J60" s="16" t="str">
        <v>—</v>
      </c>
      <c r="K60" s="16" t="str">
        <v>—</v>
      </c>
      <c r="L60" s="16" t="str">
        <v>—</v>
      </c>
      <c r="M60" s="16" t="str">
        <v>Sin canto</v>
      </c>
      <c r="N60" s="16" t="str">
        <v>651 × 696</v>
      </c>
      <c r="O60" s="16" t="str">
        <v>651 × 696</v>
      </c>
      <c r="P60" s="17" t="str">
        <v>—</v>
      </c>
    </row>
    <row r="61">
      <c r="A61" s="16" t="str">
        <v>Cocina</v>
      </c>
      <c r="B61" s="16" t="str">
        <v>P054</v>
      </c>
      <c r="C61" s="16" t="str">
        <v>S3 Alacena 65,5</v>
      </c>
      <c r="D61" s="17" t="str">
        <v>División vertical</v>
      </c>
      <c r="E61" s="16" t="str">
        <v>Melamina Cartagena RH 15</v>
      </c>
      <c r="F61" s="16" t="n">
        <v>1</v>
      </c>
      <c r="G61" s="16" t="n">
        <v>670</v>
      </c>
      <c r="H61" s="16" t="n">
        <v>320</v>
      </c>
      <c r="I61" s="16" t="str">
        <v>F</v>
      </c>
      <c r="J61" s="16" t="str">
        <v>—</v>
      </c>
      <c r="K61" s="16" t="str">
        <v>—</v>
      </c>
      <c r="L61" s="16" t="str">
        <v>—</v>
      </c>
      <c r="M61" s="16" t="str">
        <v>Normal</v>
      </c>
      <c r="N61" s="16" t="str">
        <v>670 × 320</v>
      </c>
      <c r="O61" s="16" t="str">
        <v>670 × 319,55</v>
      </c>
      <c r="P61" s="17" t="str">
        <v>—</v>
      </c>
    </row>
    <row r="62">
      <c r="A62" s="16" t="str">
        <v>Cocina</v>
      </c>
      <c r="B62" s="16" t="str">
        <v>P055</v>
      </c>
      <c r="C62" s="16" t="str">
        <v>S3 Alacena 65,5</v>
      </c>
      <c r="D62" s="17" t="str">
        <v>Entrepaño regulable</v>
      </c>
      <c r="E62" s="16" t="str">
        <v>Melamina Cartagena RH 15</v>
      </c>
      <c r="F62" s="16" t="n">
        <v>2</v>
      </c>
      <c r="G62" s="16" t="n">
        <v>303</v>
      </c>
      <c r="H62" s="16" t="n">
        <v>300</v>
      </c>
      <c r="I62" s="16" t="str">
        <v>F</v>
      </c>
      <c r="J62" s="16" t="str">
        <v>—</v>
      </c>
      <c r="K62" s="16" t="str">
        <v>—</v>
      </c>
      <c r="L62" s="16" t="str">
        <v>—</v>
      </c>
      <c r="M62" s="16" t="str">
        <v>Normal</v>
      </c>
      <c r="N62" s="16" t="str">
        <v>303 × 300</v>
      </c>
      <c r="O62" s="16" t="str">
        <v>303 × 299,55</v>
      </c>
      <c r="P62" s="17" t="str">
        <v>—</v>
      </c>
    </row>
    <row r="63">
      <c r="A63" s="16" t="str">
        <v>Cocina</v>
      </c>
      <c r="B63" s="16" t="str">
        <v>P056</v>
      </c>
      <c r="C63" s="16" t="str">
        <v>S3 Alacena 65,5</v>
      </c>
      <c r="D63" s="17" t="str">
        <v>Puerta izquierda</v>
      </c>
      <c r="E63" s="16" t="str">
        <v>Melamina Cartagena RH 15</v>
      </c>
      <c r="F63" s="16" t="n">
        <v>1</v>
      </c>
      <c r="G63" s="16" t="n">
        <v>717</v>
      </c>
      <c r="H63" s="16" t="n">
        <v>324.5</v>
      </c>
      <c r="I63" s="16" t="str">
        <v>R</v>
      </c>
      <c r="J63" s="16" t="str">
        <v>R</v>
      </c>
      <c r="K63" s="16" t="str">
        <v>R</v>
      </c>
      <c r="L63" s="16" t="str">
        <v>R</v>
      </c>
      <c r="M63" s="16" t="str">
        <v>Normal</v>
      </c>
      <c r="N63" s="16" t="str">
        <v>717 × 324,5</v>
      </c>
      <c r="O63" s="16" t="str">
        <v>713 × 320,5</v>
      </c>
      <c r="P63" s="17" t="str">
        <v>—</v>
      </c>
    </row>
    <row r="64">
      <c r="A64" s="16" t="str">
        <v>Cocina</v>
      </c>
      <c r="B64" s="16" t="str">
        <v>P057</v>
      </c>
      <c r="C64" s="16" t="str">
        <v>S3 Alacena 65,5</v>
      </c>
      <c r="D64" s="17" t="str">
        <v>Puerta derecha</v>
      </c>
      <c r="E64" s="16" t="str">
        <v>Melamina Cartagena RH 15</v>
      </c>
      <c r="F64" s="16" t="n">
        <v>1</v>
      </c>
      <c r="G64" s="16" t="n">
        <v>717</v>
      </c>
      <c r="H64" s="16" t="n">
        <v>324.5</v>
      </c>
      <c r="I64" s="16" t="str">
        <v>R</v>
      </c>
      <c r="J64" s="16" t="str">
        <v>R</v>
      </c>
      <c r="K64" s="16" t="str">
        <v>R</v>
      </c>
      <c r="L64" s="16" t="str">
        <v>R</v>
      </c>
      <c r="M64" s="16" t="str">
        <v>Normal</v>
      </c>
      <c r="N64" s="16" t="str">
        <v>717 × 324,5</v>
      </c>
      <c r="O64" s="16" t="str">
        <v>713 × 320,5</v>
      </c>
      <c r="P64" s="17" t="str">
        <v>—</v>
      </c>
    </row>
    <row r="65">
      <c r="A65" s="16" t="str">
        <v>Cocina</v>
      </c>
      <c r="B65" s="16" t="str">
        <v>P058</v>
      </c>
      <c r="C65" s="16" t="str">
        <v>S4 Platero 71,5</v>
      </c>
      <c r="D65" s="17" t="str">
        <v>Lateral</v>
      </c>
      <c r="E65" s="16" t="str">
        <v>Melamina Cartagena RH 15</v>
      </c>
      <c r="F65" s="16" t="n">
        <v>2</v>
      </c>
      <c r="G65" s="16" t="n">
        <v>700</v>
      </c>
      <c r="H65" s="16" t="n">
        <v>320</v>
      </c>
      <c r="I65" s="16" t="str">
        <v>F</v>
      </c>
      <c r="J65" s="16" t="str">
        <v>—</v>
      </c>
      <c r="K65" s="16" t="str">
        <v>F</v>
      </c>
      <c r="L65" s="16" t="str">
        <v>F</v>
      </c>
      <c r="M65" s="16" t="str">
        <v>Normal</v>
      </c>
      <c r="N65" s="16" t="str">
        <v>700 × 320</v>
      </c>
      <c r="O65" s="16" t="str">
        <v>699,1 × 319,55</v>
      </c>
      <c r="P65" s="17" t="str">
        <v>—</v>
      </c>
    </row>
    <row r="66">
      <c r="A66" s="16" t="str">
        <v>Cocina</v>
      </c>
      <c r="B66" s="16" t="str">
        <v>P059</v>
      </c>
      <c r="C66" s="16" t="str">
        <v>S4 Platero 71,5</v>
      </c>
      <c r="D66" s="17" t="str">
        <v>Techo</v>
      </c>
      <c r="E66" s="16" t="str">
        <v>Melamina Cartagena RH 15</v>
      </c>
      <c r="F66" s="16" t="n">
        <v>1</v>
      </c>
      <c r="G66" s="16" t="n">
        <v>685</v>
      </c>
      <c r="H66" s="16" t="n">
        <v>320</v>
      </c>
      <c r="I66" s="16" t="str">
        <v>F</v>
      </c>
      <c r="J66" s="16" t="str">
        <v>—</v>
      </c>
      <c r="K66" s="16" t="str">
        <v>—</v>
      </c>
      <c r="L66" s="16" t="str">
        <v>—</v>
      </c>
      <c r="M66" s="16" t="str">
        <v>Normal</v>
      </c>
      <c r="N66" s="16" t="str">
        <v>685 × 320</v>
      </c>
      <c r="O66" s="16" t="str">
        <v>685 × 319,55</v>
      </c>
      <c r="P66" s="17" t="str">
        <v>—</v>
      </c>
    </row>
    <row r="67">
      <c r="A67" s="16" t="str">
        <v>Cocina</v>
      </c>
      <c r="B67" s="16" t="str">
        <v>P060</v>
      </c>
      <c r="C67" s="16" t="str">
        <v>S4 Platero 71,5</v>
      </c>
      <c r="D67" s="17" t="str">
        <v>Listón inferior delantero</v>
      </c>
      <c r="E67" s="16" t="str">
        <v>Melamina Cartagena RH 15</v>
      </c>
      <c r="F67" s="16" t="n">
        <v>1</v>
      </c>
      <c r="G67" s="16" t="n">
        <v>685</v>
      </c>
      <c r="H67" s="16" t="n">
        <v>60</v>
      </c>
      <c r="I67" s="16" t="str">
        <v>F</v>
      </c>
      <c r="J67" s="16" t="str">
        <v>F</v>
      </c>
      <c r="K67" s="16" t="str">
        <v>F</v>
      </c>
      <c r="L67" s="16" t="str">
        <v>F</v>
      </c>
      <c r="M67" s="16" t="str">
        <v>Pequeña</v>
      </c>
      <c r="N67" s="16" t="str">
        <v>685 × 60</v>
      </c>
      <c r="O67" s="16" t="str">
        <v>684,1 × 59,1</v>
      </c>
      <c r="P67" s="17" t="str">
        <v>Si no la cantean: cortar a 684,1 × 59,1 y cantear en el armado.</v>
      </c>
    </row>
    <row r="68">
      <c r="A68" s="16" t="str">
        <v>Cocina</v>
      </c>
      <c r="B68" s="16" t="str">
        <v>P061</v>
      </c>
      <c r="C68" s="16" t="str">
        <v>S4 Platero 71,5</v>
      </c>
      <c r="D68" s="17" t="str">
        <v>Listón inferior trasero</v>
      </c>
      <c r="E68" s="16" t="str">
        <v>Melamina Cartagena RH 15</v>
      </c>
      <c r="F68" s="16" t="n">
        <v>1</v>
      </c>
      <c r="G68" s="16" t="n">
        <v>685</v>
      </c>
      <c r="H68" s="16" t="n">
        <v>80</v>
      </c>
      <c r="I68" s="16" t="str">
        <v>F</v>
      </c>
      <c r="J68" s="16" t="str">
        <v>F</v>
      </c>
      <c r="K68" s="16" t="str">
        <v>F</v>
      </c>
      <c r="L68" s="16" t="str">
        <v>F</v>
      </c>
      <c r="M68" s="16" t="str">
        <v>Pequeña</v>
      </c>
      <c r="N68" s="16" t="str">
        <v>685 × 80</v>
      </c>
      <c r="O68" s="16" t="str">
        <v>684,1 × 79,1</v>
      </c>
      <c r="P68" s="17" t="str">
        <v>Si no la cantean: cortar a 684,1 × 79,1 y cantear en el armado.</v>
      </c>
    </row>
    <row r="69">
      <c r="A69" s="16" t="str">
        <v>Cocina</v>
      </c>
      <c r="B69" s="16" t="str">
        <v>P062</v>
      </c>
      <c r="C69" s="16" t="str">
        <v>S4 Platero 71,5</v>
      </c>
      <c r="D69" s="17" t="str">
        <v>Fondo</v>
      </c>
      <c r="E69" s="16" t="str">
        <v>Fondo melamina 6</v>
      </c>
      <c r="F69" s="16" t="n">
        <v>1</v>
      </c>
      <c r="G69" s="16" t="n">
        <v>711</v>
      </c>
      <c r="H69" s="16" t="n">
        <v>696</v>
      </c>
      <c r="I69" s="16" t="str">
        <v>—</v>
      </c>
      <c r="J69" s="16" t="str">
        <v>—</v>
      </c>
      <c r="K69" s="16" t="str">
        <v>—</v>
      </c>
      <c r="L69" s="16" t="str">
        <v>—</v>
      </c>
      <c r="M69" s="16" t="str">
        <v>Sin canto</v>
      </c>
      <c r="N69" s="16" t="str">
        <v>711 × 696</v>
      </c>
      <c r="O69" s="16" t="str">
        <v>711 × 696</v>
      </c>
      <c r="P69" s="17" t="str">
        <v>—</v>
      </c>
    </row>
    <row r="70">
      <c r="A70" s="16" t="str">
        <v>Cocina</v>
      </c>
      <c r="B70" s="16" t="str">
        <v>P063</v>
      </c>
      <c r="C70" s="16" t="str">
        <v>S4 Platero 71,5</v>
      </c>
      <c r="D70" s="17" t="str">
        <v>Puerta izquierda</v>
      </c>
      <c r="E70" s="16" t="str">
        <v>Melamina Cartagena RH 15</v>
      </c>
      <c r="F70" s="16" t="n">
        <v>1</v>
      </c>
      <c r="G70" s="16" t="n">
        <v>717</v>
      </c>
      <c r="H70" s="16" t="n">
        <v>354.5</v>
      </c>
      <c r="I70" s="16" t="str">
        <v>R</v>
      </c>
      <c r="J70" s="16" t="str">
        <v>R</v>
      </c>
      <c r="K70" s="16" t="str">
        <v>R</v>
      </c>
      <c r="L70" s="16" t="str">
        <v>R</v>
      </c>
      <c r="M70" s="16" t="str">
        <v>Normal</v>
      </c>
      <c r="N70" s="16" t="str">
        <v>717 × 354,5</v>
      </c>
      <c r="O70" s="16" t="str">
        <v>713 × 350,5</v>
      </c>
      <c r="P70" s="17" t="str">
        <v>—</v>
      </c>
    </row>
    <row r="71">
      <c r="A71" s="16" t="str">
        <v>Cocina</v>
      </c>
      <c r="B71" s="16" t="str">
        <v>P064</v>
      </c>
      <c r="C71" s="16" t="str">
        <v>S4 Platero 71,5</v>
      </c>
      <c r="D71" s="17" t="str">
        <v>Puerta derecha</v>
      </c>
      <c r="E71" s="16" t="str">
        <v>Melamina Cartagena RH 15</v>
      </c>
      <c r="F71" s="16" t="n">
        <v>1</v>
      </c>
      <c r="G71" s="16" t="n">
        <v>717</v>
      </c>
      <c r="H71" s="16" t="n">
        <v>354.5</v>
      </c>
      <c r="I71" s="16" t="str">
        <v>R</v>
      </c>
      <c r="J71" s="16" t="str">
        <v>R</v>
      </c>
      <c r="K71" s="16" t="str">
        <v>R</v>
      </c>
      <c r="L71" s="16" t="str">
        <v>R</v>
      </c>
      <c r="M71" s="16" t="str">
        <v>Normal</v>
      </c>
      <c r="N71" s="16" t="str">
        <v>717 × 354,5</v>
      </c>
      <c r="O71" s="16" t="str">
        <v>713 × 350,5</v>
      </c>
      <c r="P71" s="17" t="str">
        <v>—</v>
      </c>
    </row>
    <row r="72">
      <c r="A72" s="16" t="str">
        <v>Cocina</v>
      </c>
      <c r="B72" s="16" t="str">
        <v>P065</v>
      </c>
      <c r="C72" s="16" t="str">
        <v>S5 Alacena 40</v>
      </c>
      <c r="D72" s="17" t="str">
        <v>Lateral</v>
      </c>
      <c r="E72" s="16" t="str">
        <v>Melamina Cartagena RH 15</v>
      </c>
      <c r="F72" s="16" t="n">
        <v>2</v>
      </c>
      <c r="G72" s="16" t="n">
        <v>700</v>
      </c>
      <c r="H72" s="16" t="n">
        <v>320</v>
      </c>
      <c r="I72" s="16" t="str">
        <v>F</v>
      </c>
      <c r="J72" s="16" t="str">
        <v>—</v>
      </c>
      <c r="K72" s="16" t="str">
        <v>F</v>
      </c>
      <c r="L72" s="16" t="str">
        <v>F</v>
      </c>
      <c r="M72" s="16" t="str">
        <v>Normal</v>
      </c>
      <c r="N72" s="16" t="str">
        <v>700 × 320</v>
      </c>
      <c r="O72" s="16" t="str">
        <v>699,1 × 319,55</v>
      </c>
      <c r="P72" s="17" t="str">
        <v>—</v>
      </c>
    </row>
    <row r="73">
      <c r="A73" s="16" t="str">
        <v>Cocina</v>
      </c>
      <c r="B73" s="16" t="str">
        <v>P066</v>
      </c>
      <c r="C73" s="16" t="str">
        <v>S5 Alacena 40</v>
      </c>
      <c r="D73" s="17" t="str">
        <v>Techo</v>
      </c>
      <c r="E73" s="16" t="str">
        <v>Melamina Cartagena RH 15</v>
      </c>
      <c r="F73" s="16" t="n">
        <v>1</v>
      </c>
      <c r="G73" s="16" t="n">
        <v>370</v>
      </c>
      <c r="H73" s="16" t="n">
        <v>320</v>
      </c>
      <c r="I73" s="16" t="str">
        <v>F</v>
      </c>
      <c r="J73" s="16" t="str">
        <v>—</v>
      </c>
      <c r="K73" s="16" t="str">
        <v>—</v>
      </c>
      <c r="L73" s="16" t="str">
        <v>—</v>
      </c>
      <c r="M73" s="16" t="str">
        <v>Normal</v>
      </c>
      <c r="N73" s="16" t="str">
        <v>370 × 320</v>
      </c>
      <c r="O73" s="16" t="str">
        <v>370 × 319,55</v>
      </c>
      <c r="P73" s="17" t="str">
        <v>—</v>
      </c>
    </row>
    <row r="74">
      <c r="A74" s="16" t="str">
        <v>Cocina</v>
      </c>
      <c r="B74" s="16" t="str">
        <v>P067</v>
      </c>
      <c r="C74" s="16" t="str">
        <v>S5 Alacena 40</v>
      </c>
      <c r="D74" s="17" t="str">
        <v>Piso</v>
      </c>
      <c r="E74" s="16" t="str">
        <v>Melamina Cartagena RH 15</v>
      </c>
      <c r="F74" s="16" t="n">
        <v>1</v>
      </c>
      <c r="G74" s="16" t="n">
        <v>370</v>
      </c>
      <c r="H74" s="16" t="n">
        <v>320</v>
      </c>
      <c r="I74" s="16" t="str">
        <v>F</v>
      </c>
      <c r="J74" s="16" t="str">
        <v>—</v>
      </c>
      <c r="K74" s="16" t="str">
        <v>—</v>
      </c>
      <c r="L74" s="16" t="str">
        <v>—</v>
      </c>
      <c r="M74" s="16" t="str">
        <v>Normal</v>
      </c>
      <c r="N74" s="16" t="str">
        <v>370 × 320</v>
      </c>
      <c r="O74" s="16" t="str">
        <v>370 × 319,55</v>
      </c>
      <c r="P74" s="17" t="str">
        <v>—</v>
      </c>
    </row>
    <row r="75">
      <c r="A75" s="16" t="str">
        <v>Cocina</v>
      </c>
      <c r="B75" s="16" t="str">
        <v>P068</v>
      </c>
      <c r="C75" s="16" t="str">
        <v>S5 Alacena 40</v>
      </c>
      <c r="D75" s="17" t="str">
        <v>Fondo</v>
      </c>
      <c r="E75" s="16" t="str">
        <v>Fondo melamina 6</v>
      </c>
      <c r="F75" s="16" t="n">
        <v>1</v>
      </c>
      <c r="G75" s="16" t="n">
        <v>396</v>
      </c>
      <c r="H75" s="16" t="n">
        <v>696</v>
      </c>
      <c r="I75" s="16" t="str">
        <v>—</v>
      </c>
      <c r="J75" s="16" t="str">
        <v>—</v>
      </c>
      <c r="K75" s="16" t="str">
        <v>—</v>
      </c>
      <c r="L75" s="16" t="str">
        <v>—</v>
      </c>
      <c r="M75" s="16" t="str">
        <v>Sin canto</v>
      </c>
      <c r="N75" s="16" t="str">
        <v>396 × 696</v>
      </c>
      <c r="O75" s="16" t="str">
        <v>396 × 696</v>
      </c>
      <c r="P75" s="17" t="str">
        <v>—</v>
      </c>
    </row>
    <row r="76">
      <c r="A76" s="16" t="str">
        <v>Cocina</v>
      </c>
      <c r="B76" s="16" t="str">
        <v>P069</v>
      </c>
      <c r="C76" s="16" t="str">
        <v>S5 Alacena 40</v>
      </c>
      <c r="D76" s="17" t="str">
        <v>Entrepaño regulable</v>
      </c>
      <c r="E76" s="16" t="str">
        <v>Melamina Cartagena RH 15</v>
      </c>
      <c r="F76" s="16" t="n">
        <v>1</v>
      </c>
      <c r="G76" s="16" t="n">
        <v>368</v>
      </c>
      <c r="H76" s="16" t="n">
        <v>300</v>
      </c>
      <c r="I76" s="16" t="str">
        <v>F</v>
      </c>
      <c r="J76" s="16" t="str">
        <v>—</v>
      </c>
      <c r="K76" s="16" t="str">
        <v>—</v>
      </c>
      <c r="L76" s="16" t="str">
        <v>—</v>
      </c>
      <c r="M76" s="16" t="str">
        <v>Normal</v>
      </c>
      <c r="N76" s="16" t="str">
        <v>368 × 300</v>
      </c>
      <c r="O76" s="16" t="str">
        <v>368 × 299,55</v>
      </c>
      <c r="P76" s="17" t="str">
        <v>—</v>
      </c>
    </row>
    <row r="77">
      <c r="A77" s="16" t="str">
        <v>Cocina</v>
      </c>
      <c r="B77" s="16" t="str">
        <v>P070</v>
      </c>
      <c r="C77" s="16" t="str">
        <v>S5 Alacena 40</v>
      </c>
      <c r="D77" s="17" t="str">
        <v>Puerta</v>
      </c>
      <c r="E77" s="16" t="str">
        <v>Melamina Cartagena RH 15</v>
      </c>
      <c r="F77" s="16" t="n">
        <v>1</v>
      </c>
      <c r="G77" s="16" t="n">
        <v>717</v>
      </c>
      <c r="H77" s="16" t="n">
        <v>397</v>
      </c>
      <c r="I77" s="16" t="str">
        <v>R</v>
      </c>
      <c r="J77" s="16" t="str">
        <v>R</v>
      </c>
      <c r="K77" s="16" t="str">
        <v>R</v>
      </c>
      <c r="L77" s="16" t="str">
        <v>R</v>
      </c>
      <c r="M77" s="16" t="str">
        <v>Normal</v>
      </c>
      <c r="N77" s="16" t="str">
        <v>717 × 397</v>
      </c>
      <c r="O77" s="16" t="str">
        <v>713 × 393</v>
      </c>
      <c r="P77" s="17" t="str">
        <v>—</v>
      </c>
    </row>
    <row r="78">
      <c r="A78" s="16" t="str">
        <v>Clóset</v>
      </c>
      <c r="B78" s="16" t="str">
        <v>C3-001</v>
      </c>
      <c r="C78" s="16" t="str">
        <v>EST</v>
      </c>
      <c r="D78" s="17" t="str">
        <v>Lateral exterior</v>
      </c>
      <c r="E78" s="16" t="str">
        <v>RH15 Cartagena 15 mm</v>
      </c>
      <c r="F78" s="16" t="n">
        <v>2</v>
      </c>
      <c r="G78" s="16" t="n">
        <v>2280</v>
      </c>
      <c r="H78" s="16" t="n">
        <v>560</v>
      </c>
      <c r="I78" s="16" t="str">
        <v>F</v>
      </c>
      <c r="J78" s="16" t="str">
        <v>—</v>
      </c>
      <c r="K78" s="16" t="str">
        <v>F</v>
      </c>
      <c r="L78" s="16" t="str">
        <v>F</v>
      </c>
      <c r="M78" s="16" t="str">
        <v>Normal</v>
      </c>
      <c r="N78" s="16" t="str">
        <v>2280 × 560</v>
      </c>
      <c r="O78" s="16" t="str">
        <v>2279,1 × 559,55</v>
      </c>
      <c r="P78" s="17" t="str">
        <v>Rebaje superior para el listón de pino 4 × 4 en taller.</v>
      </c>
    </row>
    <row r="79">
      <c r="A79" s="16" t="str">
        <v>Clóset</v>
      </c>
      <c r="B79" s="16" t="str">
        <v>C3-002</v>
      </c>
      <c r="C79" s="16" t="str">
        <v>EST</v>
      </c>
      <c r="D79" s="17" t="str">
        <v>Divisor central</v>
      </c>
      <c r="E79" s="16" t="str">
        <v>RH15 Cartagena 15 mm</v>
      </c>
      <c r="F79" s="16" t="n">
        <v>1</v>
      </c>
      <c r="G79" s="16" t="n">
        <v>2280</v>
      </c>
      <c r="H79" s="16" t="n">
        <v>490</v>
      </c>
      <c r="I79" s="16" t="str">
        <v>F</v>
      </c>
      <c r="J79" s="16" t="str">
        <v>—</v>
      </c>
      <c r="K79" s="16" t="str">
        <v>F</v>
      </c>
      <c r="L79" s="16" t="str">
        <v>—</v>
      </c>
      <c r="M79" s="16" t="str">
        <v>Normal</v>
      </c>
      <c r="N79" s="16" t="str">
        <v>2280 × 490</v>
      </c>
      <c r="O79" s="16" t="str">
        <v>2279,55 × 489,55</v>
      </c>
      <c r="P79" s="17" t="str">
        <v>—</v>
      </c>
    </row>
    <row r="80">
      <c r="A80" s="16" t="str">
        <v>Clóset</v>
      </c>
      <c r="B80" s="16" t="str">
        <v>C3-003</v>
      </c>
      <c r="C80" s="16" t="str">
        <v>B1</v>
      </c>
      <c r="D80" s="17" t="str">
        <v>Piso sobre base</v>
      </c>
      <c r="E80" s="16" t="str">
        <v>RH15 Cartagena 15 mm</v>
      </c>
      <c r="F80" s="16" t="n">
        <v>1</v>
      </c>
      <c r="G80" s="16" t="n">
        <v>830</v>
      </c>
      <c r="H80" s="16" t="n">
        <v>560</v>
      </c>
      <c r="I80" s="16" t="str">
        <v>F</v>
      </c>
      <c r="J80" s="16" t="str">
        <v>—</v>
      </c>
      <c r="K80" s="16" t="str">
        <v>F</v>
      </c>
      <c r="L80" s="16" t="str">
        <v>—</v>
      </c>
      <c r="M80" s="16" t="str">
        <v>Normal</v>
      </c>
      <c r="N80" s="16" t="str">
        <v>830 × 560</v>
      </c>
      <c r="O80" s="16" t="str">
        <v>829,55 × 559,55</v>
      </c>
      <c r="P80" s="17" t="str">
        <v>—</v>
      </c>
    </row>
    <row r="81">
      <c r="A81" s="16" t="str">
        <v>Clóset</v>
      </c>
      <c r="B81" s="16" t="str">
        <v>C3-004</v>
      </c>
      <c r="C81" s="16" t="str">
        <v>B1</v>
      </c>
      <c r="D81" s="17" t="str">
        <v>Tapa superior</v>
      </c>
      <c r="E81" s="16" t="str">
        <v>RH15 Cartagena 15 mm</v>
      </c>
      <c r="F81" s="16" t="n">
        <v>1</v>
      </c>
      <c r="G81" s="16" t="n">
        <v>830</v>
      </c>
      <c r="H81" s="16" t="n">
        <v>505</v>
      </c>
      <c r="I81" s="16" t="str">
        <v>F</v>
      </c>
      <c r="J81" s="16" t="str">
        <v>—</v>
      </c>
      <c r="K81" s="16" t="str">
        <v>—</v>
      </c>
      <c r="L81" s="16" t="str">
        <v>—</v>
      </c>
      <c r="M81" s="16" t="str">
        <v>Normal</v>
      </c>
      <c r="N81" s="16" t="str">
        <v>830 × 505</v>
      </c>
      <c r="O81" s="16" t="str">
        <v>830 × 504,55</v>
      </c>
      <c r="P81" s="17" t="str">
        <v>—</v>
      </c>
    </row>
    <row r="82">
      <c r="A82" s="16" t="str">
        <v>Clóset</v>
      </c>
      <c r="B82" s="16" t="str">
        <v>C3-025</v>
      </c>
      <c r="C82" s="16" t="str">
        <v>B1</v>
      </c>
      <c r="D82" s="17" t="str">
        <v>Amarre posterior superior izquierdo</v>
      </c>
      <c r="E82" s="16" t="str">
        <v>RH15 Cartagena 15 mm</v>
      </c>
      <c r="F82" s="16" t="n">
        <v>1</v>
      </c>
      <c r="G82" s="16" t="n">
        <v>830</v>
      </c>
      <c r="H82" s="16" t="n">
        <v>100</v>
      </c>
      <c r="I82" s="16" t="str">
        <v>F</v>
      </c>
      <c r="J82" s="16" t="str">
        <v>—</v>
      </c>
      <c r="K82" s="16" t="str">
        <v>—</v>
      </c>
      <c r="L82" s="16" t="str">
        <v>—</v>
      </c>
      <c r="M82" s="16" t="str">
        <v>Pequeña</v>
      </c>
      <c r="N82" s="16" t="str">
        <v>830 × 100</v>
      </c>
      <c r="O82" s="16" t="str">
        <v>830 × 99,55</v>
      </c>
      <c r="P82" s="17" t="str">
        <v>Si no la cantean: cortar a 830 × 99.55 y cantear en el armado. Marco posterior RH15 sin panel de fondo. Flexible 0,45 mm solo en el borde largo inferior libre hacia el interior; los otros tres bordes son uniones ocultas sin canto. Unir a la caja y al resto del marco. Anclajes al muro posterior resistente y al izquierdo por dimensionar; no fijar solo al estuco.</v>
      </c>
    </row>
    <row r="83">
      <c r="A83" s="16" t="str">
        <v>Clóset</v>
      </c>
      <c r="B83" s="16" t="str">
        <v>C3-006</v>
      </c>
      <c r="C83" s="16" t="str">
        <v>B1</v>
      </c>
      <c r="D83" s="17" t="str">
        <v>Piso de maletero</v>
      </c>
      <c r="E83" s="16" t="str">
        <v>RH15 Cartagena 15 mm</v>
      </c>
      <c r="F83" s="16" t="n">
        <v>1</v>
      </c>
      <c r="G83" s="16" t="n">
        <v>830</v>
      </c>
      <c r="H83" s="16" t="n">
        <v>475</v>
      </c>
      <c r="I83" s="16" t="str">
        <v>F</v>
      </c>
      <c r="J83" s="16" t="str">
        <v>—</v>
      </c>
      <c r="K83" s="16" t="str">
        <v>—</v>
      </c>
      <c r="L83" s="16" t="str">
        <v>—</v>
      </c>
      <c r="M83" s="16" t="str">
        <v>Normal</v>
      </c>
      <c r="N83" s="16" t="str">
        <v>830 × 475</v>
      </c>
      <c r="O83" s="16" t="str">
        <v>830 × 474,55</v>
      </c>
      <c r="P83" s="17" t="str">
        <v>—</v>
      </c>
    </row>
    <row r="84">
      <c r="A84" s="16" t="str">
        <v>Clóset</v>
      </c>
      <c r="B84" s="16" t="str">
        <v>C3-007</v>
      </c>
      <c r="C84" s="16" t="str">
        <v>B1</v>
      </c>
      <c r="D84" s="17" t="str">
        <v>Refuerzo frontal de maletero</v>
      </c>
      <c r="E84" s="16" t="str">
        <v>RH15 Cartagena 15 mm</v>
      </c>
      <c r="F84" s="16" t="n">
        <v>1</v>
      </c>
      <c r="G84" s="16" t="n">
        <v>830</v>
      </c>
      <c r="H84" s="16" t="n">
        <v>80</v>
      </c>
      <c r="I84" s="16" t="str">
        <v>F</v>
      </c>
      <c r="J84" s="16" t="str">
        <v>—</v>
      </c>
      <c r="K84" s="16" t="str">
        <v>—</v>
      </c>
      <c r="L84" s="16" t="str">
        <v>—</v>
      </c>
      <c r="M84" s="16" t="str">
        <v>Pequeña</v>
      </c>
      <c r="N84" s="16" t="str">
        <v>830 × 80</v>
      </c>
      <c r="O84" s="16" t="str">
        <v>830 × 79,55</v>
      </c>
      <c r="P84" s="17" t="str">
        <v>Si no la cantean: cortar a 830 × 79.55 y cantear en el armado.</v>
      </c>
    </row>
    <row r="85">
      <c r="A85" s="16" t="str">
        <v>Clóset</v>
      </c>
      <c r="B85" s="16" t="str">
        <v>C3-008</v>
      </c>
      <c r="C85" s="16" t="str">
        <v>B1</v>
      </c>
      <c r="D85" s="17" t="str">
        <v>Refuerzo trasero de maletero</v>
      </c>
      <c r="E85" s="16" t="str">
        <v>RH15 Cartagena 15 mm</v>
      </c>
      <c r="F85" s="16" t="n">
        <v>1</v>
      </c>
      <c r="G85" s="16" t="n">
        <v>830</v>
      </c>
      <c r="H85" s="16" t="n">
        <v>100</v>
      </c>
      <c r="I85" s="16" t="str">
        <v>F</v>
      </c>
      <c r="J85" s="16" t="str">
        <v>—</v>
      </c>
      <c r="K85" s="16" t="str">
        <v>—</v>
      </c>
      <c r="L85" s="16" t="str">
        <v>—</v>
      </c>
      <c r="M85" s="16" t="str">
        <v>Pequeña</v>
      </c>
      <c r="N85" s="16" t="str">
        <v>830 × 100</v>
      </c>
      <c r="O85" s="16" t="str">
        <v>830 × 99,55</v>
      </c>
      <c r="P85" s="17" t="str">
        <v>Si no la cantean: cortar a 830 × 99.55 y cantear en el armado.</v>
      </c>
    </row>
    <row r="86">
      <c r="A86" s="16" t="str">
        <v>Clóset</v>
      </c>
      <c r="B86" s="16" t="str">
        <v>C3-009</v>
      </c>
      <c r="C86" s="16" t="str">
        <v>B2</v>
      </c>
      <c r="D86" s="17" t="str">
        <v>Piso sobre base</v>
      </c>
      <c r="E86" s="16" t="str">
        <v>RH15 Cartagena 15 mm</v>
      </c>
      <c r="F86" s="16" t="n">
        <v>1</v>
      </c>
      <c r="G86" s="16" t="n">
        <v>1075</v>
      </c>
      <c r="H86" s="16" t="n">
        <v>560</v>
      </c>
      <c r="I86" s="16" t="str">
        <v>F</v>
      </c>
      <c r="J86" s="16" t="str">
        <v>—</v>
      </c>
      <c r="K86" s="16" t="str">
        <v>F</v>
      </c>
      <c r="L86" s="16" t="str">
        <v>—</v>
      </c>
      <c r="M86" s="16" t="str">
        <v>Normal</v>
      </c>
      <c r="N86" s="16" t="str">
        <v>1075 × 560</v>
      </c>
      <c r="O86" s="16" t="str">
        <v>1074,55 × 559,55</v>
      </c>
      <c r="P86" s="17" t="str">
        <v>—</v>
      </c>
    </row>
    <row r="87">
      <c r="A87" s="16" t="str">
        <v>Clóset</v>
      </c>
      <c r="B87" s="16" t="str">
        <v>C3-010</v>
      </c>
      <c r="C87" s="16" t="str">
        <v>B2</v>
      </c>
      <c r="D87" s="17" t="str">
        <v>Tapa superior</v>
      </c>
      <c r="E87" s="16" t="str">
        <v>RH15 Cartagena 15 mm</v>
      </c>
      <c r="F87" s="16" t="n">
        <v>1</v>
      </c>
      <c r="G87" s="16" t="n">
        <v>1075</v>
      </c>
      <c r="H87" s="16" t="n">
        <v>505</v>
      </c>
      <c r="I87" s="16" t="str">
        <v>F</v>
      </c>
      <c r="J87" s="16" t="str">
        <v>—</v>
      </c>
      <c r="K87" s="16" t="str">
        <v>—</v>
      </c>
      <c r="L87" s="16" t="str">
        <v>—</v>
      </c>
      <c r="M87" s="16" t="str">
        <v>Normal</v>
      </c>
      <c r="N87" s="16" t="str">
        <v>1075 × 505</v>
      </c>
      <c r="O87" s="16" t="str">
        <v>1075 × 504,55</v>
      </c>
      <c r="P87" s="17" t="str">
        <v>—</v>
      </c>
    </row>
    <row r="88">
      <c r="A88" s="16" t="str">
        <v>Clóset</v>
      </c>
      <c r="B88" s="16" t="str">
        <v>C3-026</v>
      </c>
      <c r="C88" s="16" t="str">
        <v>B2</v>
      </c>
      <c r="D88" s="17" t="str">
        <v>Amarre posterior superior derecho</v>
      </c>
      <c r="E88" s="16" t="str">
        <v>RH15 Cartagena 15 mm</v>
      </c>
      <c r="F88" s="16" t="n">
        <v>1</v>
      </c>
      <c r="G88" s="16" t="n">
        <v>1075</v>
      </c>
      <c r="H88" s="16" t="n">
        <v>100</v>
      </c>
      <c r="I88" s="16" t="str">
        <v>F</v>
      </c>
      <c r="J88" s="16" t="str">
        <v>—</v>
      </c>
      <c r="K88" s="16" t="str">
        <v>—</v>
      </c>
      <c r="L88" s="16" t="str">
        <v>—</v>
      </c>
      <c r="M88" s="16" t="str">
        <v>Pequeña</v>
      </c>
      <c r="N88" s="16" t="str">
        <v>1075 × 100</v>
      </c>
      <c r="O88" s="16" t="str">
        <v>1075 × 99,55</v>
      </c>
      <c r="P88" s="17" t="str">
        <v>Si no la cantean: cortar a 1075 × 99.55 y cantear en el armado. Marco posterior RH15 sin panel de fondo. Flexible 0,45 mm solo en el borde largo inferior libre hacia el interior; los otros tres bordes son uniones ocultas sin canto. Unir a la caja y al resto del marco. Anclajes al muro posterior resistente y al izquierdo por dimensionar; no fijar solo al estuco.</v>
      </c>
    </row>
    <row r="89">
      <c r="A89" s="16" t="str">
        <v>Clóset</v>
      </c>
      <c r="B89" s="16" t="str">
        <v>C3-012</v>
      </c>
      <c r="C89" s="16" t="str">
        <v>B2</v>
      </c>
      <c r="D89" s="17" t="str">
        <v>Piso de maletero</v>
      </c>
      <c r="E89" s="16" t="str">
        <v>RH15 Cartagena 15 mm</v>
      </c>
      <c r="F89" s="16" t="n">
        <v>1</v>
      </c>
      <c r="G89" s="16" t="n">
        <v>1075</v>
      </c>
      <c r="H89" s="16" t="n">
        <v>475</v>
      </c>
      <c r="I89" s="16" t="str">
        <v>F</v>
      </c>
      <c r="J89" s="16" t="str">
        <v>—</v>
      </c>
      <c r="K89" s="16" t="str">
        <v>—</v>
      </c>
      <c r="L89" s="16" t="str">
        <v>—</v>
      </c>
      <c r="M89" s="16" t="str">
        <v>Normal</v>
      </c>
      <c r="N89" s="16" t="str">
        <v>1075 × 475</v>
      </c>
      <c r="O89" s="16" t="str">
        <v>1075 × 474,55</v>
      </c>
      <c r="P89" s="17" t="str">
        <v>—</v>
      </c>
    </row>
    <row r="90">
      <c r="A90" s="16" t="str">
        <v>Clóset</v>
      </c>
      <c r="B90" s="16" t="str">
        <v>C3-013</v>
      </c>
      <c r="C90" s="16" t="str">
        <v>B2</v>
      </c>
      <c r="D90" s="17" t="str">
        <v>Refuerzo frontal de maletero</v>
      </c>
      <c r="E90" s="16" t="str">
        <v>RH15 Cartagena 15 mm</v>
      </c>
      <c r="F90" s="16" t="n">
        <v>1</v>
      </c>
      <c r="G90" s="16" t="n">
        <v>1075</v>
      </c>
      <c r="H90" s="16" t="n">
        <v>80</v>
      </c>
      <c r="I90" s="16" t="str">
        <v>F</v>
      </c>
      <c r="J90" s="16" t="str">
        <v>—</v>
      </c>
      <c r="K90" s="16" t="str">
        <v>—</v>
      </c>
      <c r="L90" s="16" t="str">
        <v>—</v>
      </c>
      <c r="M90" s="16" t="str">
        <v>Pequeña</v>
      </c>
      <c r="N90" s="16" t="str">
        <v>1075 × 80</v>
      </c>
      <c r="O90" s="16" t="str">
        <v>1075 × 79,55</v>
      </c>
      <c r="P90" s="17" t="str">
        <v>Si no la cantean: cortar a 1075 × 79.55 y cantear en el armado.</v>
      </c>
    </row>
    <row r="91">
      <c r="A91" s="16" t="str">
        <v>Clóset</v>
      </c>
      <c r="B91" s="16" t="str">
        <v>C3-014</v>
      </c>
      <c r="C91" s="16" t="str">
        <v>B2</v>
      </c>
      <c r="D91" s="17" t="str">
        <v>Refuerzo trasero de maletero</v>
      </c>
      <c r="E91" s="16" t="str">
        <v>RH15 Cartagena 15 mm</v>
      </c>
      <c r="F91" s="16" t="n">
        <v>1</v>
      </c>
      <c r="G91" s="16" t="n">
        <v>1075</v>
      </c>
      <c r="H91" s="16" t="n">
        <v>100</v>
      </c>
      <c r="I91" s="16" t="str">
        <v>F</v>
      </c>
      <c r="J91" s="16" t="str">
        <v>—</v>
      </c>
      <c r="K91" s="16" t="str">
        <v>—</v>
      </c>
      <c r="L91" s="16" t="str">
        <v>—</v>
      </c>
      <c r="M91" s="16" t="str">
        <v>Pequeña</v>
      </c>
      <c r="N91" s="16" t="str">
        <v>1075 × 100</v>
      </c>
      <c r="O91" s="16" t="str">
        <v>1075 × 99,55</v>
      </c>
      <c r="P91" s="17" t="str">
        <v>Si no la cantean: cortar a 1075 × 99.55 y cantear en el armado.</v>
      </c>
    </row>
    <row r="92">
      <c r="A92" s="16" t="str">
        <v>Clóset</v>
      </c>
      <c r="B92" s="16" t="str">
        <v>C3-015</v>
      </c>
      <c r="C92" s="16" t="str">
        <v>B1</v>
      </c>
      <c r="D92" s="17" t="str">
        <v>Frente de cajón</v>
      </c>
      <c r="E92" s="16" t="str">
        <v>RH15 Cartagena 15 mm</v>
      </c>
      <c r="F92" s="16" t="n">
        <v>3</v>
      </c>
      <c r="G92" s="16" t="n">
        <v>824</v>
      </c>
      <c r="H92" s="16" t="n">
        <v>210</v>
      </c>
      <c r="I92" s="16" t="str">
        <v>R</v>
      </c>
      <c r="J92" s="16" t="str">
        <v>R</v>
      </c>
      <c r="K92" s="16" t="str">
        <v>R</v>
      </c>
      <c r="L92" s="16" t="str">
        <v>R</v>
      </c>
      <c r="M92" s="16" t="str">
        <v>Normal</v>
      </c>
      <c r="N92" s="16" t="str">
        <v>824 × 210</v>
      </c>
      <c r="O92" s="16" t="str">
        <v>820 × 206</v>
      </c>
      <c r="P92" s="17" t="str">
        <v>Veta horizontal: frente de 824 de ancho, queda detrás de las hojas.</v>
      </c>
    </row>
    <row r="93">
      <c r="A93" s="16" t="str">
        <v>Clóset</v>
      </c>
      <c r="B93" s="16" t="str">
        <v>C3-016</v>
      </c>
      <c r="C93" s="16" t="str">
        <v>B1</v>
      </c>
      <c r="D93" s="17" t="str">
        <v>Costado de cajón</v>
      </c>
      <c r="E93" s="16" t="str">
        <v>RH15 Cartagena 15 mm</v>
      </c>
      <c r="F93" s="16" t="n">
        <v>6</v>
      </c>
      <c r="G93" s="16" t="n">
        <v>450</v>
      </c>
      <c r="H93" s="16" t="n">
        <v>155</v>
      </c>
      <c r="I93" s="16" t="str">
        <v>F</v>
      </c>
      <c r="J93" s="16" t="str">
        <v>—</v>
      </c>
      <c r="K93" s="16" t="str">
        <v>F</v>
      </c>
      <c r="L93" s="16" t="str">
        <v>—</v>
      </c>
      <c r="M93" s="16" t="str">
        <v>Normal</v>
      </c>
      <c r="N93" s="16" t="str">
        <v>450 × 155</v>
      </c>
      <c r="O93" s="16" t="str">
        <v>449,55 × 154,55</v>
      </c>
      <c r="P93" s="17" t="str">
        <v>—</v>
      </c>
    </row>
    <row r="94">
      <c r="A94" s="16" t="str">
        <v>Clóset</v>
      </c>
      <c r="B94" s="16" t="str">
        <v>C3-017</v>
      </c>
      <c r="C94" s="16" t="str">
        <v>B1</v>
      </c>
      <c r="D94" s="17" t="str">
        <v>Base aplicada de cajón</v>
      </c>
      <c r="E94" s="16" t="str">
        <v>RH15 Cartagena 15 mm</v>
      </c>
      <c r="F94" s="16" t="n">
        <v>3</v>
      </c>
      <c r="G94" s="16" t="n">
        <v>803</v>
      </c>
      <c r="H94" s="16" t="n">
        <v>450</v>
      </c>
      <c r="I94" s="16" t="str">
        <v>F</v>
      </c>
      <c r="J94" s="16" t="str">
        <v>—</v>
      </c>
      <c r="K94" s="16" t="str">
        <v>F</v>
      </c>
      <c r="L94" s="16" t="str">
        <v>F</v>
      </c>
      <c r="M94" s="16" t="str">
        <v>Normal</v>
      </c>
      <c r="N94" s="16" t="str">
        <v>803 × 450</v>
      </c>
      <c r="O94" s="16" t="str">
        <v>802,1 × 449,55</v>
      </c>
      <c r="P94" s="17" t="str">
        <v>—</v>
      </c>
    </row>
    <row r="95">
      <c r="A95" s="16" t="str">
        <v>Clóset</v>
      </c>
      <c r="B95" s="16" t="str">
        <v>C3-018</v>
      </c>
      <c r="C95" s="16" t="str">
        <v>B1</v>
      </c>
      <c r="D95" s="17" t="str">
        <v>Frente / trasero interior de cajón</v>
      </c>
      <c r="E95" s="16" t="str">
        <v>RH15 Cartagena 15 mm</v>
      </c>
      <c r="F95" s="16" t="n">
        <v>6</v>
      </c>
      <c r="G95" s="16" t="n">
        <v>773</v>
      </c>
      <c r="H95" s="16" t="n">
        <v>155</v>
      </c>
      <c r="I95" s="16" t="str">
        <v>F</v>
      </c>
      <c r="J95" s="16" t="str">
        <v>—</v>
      </c>
      <c r="K95" s="16" t="str">
        <v>—</v>
      </c>
      <c r="L95" s="16" t="str">
        <v>—</v>
      </c>
      <c r="M95" s="16" t="str">
        <v>Normal</v>
      </c>
      <c r="N95" s="16" t="str">
        <v>773 × 155</v>
      </c>
      <c r="O95" s="16" t="str">
        <v>773 × 154,55</v>
      </c>
      <c r="P95" s="17" t="str">
        <v>—</v>
      </c>
    </row>
    <row r="96">
      <c r="A96" s="16" t="str">
        <v>Clóset</v>
      </c>
      <c r="B96" s="16" t="str">
        <v>C3-019</v>
      </c>
      <c r="C96" s="16" t="str">
        <v>B1</v>
      </c>
      <c r="D96" s="17" t="str">
        <v>Refuerzo bajo base de cajón</v>
      </c>
      <c r="E96" s="16" t="str">
        <v>RH15 Cartagena 15 mm</v>
      </c>
      <c r="F96" s="16" t="n">
        <v>3</v>
      </c>
      <c r="G96" s="16" t="n">
        <v>803</v>
      </c>
      <c r="H96" s="16" t="n">
        <v>40</v>
      </c>
      <c r="I96" s="16" t="str">
        <v>F</v>
      </c>
      <c r="J96" s="16" t="str">
        <v>—</v>
      </c>
      <c r="K96" s="16" t="str">
        <v>F</v>
      </c>
      <c r="L96" s="16" t="str">
        <v>F</v>
      </c>
      <c r="M96" s="16" t="str">
        <v>Pequeña</v>
      </c>
      <c r="N96" s="16" t="str">
        <v>803 × 40</v>
      </c>
      <c r="O96" s="16" t="str">
        <v>802,1 × 39,55</v>
      </c>
      <c r="P96" s="17" t="str">
        <v>Si no la cantean: cortar a 802.1 × 39.55 y cantear en el armado.</v>
      </c>
    </row>
    <row r="97">
      <c r="A97" s="16" t="str">
        <v>Clóset</v>
      </c>
      <c r="B97" s="16" t="str">
        <v>C3-020</v>
      </c>
      <c r="C97" s="16" t="str">
        <v>BASE</v>
      </c>
      <c r="D97" s="17" t="str">
        <v>Zócalo frontal</v>
      </c>
      <c r="E97" s="16" t="str">
        <v>RH15 Cartagena 15 mm</v>
      </c>
      <c r="F97" s="16" t="n">
        <v>1</v>
      </c>
      <c r="G97" s="16" t="n">
        <v>1950</v>
      </c>
      <c r="H97" s="16" t="n">
        <v>92</v>
      </c>
      <c r="I97" s="16" t="str">
        <v>F</v>
      </c>
      <c r="J97" s="16" t="str">
        <v>F</v>
      </c>
      <c r="K97" s="16" t="str">
        <v>F</v>
      </c>
      <c r="L97" s="16" t="str">
        <v>F</v>
      </c>
      <c r="M97" s="16" t="str">
        <v>Pequeña</v>
      </c>
      <c r="N97" s="16" t="str">
        <v>1950 × 92</v>
      </c>
      <c r="O97" s="16" t="str">
        <v>1949,1 × 91,1</v>
      </c>
      <c r="P97" s="17" t="str">
        <v>Si no la cantean: cortar a 1949.1 × 91.1 y cantear en el armado.</v>
      </c>
    </row>
    <row r="98">
      <c r="A98" s="16" t="str">
        <v>Clóset</v>
      </c>
      <c r="B98" s="16" t="str">
        <v>C3-021</v>
      </c>
      <c r="C98" s="16" t="str">
        <v>BASE</v>
      </c>
      <c r="D98" s="17" t="str">
        <v>Travesaño trasero de base</v>
      </c>
      <c r="E98" s="16" t="str">
        <v>RH15 Cartagena 15 mm</v>
      </c>
      <c r="F98" s="16" t="n">
        <v>1</v>
      </c>
      <c r="G98" s="16" t="n">
        <v>1950</v>
      </c>
      <c r="H98" s="16" t="n">
        <v>80</v>
      </c>
      <c r="I98" s="16" t="str">
        <v>F</v>
      </c>
      <c r="J98" s="16" t="str">
        <v>F</v>
      </c>
      <c r="K98" s="16" t="str">
        <v>F</v>
      </c>
      <c r="L98" s="16" t="str">
        <v>F</v>
      </c>
      <c r="M98" s="16" t="str">
        <v>Pequeña</v>
      </c>
      <c r="N98" s="16" t="str">
        <v>1950 × 80</v>
      </c>
      <c r="O98" s="16" t="str">
        <v>1949,1 × 79,1</v>
      </c>
      <c r="P98" s="17" t="str">
        <v>Si no la cantean: cortar a 1949.1 × 79.1 y cantear en el armado.</v>
      </c>
    </row>
    <row r="99">
      <c r="A99" s="16" t="str">
        <v>Clóset</v>
      </c>
      <c r="B99" s="16" t="str">
        <v>C3-022</v>
      </c>
      <c r="C99" s="16" t="str">
        <v>BASE</v>
      </c>
      <c r="D99" s="17" t="str">
        <v>Travesaño de base</v>
      </c>
      <c r="E99" s="16" t="str">
        <v>RH15 Cartagena 15 mm</v>
      </c>
      <c r="F99" s="16" t="n">
        <v>3</v>
      </c>
      <c r="G99" s="16" t="n">
        <v>480</v>
      </c>
      <c r="H99" s="16" t="n">
        <v>80</v>
      </c>
      <c r="I99" s="16" t="str">
        <v>F</v>
      </c>
      <c r="J99" s="16" t="str">
        <v>F</v>
      </c>
      <c r="K99" s="16" t="str">
        <v>F</v>
      </c>
      <c r="L99" s="16" t="str">
        <v>F</v>
      </c>
      <c r="M99" s="16" t="str">
        <v>Pequeña</v>
      </c>
      <c r="N99" s="16" t="str">
        <v>480 × 80</v>
      </c>
      <c r="O99" s="16" t="str">
        <v>479,1 × 79,1</v>
      </c>
      <c r="P99" s="17" t="str">
        <v>Si no la cantean: cortar a 479.1 × 79.1 y cantear en el armado.</v>
      </c>
    </row>
    <row r="100" ht="57.599998474121094">
      <c r="A100" s="16" t="str">
        <v>Clóset</v>
      </c>
      <c r="B100" s="16" t="str">
        <v>C3-023</v>
      </c>
      <c r="C100" s="16" t="str">
        <v>PUERTAS</v>
      </c>
      <c r="D100" s="17" t="str">
        <v>Hoja corrediza RH15</v>
      </c>
      <c r="E100" s="16" t="str">
        <v>RH15 Cartagena 15 mm</v>
      </c>
      <c r="F100" s="16" t="n">
        <v>2</v>
      </c>
      <c r="G100" s="16" t="n">
        <v>2195</v>
      </c>
      <c r="H100" s="16" t="n">
        <v>975</v>
      </c>
      <c r="I100" s="16" t="str">
        <v>R</v>
      </c>
      <c r="J100" s="16" t="str">
        <v>R</v>
      </c>
      <c r="K100" s="16" t="str">
        <v>R</v>
      </c>
      <c r="L100" s="16" t="str">
        <v>R</v>
      </c>
      <c r="M100" s="16" t="str">
        <v>Normal</v>
      </c>
      <c r="N100" s="16" t="str">
        <v>2175 × 975</v>
      </c>
      <c r="O100" s="16" t="str">
        <v>2191 × 971</v>
      </c>
      <c r="P100" s="17" t="str">
        <v>Pedida 20 mm más alta (2195 en vez de 2175): en el armado, con el riel y los carros puestos, recortar el borde superior —tapado por la solapa— hasta que la guía inferior sujete la hoja. Nunca debe quedar corta.</v>
      </c>
    </row>
    <row r="101">
      <c r="A101" s="16" t="str">
        <v>Clóset</v>
      </c>
      <c r="B101" s="16" t="str">
        <v>C3-024</v>
      </c>
      <c r="C101" s="16" t="str">
        <v>EST</v>
      </c>
      <c r="D101" s="17" t="str">
        <v>Solapa frontal</v>
      </c>
      <c r="E101" s="16" t="str">
        <v>RH15 Cartagena 15 mm</v>
      </c>
      <c r="F101" s="16" t="n">
        <v>1</v>
      </c>
      <c r="G101" s="16" t="n">
        <v>1950</v>
      </c>
      <c r="H101" s="16" t="n">
        <v>120</v>
      </c>
      <c r="I101" s="16" t="str">
        <v>F</v>
      </c>
      <c r="J101" s="16" t="str">
        <v>F</v>
      </c>
      <c r="K101" s="16" t="str">
        <v>F</v>
      </c>
      <c r="L101" s="16" t="str">
        <v>F</v>
      </c>
      <c r="M101" s="16" t="str">
        <v>Normal</v>
      </c>
      <c r="N101" s="16" t="str">
        <v>1950 × 120</v>
      </c>
      <c r="O101" s="16" t="str">
        <v>1949,1 × 119,1</v>
      </c>
      <c r="P101" s="17" t="str">
        <v>—</v>
      </c>
    </row>
    <row r="102" ht="28.799999237060547">
      <c r="A102" s="16" t="str">
        <v>Clóset</v>
      </c>
      <c r="B102" s="16" t="str">
        <v>C3-027</v>
      </c>
      <c r="C102" s="16" t="str">
        <v>B2</v>
      </c>
      <c r="D102" s="17" t="str">
        <v>Montante posterior derecho</v>
      </c>
      <c r="E102" s="16" t="str">
        <v>RH15 Cartagena 15 mm</v>
      </c>
      <c r="F102" s="16" t="n">
        <v>1</v>
      </c>
      <c r="G102" s="16" t="n">
        <v>2050</v>
      </c>
      <c r="H102" s="16" t="n">
        <v>100</v>
      </c>
      <c r="I102" s="16" t="str">
        <v>F</v>
      </c>
      <c r="J102" s="16" t="str">
        <v>—</v>
      </c>
      <c r="K102" s="16" t="str">
        <v>—</v>
      </c>
      <c r="L102" s="16" t="str">
        <v>—</v>
      </c>
      <c r="M102" s="16" t="str">
        <v>Pequeña</v>
      </c>
      <c r="N102" s="16" t="str">
        <v>2050 × 100</v>
      </c>
      <c r="O102" s="16" t="str">
        <v>2050 × 99,55</v>
      </c>
      <c r="P102" s="17" t="str">
        <v>Si no la cantean: cortar a 2050 × 99.55 y cantear en el armado. Marco posterior RH15 sin panel de fondo. Flexible 0,45 mm solo en el borde largo izquierdo libre hacia el interior; los otros tres bordes son uniones ocultas sin canto. Unir a la caja y al resto del marco. Anclajes al muro posterior resistente y al izquierdo por dimensionar; no fijar solo al estuco.</v>
      </c>
    </row>
    <row r="103" ht="28.799999237060547">
      <c r="A103" s="16" t="str">
        <v>Clóset</v>
      </c>
      <c r="B103" s="16" t="str">
        <v>C3-028</v>
      </c>
      <c r="C103" s="16" t="str">
        <v>B1</v>
      </c>
      <c r="D103" s="17" t="str">
        <v>Montante posterior izquierdo</v>
      </c>
      <c r="E103" s="16" t="str">
        <v>RH15 Cartagena 15 mm</v>
      </c>
      <c r="F103" s="16" t="n">
        <v>1</v>
      </c>
      <c r="G103" s="16" t="n">
        <v>2050</v>
      </c>
      <c r="H103" s="16" t="n">
        <v>100</v>
      </c>
      <c r="I103" s="16" t="str">
        <v>F</v>
      </c>
      <c r="J103" s="16" t="str">
        <v>—</v>
      </c>
      <c r="K103" s="16" t="str">
        <v>—</v>
      </c>
      <c r="L103" s="16" t="str">
        <v>—</v>
      </c>
      <c r="M103" s="16" t="str">
        <v>Pequeña</v>
      </c>
      <c r="N103" s="16" t="str">
        <v>2050 × 100</v>
      </c>
      <c r="O103" s="16" t="str">
        <v>2050 × 99,55</v>
      </c>
      <c r="P103" s="17" t="str">
        <v>Si no la cantean: cortar a 2050 × 99.55 y cantear en el armado. Marco posterior RH15 sin panel de fondo. Flexible 0,45 mm solo en el borde largo derecho libre hacia el interior; los otros tres bordes son uniones ocultas sin canto. Unir a la caja y al resto del marco. Anclajes al muro posterior resistente y al izquierdo por dimensionar; no fijar solo al estuco.</v>
      </c>
    </row>
    <row r="104" ht="57.599998474121094">
      <c r="A104" s="16" t="str">
        <v>Clóset</v>
      </c>
      <c r="B104" s="16" t="str">
        <v>C3-029</v>
      </c>
      <c r="C104" s="16" t="str">
        <v>B1</v>
      </c>
      <c r="D104" s="17" t="str">
        <v>Amarre posterior inferior izquierdo</v>
      </c>
      <c r="E104" s="16" t="str">
        <v>RH15 Cartagena 15 mm</v>
      </c>
      <c r="F104" s="16" t="n">
        <v>1</v>
      </c>
      <c r="G104" s="16" t="n">
        <v>830</v>
      </c>
      <c r="H104" s="16" t="n">
        <v>100</v>
      </c>
      <c r="I104" s="16" t="str">
        <v>F</v>
      </c>
      <c r="J104" s="16" t="str">
        <v>—</v>
      </c>
      <c r="K104" s="16" t="str">
        <v>—</v>
      </c>
      <c r="L104" s="16" t="str">
        <v>—</v>
      </c>
      <c r="M104" s="16" t="str">
        <v>Pequeña</v>
      </c>
      <c r="N104" s="16" t="str">
        <v>830 × 100</v>
      </c>
      <c r="O104" s="16" t="str">
        <v>830 × 99,55</v>
      </c>
      <c r="P104" s="17" t="str">
        <v>Si no la cantean: cortar a 830 × 99.55 y cantear en el armado. Marco posterior RH15 sin panel de fondo. Flexible 0,45 mm solo en el borde largo superior libre hacia el interior; los otros tres bordes son uniones ocultas sin canto. Unir a la caja y al resto del marco. Anclajes al muro posterior resistente y al izquierdo por dimensionar; no fijar solo al estuco.</v>
      </c>
    </row>
    <row r="105" ht="57.599998474121094">
      <c r="A105" s="16" t="str">
        <v>Clóset</v>
      </c>
      <c r="B105" s="16" t="str">
        <v>C3-030</v>
      </c>
      <c r="C105" s="16" t="str">
        <v>B2</v>
      </c>
      <c r="D105" s="17" t="str">
        <v>Amarre posterior inferior derecho</v>
      </c>
      <c r="E105" s="16" t="str">
        <v>RH15 Cartagena 15 mm</v>
      </c>
      <c r="F105" s="16" t="n">
        <v>1</v>
      </c>
      <c r="G105" s="16" t="n">
        <v>1075</v>
      </c>
      <c r="H105" s="16" t="n">
        <v>100</v>
      </c>
      <c r="I105" s="16" t="str">
        <v>F</v>
      </c>
      <c r="J105" s="16" t="str">
        <v>—</v>
      </c>
      <c r="K105" s="16" t="str">
        <v>—</v>
      </c>
      <c r="L105" s="16" t="str">
        <v>—</v>
      </c>
      <c r="M105" s="16" t="str">
        <v>Pequeña</v>
      </c>
      <c r="N105" s="16" t="str">
        <v>1075 × 100</v>
      </c>
      <c r="O105" s="16" t="str">
        <v>1075 × 99,55</v>
      </c>
      <c r="P105" s="17" t="str">
        <v>Si no la cantean: cortar a 1075 × 99.55 y cantear en el armado. Marco posterior RH15 sin panel de fondo. Flexible 0,45 mm solo en el borde largo superior libre hacia el interior; los otros tres bordes son uniones ocultas sin canto. Unir a la caja y al resto del marco. Anclajes al muro posterior resistente y al izquierdo por dimensionar; no fijar solo al estuco.</v>
      </c>
    </row>
    <row r="106" ht="57.599998474121094">
      <c r="A106" s="16" t="str">
        <v>Baño</v>
      </c>
      <c r="B106" s="16" t="str">
        <v>B01</v>
      </c>
      <c r="C106" s="16" t="str">
        <v>BAJO</v>
      </c>
      <c r="D106" s="17" t="str">
        <v>Lateral</v>
      </c>
      <c r="E106" s="16" t="str">
        <v>RH15 Cartagena</v>
      </c>
      <c r="F106" s="16" t="n">
        <v>2</v>
      </c>
      <c r="G106" s="16" t="n">
        <v>470</v>
      </c>
      <c r="H106" s="16" t="n">
        <v>450</v>
      </c>
      <c r="I106" s="16" t="str">
        <v>F</v>
      </c>
      <c r="J106" s="16" t="str">
        <v>F</v>
      </c>
      <c r="K106" s="16" t="str">
        <v>F</v>
      </c>
      <c r="L106" s="16" t="str">
        <v>F</v>
      </c>
      <c r="M106" s="16" t="str">
        <v>Normal</v>
      </c>
      <c r="N106" s="16" t="str">
        <v>470 × 450</v>
      </c>
      <c r="O106" s="16" t="str">
        <v>469,1 × 449,1</v>
      </c>
      <c r="P106" s="17" t="str">
        <v>Zona húmeda: proteger todos los bordes y sellar perforaciones; dimensiones terminadas. Canto flexible 0,45 mm en todo el perímetro; mantener sellados recortes y perforaciones.</v>
      </c>
    </row>
    <row r="107" ht="100.80000305175781">
      <c r="A107" s="16" t="str">
        <v>Baño</v>
      </c>
      <c r="B107" s="16" t="str">
        <v>B02</v>
      </c>
      <c r="C107" s="16" t="str">
        <v>BAJO</v>
      </c>
      <c r="D107" s="17" t="str">
        <v>Piso</v>
      </c>
      <c r="E107" s="16" t="str">
        <v>RH15 Cartagena</v>
      </c>
      <c r="F107" s="16" t="n">
        <v>1</v>
      </c>
      <c r="G107" s="16" t="n">
        <v>490</v>
      </c>
      <c r="H107" s="16" t="n">
        <v>450</v>
      </c>
      <c r="I107" s="16" t="str">
        <v>F</v>
      </c>
      <c r="J107" s="16" t="str">
        <v>F</v>
      </c>
      <c r="K107" s="16" t="str">
        <v>F</v>
      </c>
      <c r="L107" s="16" t="str">
        <v>F</v>
      </c>
      <c r="M107" s="16" t="str">
        <v>Normal</v>
      </c>
      <c r="N107" s="16" t="str">
        <v>490 × 450</v>
      </c>
      <c r="O107" s="16" t="str">
        <v>489,1 × 449,1</v>
      </c>
      <c r="P107" s="17" t="str">
        <v>Zona húmeda: proteger todos los bordes y sellar perforaciones; dimensiones terminadas. Canto flexible 0,45 mm en todo el perímetro; mantener sellados recortes y perforaciones.</v>
      </c>
    </row>
    <row r="108" ht="43.20000076293945">
      <c r="A108" s="16" t="str">
        <v>Baño</v>
      </c>
      <c r="B108" s="16" t="str">
        <v>B03</v>
      </c>
      <c r="C108" s="16" t="str">
        <v>BAJO</v>
      </c>
      <c r="D108" s="17" t="str">
        <v>Entrepaño retranqueado con reserva de sifón</v>
      </c>
      <c r="E108" s="16" t="str">
        <v>RH15 Cartagena</v>
      </c>
      <c r="F108" s="16" t="n">
        <v>1</v>
      </c>
      <c r="G108" s="16" t="n">
        <v>490</v>
      </c>
      <c r="H108" s="16" t="n">
        <v>405</v>
      </c>
      <c r="I108" s="16" t="str">
        <v>F</v>
      </c>
      <c r="J108" s="16" t="str">
        <v>F</v>
      </c>
      <c r="K108" s="16" t="str">
        <v>F</v>
      </c>
      <c r="L108" s="16" t="str">
        <v>F</v>
      </c>
      <c r="M108" s="16" t="str">
        <v>Normal</v>
      </c>
      <c r="N108" s="16" t="str">
        <v>490 × 405</v>
      </c>
      <c r="O108" s="16" t="str">
        <v>489,1 × 404,1</v>
      </c>
      <c r="P108" s="17" t="str">
        <v>Zona húmeda: proteger todos los bordes y sellar perforaciones; dimensiones terminadas. Nicho libre de 150 mm bajo granito. Recorte trasero ilustrativo 100 × 270 mm, centrado; no mecanizar sin sifón real. Retranqueo frontal de 30 mm para agarre. Canto flexible 0,45 mm en todo el perímetro; mantener sellados recortes y perforaciones.</v>
      </c>
    </row>
    <row r="109" ht="28.799999237060547">
      <c r="A109" s="16" t="str">
        <v>Baño</v>
      </c>
      <c r="B109" s="16" t="str">
        <v>B04</v>
      </c>
      <c r="C109" s="16" t="str">
        <v>BAJO</v>
      </c>
      <c r="D109" s="17" t="str">
        <v>Travesaño trasero superior lateral</v>
      </c>
      <c r="E109" s="16" t="str">
        <v>RH15 Cartagena</v>
      </c>
      <c r="F109" s="16" t="n">
        <v>2</v>
      </c>
      <c r="G109" s="16" t="n">
        <v>195</v>
      </c>
      <c r="H109" s="16" t="n">
        <v>80</v>
      </c>
      <c r="I109" s="16" t="str">
        <v>F</v>
      </c>
      <c r="J109" s="16" t="str">
        <v>F</v>
      </c>
      <c r="K109" s="16" t="str">
        <v>F</v>
      </c>
      <c r="L109" s="16" t="str">
        <v>F</v>
      </c>
      <c r="M109" s="16" t="str">
        <v>Pequeña</v>
      </c>
      <c r="N109" s="16" t="str">
        <v>195 × 80</v>
      </c>
      <c r="O109" s="16" t="str">
        <v>194,1 × 79,1</v>
      </c>
      <c r="P109" s="17" t="str">
        <v>Si no la cantean: cortar a 194.1 × 79.1 y cantear en taller. Zona húmeda: proteger todos los bordes y sellar perforaciones; dimensiones terminadas. De canto, interrumpido en el centro para tuberías; no es un colgador certificado. Canto flexible 0,45 mm en todo el perímetro; mantener sellados recortes y perforaciones.</v>
      </c>
    </row>
    <row r="110" ht="43.20000076293945">
      <c r="A110" s="16" t="str">
        <v>Baño</v>
      </c>
      <c r="B110" s="16" t="str">
        <v>B05</v>
      </c>
      <c r="C110" s="16" t="str">
        <v>BAJO</v>
      </c>
      <c r="D110" s="17" t="str">
        <v>Travesaño trasero inferior</v>
      </c>
      <c r="E110" s="16" t="str">
        <v>RH15 Cartagena</v>
      </c>
      <c r="F110" s="16" t="n">
        <v>1</v>
      </c>
      <c r="G110" s="16" t="n">
        <v>490</v>
      </c>
      <c r="H110" s="16" t="n">
        <v>80</v>
      </c>
      <c r="I110" s="16" t="str">
        <v>F</v>
      </c>
      <c r="J110" s="16" t="str">
        <v>F</v>
      </c>
      <c r="K110" s="16" t="str">
        <v>F</v>
      </c>
      <c r="L110" s="16" t="str">
        <v>F</v>
      </c>
      <c r="M110" s="16" t="str">
        <v>Pequeña</v>
      </c>
      <c r="N110" s="16" t="str">
        <v>490 × 80</v>
      </c>
      <c r="O110" s="16" t="str">
        <v>489,1 × 79,1</v>
      </c>
      <c r="P110" s="17" t="str">
        <v>Si no la cantean: cortar a 489.1 × 79.1 y cantear en taller. Zona húmeda: proteger todos los bordes y sellar perforaciones; dimensiones terminadas. Define rigidez posterior; anclajes y uniones por dimensionar. Canto flexible 0,45 mm en todo el perímetro; mantener sellados recortes y perforaciones.</v>
      </c>
    </row>
    <row r="111" ht="43.20000076293945">
      <c r="A111" s="16" t="str">
        <v>Baño</v>
      </c>
      <c r="B111" s="16" t="str">
        <v>B06</v>
      </c>
      <c r="C111" s="16" t="str">
        <v>BAJO</v>
      </c>
      <c r="D111" s="17" t="str">
        <v>Panel común para dos puertas: corte diagonal en armado</v>
      </c>
      <c r="E111" s="16" t="str">
        <v>RH15 Cartagena</v>
      </c>
      <c r="F111" s="16" t="n">
        <v>1</v>
      </c>
      <c r="G111" s="16" t="n">
        <v>299</v>
      </c>
      <c r="H111" s="16" t="n">
        <v>517</v>
      </c>
      <c r="I111" s="16" t="str">
        <v>R</v>
      </c>
      <c r="J111" s="16" t="str">
        <v>R</v>
      </c>
      <c r="K111" s="16" t="str">
        <v>R</v>
      </c>
      <c r="L111" s="16" t="str">
        <v>R</v>
      </c>
      <c r="M111" s="16" t="str">
        <v>Normal</v>
      </c>
      <c r="N111" s="16" t="str">
        <v>299 × 517</v>
      </c>
      <c r="O111" s="16" t="str">
        <v>295 × 513</v>
      </c>
      <c r="P111" s="17" t="str">
        <v>Una sola pieza rectangular terminada 517 × 299 mm (veta vertical). Pedirla entera, con canto 2 mm en el perímetro; NO dividir en tienda. En el armado, corte central a 75° de la horizontal (provisional entre 70 y 80°) con el disco Diablo de 1,5 mm (corte de 0,059") y canto flexible 0,45 mm en los dos bordes nuevos. Holgura entre puertas tras cantear ≈0,6 mm: probablemente insuficiente (ver Pendientes). La medida de lista es del panel común, no de cada tapa.</v>
      </c>
    </row>
    <row r="112" ht="43.20000076293945">
      <c r="A112" s="16" t="str">
        <v>Baño</v>
      </c>
      <c r="B112" s="16" t="str">
        <v>S01</v>
      </c>
      <c r="C112" s="16" t="str">
        <v>ESPEJO</v>
      </c>
      <c r="D112" s="17" t="str">
        <v>Lateral gabinete superior</v>
      </c>
      <c r="E112" s="16" t="str">
        <v>RH15 Cartagena</v>
      </c>
      <c r="F112" s="16" t="n">
        <v>2</v>
      </c>
      <c r="G112" s="16" t="n">
        <v>500</v>
      </c>
      <c r="H112" s="16" t="n">
        <v>105</v>
      </c>
      <c r="I112" s="16" t="str">
        <v>F</v>
      </c>
      <c r="J112" s="16" t="str">
        <v>F</v>
      </c>
      <c r="K112" s="16" t="str">
        <v>F</v>
      </c>
      <c r="L112" s="16" t="str">
        <v>F</v>
      </c>
      <c r="M112" s="16" t="str">
        <v>Normal</v>
      </c>
      <c r="N112" s="16" t="str">
        <v>500 × 105</v>
      </c>
      <c r="O112" s="16" t="str">
        <v>499,1 × 104,1</v>
      </c>
      <c r="P112" s="17" t="str">
        <v>Zona húmeda: proteger todos los bordes y sellar perforaciones; dimensiones terminadas. Fondo total 130 mm con panel 6 mm, holgura frontal 1 mm, tapa RH15 y espejo 3 mm. Canto flexible 0,45 mm en todo el perímetro; mantener sellados recortes y perforaciones.</v>
      </c>
    </row>
    <row r="113" ht="43.20000076293945">
      <c r="A113" s="16" t="str">
        <v>Baño</v>
      </c>
      <c r="B113" s="16" t="str">
        <v>S02</v>
      </c>
      <c r="C113" s="16" t="str">
        <v>ESPEJO</v>
      </c>
      <c r="D113" s="17" t="str">
        <v>Piso y techo gabinete superior</v>
      </c>
      <c r="E113" s="16" t="str">
        <v>RH15 Cartagena</v>
      </c>
      <c r="F113" s="16" t="n">
        <v>2</v>
      </c>
      <c r="G113" s="16" t="n">
        <v>420</v>
      </c>
      <c r="H113" s="16" t="n">
        <v>105</v>
      </c>
      <c r="I113" s="16" t="str">
        <v>F</v>
      </c>
      <c r="J113" s="16" t="str">
        <v>F</v>
      </c>
      <c r="K113" s="16" t="str">
        <v>F</v>
      </c>
      <c r="L113" s="16" t="str">
        <v>F</v>
      </c>
      <c r="M113" s="16" t="str">
        <v>Normal</v>
      </c>
      <c r="N113" s="16" t="str">
        <v>420 × 105</v>
      </c>
      <c r="O113" s="16" t="str">
        <v>419,1 × 104,1</v>
      </c>
      <c r="P113" s="17" t="str">
        <v>Zona húmeda: proteger todos los bordes y sellar perforaciones; dimensiones terminadas. Canto flexible 0,45 mm en todo el perímetro; mantener sellados recortes y perforaciones.</v>
      </c>
    </row>
    <row r="114" ht="43.20000076293945">
      <c r="A114" s="16" t="str">
        <v>Baño</v>
      </c>
      <c r="B114" s="16" t="str">
        <v>S03</v>
      </c>
      <c r="C114" s="16" t="str">
        <v>ESPEJO</v>
      </c>
      <c r="D114" s="17" t="str">
        <v>División vertical</v>
      </c>
      <c r="E114" s="16" t="str">
        <v>RH15 Cartagena</v>
      </c>
      <c r="F114" s="16" t="n">
        <v>1</v>
      </c>
      <c r="G114" s="16" t="n">
        <v>470</v>
      </c>
      <c r="H114" s="16" t="n">
        <v>105</v>
      </c>
      <c r="I114" s="16" t="str">
        <v>F</v>
      </c>
      <c r="J114" s="16" t="str">
        <v>F</v>
      </c>
      <c r="K114" s="16" t="str">
        <v>F</v>
      </c>
      <c r="L114" s="16" t="str">
        <v>F</v>
      </c>
      <c r="M114" s="16" t="str">
        <v>Normal</v>
      </c>
      <c r="N114" s="16" t="str">
        <v>470 × 105</v>
      </c>
      <c r="O114" s="16" t="str">
        <v>469,1 × 104,1</v>
      </c>
      <c r="P114" s="17" t="str">
        <v>Zona húmeda: proteger todos los bordes y sellar perforaciones; dimensiones terminadas. Interior cerrado 290 mm; columna derecha abierta 115 mm. Canto flexible 0,45 mm en todo el perímetro; mantener sellados recortes y perforaciones.</v>
      </c>
    </row>
    <row r="115">
      <c r="A115" s="13" t="str">
        <v>Baño</v>
      </c>
      <c r="B115" s="13" t="str">
        <v>S04</v>
      </c>
      <c r="C115" s="13" t="str">
        <v>ESPEJO</v>
      </c>
      <c r="D115" s="13" t="str">
        <v>Entrepaño interior izquierdo</v>
      </c>
      <c r="E115" s="13" t="str">
        <v>RH15 Cartagena</v>
      </c>
      <c r="F115" s="13" t="n">
        <v>2</v>
      </c>
      <c r="G115" s="13" t="n">
        <v>290</v>
      </c>
      <c r="H115" s="13" t="n">
        <v>100</v>
      </c>
      <c r="I115" s="13" t="str">
        <v>F</v>
      </c>
      <c r="J115" s="13" t="str">
        <v>F</v>
      </c>
      <c r="K115" s="13" t="str">
        <v>F</v>
      </c>
      <c r="L115" s="13" t="str">
        <v>F</v>
      </c>
      <c r="M115" s="13" t="str">
        <v>Pequeña</v>
      </c>
      <c r="N115" s="13" t="str">
        <v>290 × 100</v>
      </c>
      <c r="O115" s="13" t="str">
        <v>289,1 × 99,1</v>
      </c>
      <c r="P115" s="13" t="str">
        <v>Si no la cantean: cortar a 289.1 × 99.1 y cantear en taller. Zona húmeda: proteger todos los bordes y sellar perforaciones; dimensiones terminadas. Dos entrepaños fijos como la referencia. Canto flexible 0,45 mm en todo el perímetro; mantener sellados recortes y perforaciones.</v>
      </c>
    </row>
    <row r="116">
      <c r="A116" s="13" t="str">
        <v>Baño</v>
      </c>
      <c r="B116" s="13" t="str">
        <v>S05</v>
      </c>
      <c r="C116" s="13" t="str">
        <v>ESPEJO</v>
      </c>
      <c r="D116" s="13" t="str">
        <v>Entrepaño columna abierta derecha</v>
      </c>
      <c r="E116" s="13" t="str">
        <v>RH15 Cartagena</v>
      </c>
      <c r="F116" s="13" t="n">
        <v>1</v>
      </c>
      <c r="G116" s="13" t="n">
        <v>115</v>
      </c>
      <c r="H116" s="13" t="n">
        <v>100</v>
      </c>
      <c r="I116" s="13" t="str">
        <v>F</v>
      </c>
      <c r="J116" s="13" t="str">
        <v>F</v>
      </c>
      <c r="K116" s="13" t="str">
        <v>F</v>
      </c>
      <c r="L116" s="13" t="str">
        <v>F</v>
      </c>
      <c r="M116" s="13" t="str">
        <v>Pequeña</v>
      </c>
      <c r="N116" s="13" t="str">
        <v>115 × 100</v>
      </c>
      <c r="O116" s="13" t="str">
        <v>114,1 × 99,1</v>
      </c>
      <c r="P116" s="13" t="str">
        <v>Si no la cantean: cortar a 114.1 × 99.1 y cantear en taller. Zona húmeda: proteger todos los bordes y sellar perforaciones; dimensiones terminadas. Canto flexible 0,45 mm en todo el perímetro; mantener sellados recortes y perforaciones.</v>
      </c>
    </row>
    <row r="117">
      <c r="A117" s="13" t="str">
        <v>Baño</v>
      </c>
      <c r="B117" s="13" t="str">
        <v>S06</v>
      </c>
      <c r="C117" s="13" t="str">
        <v>ESPEJO</v>
      </c>
      <c r="D117" s="13" t="str">
        <v>Tapa RH15 portadora del espejo</v>
      </c>
      <c r="E117" s="13" t="str">
        <v>RH15 Cartagena</v>
      </c>
      <c r="F117" s="13" t="n">
        <v>1</v>
      </c>
      <c r="G117" s="13" t="n">
        <v>500</v>
      </c>
      <c r="H117" s="13" t="n">
        <v>320</v>
      </c>
      <c r="I117" s="13" t="str">
        <v>F</v>
      </c>
      <c r="J117" s="13" t="str">
        <v>F</v>
      </c>
      <c r="K117" s="13" t="str">
        <v>F</v>
      </c>
      <c r="L117" s="13" t="str">
        <v>F</v>
      </c>
      <c r="M117" s="13" t="str">
        <v>Normal</v>
      </c>
      <c r="N117" s="13" t="str">
        <v>500 × 320</v>
      </c>
      <c r="O117" s="13" t="str">
        <v>499,1 × 319,1</v>
      </c>
      <c r="P117" s="13" t="str">
        <v>Medida exterior de referencia 320 × 500; espejo pegado en cara exterior. Dos bisagras candidatas, peso conjunto aproximado 2,8 kg sin herrajes. Validar holguras, cazoletas y adhesivo compatible con espejo. Canto flexible 0,45 mm en todo el perímetro; mantener sellados recortes y perforaciones.</v>
      </c>
    </row>
    <row r="118">
      <c r="A118" s="13" t="str">
        <v>Baño</v>
      </c>
      <c r="B118" s="13" t="str">
        <v>F01</v>
      </c>
      <c r="C118" s="13" t="str">
        <v>ESPEJO</v>
      </c>
      <c r="D118" s="13" t="str">
        <v>Fondo blanco de 6 mm</v>
      </c>
      <c r="E118" s="13" t="str">
        <v>Fondo melamina blanco RH6</v>
      </c>
      <c r="F118" s="13" t="n">
        <v>1</v>
      </c>
      <c r="G118" s="13" t="n">
        <v>496</v>
      </c>
      <c r="H118" s="13" t="n">
        <v>446</v>
      </c>
      <c r="I118" s="13" t="str">
        <v>F</v>
      </c>
      <c r="J118" s="13" t="str">
        <v>F</v>
      </c>
      <c r="K118" s="13" t="str">
        <v>F</v>
      </c>
      <c r="L118" s="13" t="str">
        <v>F</v>
      </c>
      <c r="M118" s="13" t="str">
        <v>Normal</v>
      </c>
      <c r="N118" s="13" t="str">
        <v>496 × 446</v>
      </c>
      <c r="O118" s="13" t="str">
        <v>495,1 × 445,1</v>
      </c>
      <c r="P118" s="13" t="str">
        <v>Fondo aplicado por detrás, retranqueado 2 mm de los bordes. Reutilización de sobrantes de cocina solo se comprobará en la optimización conjunta final. No soporta el anclaje del gabinete. Canto flexible 0,45 mm en todo el perímetro; mantener sellados recortes y perforaciones.</v>
      </c>
    </row>
  </sheetData>
  <autoFilter ref="A6:P118"/>
  <pageMargins left="0.7" right="0.7" top="0.75" bottom="0.75" header="0.3" footer="0.3"/>
</worksheet>
</file>

<file path=xl/worksheets/sheet3.xml><?xml version="1.0" encoding="utf-8"?>
<x:worksheet xmlns:x="http://schemas.openxmlformats.org/spreadsheetml/2006/main">
  <x:sheetFormatPr baseColWidth="10" defaultColWidth="8.88671875" defaultRowHeight="14.399999618530273"/>
  <x:cols>
    <x:col min="1" max="1" width="12" customWidth="1"/>
    <x:col min="2" max="2" width="8" customWidth="1"/>
    <x:col min="3" max="3" width="11" customWidth="1"/>
    <x:col min="4" max="4" width="120" customWidth="1"/>
  </x:cols>
  <x:sheetData>
    <x:row r="2" ht="18">
      <x:c r="A2" s="10" t="str">
        <x:v>Encaje conjunto en láminas · propuesta de factibilidad</x:v>
      </x:c>
    </x:row>
    <x:row r="3">
      <x:c r="A3" s="11" t="str">
        <x:v>Cortes pasantes, sin rotar por la veta, refilado 10 mm por lado y sierra 5 mm. El plano de corte definitivo lo define la seccionadora del proveedor.</x:v>
      </x:c>
    </x:row>
    <x:row r="6">
      <x:c r="A6" s="12" t="str">
        <x:v>Material</x:v>
      </x:c>
      <x:c r="B6" s="12" t="str">
        <x:v>Lámina</x:v>
      </x:c>
      <x:c r="C6" s="12" t="str">
        <x:v>Ocupación</x:v>
      </x:c>
      <x:c r="D6" s="12" t="str">
        <x:v>Piezas</x:v>
      </x:c>
    </x:row>
    <x:row r="7">
      <x:c r="A7" s="13" t="str">
        <x:v>RH15</x:v>
      </x:c>
      <x:c r="B7" s="13" t="n">
        <x:v>1</x:v>
      </x:c>
      <x:c r="C7" s="18" t="n">
        <x:v>0.954</x:v>
      </x:c>
      <x:c r="D7" s="17" t="str">
        <x:v>Clóset C3-023, Clóset C3-023, Clóset C3-024, Cocina P016, Cocina P011, Cocina P040, Cocina P043, Clóset C3-019, Clóset C3-019, Baño B04, Baño B04, Cocina P003, Cocina P003</x:v>
      </x:c>
    </x:row>
    <x:row r="8" ht="28.799999237060547">
      <x:c r="A8" s="13" t="str">
        <x:v>RH15</x:v>
      </x:c>
      <x:c r="B8" s="13" t="n">
        <x:v>2</x:v>
      </x:c>
      <x:c r="C8" s="18" t="n">
        <x:v>0.928</x:v>
      </x:c>
      <x:c r="D8" s="17" t="str">
        <x:v>Clóset C3-001, Clóset C3-001, Clóset C3-002, Clóset C3-010, Clóset C3-012, Cocina P041, Baño S05</x:v>
      </x:c>
    </x:row>
    <x:row r="9">
      <x:c r="A9" s="13" t="str">
        <x:v>RH15</x:v>
      </x:c>
      <x:c r="B9" s="13" t="n">
        <x:v>3</x:v>
      </x:c>
      <x:c r="C9" s="18" t="n">
        <x:v>0.924</x:v>
      </x:c>
      <x:c r="D9" s="17" t="str">
        <x:v>Clóset C3-009, Cocina P037, Clóset C3-003, Cocina P001, Cocina P001, Cocina P006, Cocina P024, Cocina P013, Cocina P070, Cocina P063, Cocina P064, Baño B02, Baño S01</x:v>
      </x:c>
    </x:row>
    <x:row r="10">
      <x:c r="A10" s="13" t="str">
        <x:v>RH15</x:v>
      </x:c>
      <x:c r="B10" s="13" t="n">
        <x:v>4</x:v>
      </x:c>
      <x:c r="C10" s="18" t="n">
        <x:v>0.934</x:v>
      </x:c>
      <x:c r="D10" s="17" t="str">
        <x:v>Cocina P006, Cocina P012, Cocina P012, Cocina P023, Cocina P023, Cocina P030, Cocina P030, Clóset C3-004, Clóset C3-017, Cocina P022, Cocina P027, Cocina P028</x:v>
      </x:c>
    </x:row>
    <x:row r="11">
      <x:c r="A11" s="13" t="str">
        <x:v>RH15</x:v>
      </x:c>
      <x:c r="B11" s="13" t="n">
        <x:v>5</x:v>
      </x:c>
      <x:c r="C11" s="18" t="n">
        <x:v>0.883</x:v>
      </x:c>
      <x:c r="D11" s="17" t="str">
        <x:v>Clóset C3-006, Clóset C3-017, Clóset C3-017, Cocina P029, Cocina P017, Cocina P007, Cocina P009, Cocina P056, Cocina P057, Cocina P039, Cocina P039, Cocina P050, Cocina P050, Cocina P058, Cocina P031, Cocina P002, Cocina P025, Cocina P008, Cocina P061, Cocina P010, Cocina P018</x:v>
      </x:c>
    </x:row>
    <x:row r="12" ht="43.20000076293945">
      <x:c r="A12" s="13" t="str">
        <x:v>RH15</x:v>
      </x:c>
      <x:c r="B12" s="13" t="n">
        <x:v>6</x:v>
      </x:c>
      <x:c r="C12" s="18" t="n">
        <x:v>0.784</x:v>
      </x:c>
      <x:c r="D12" s="17" t="str">
        <x:v>Cocina P058, Cocina P065, Cocina P065, Cocina P059, Cocina P054, Baño B01, Baño B01, Cocina P049, Cocina P034, Cocina P051, Cocina P052, Baño B03, Cocina P046, Cocina P047, Cocina P020, Cocina P035, Baño B06, Cocina P036, Cocina P055, Cocina P055, Clóset C3-016, Clóset C3-016, Clóset C3-016, Baño S01, Baño S03, Baño S04, Baño S04</x:v>
      </x:c>
    </x:row>
    <x:row r="13" ht="43.20000076293945">
      <x:c r="A13" s="13" t="str">
        <x:v>RH15</x:v>
      </x:c>
      <x:c r="B13" s="13" t="n">
        <x:v>7</x:v>
      </x:c>
      <x:c r="C13" s="18" t="n">
        <x:v>0.75</x:v>
      </x:c>
      <x:c r="D13" s="17" t="str">
        <x:v>Clóset C3-027, Clóset C3-028, Clóset C3-020, Cocina P021, Clóset C3-015, Clóset C3-015, Clóset C3-015, Baño S06, Cocina P044, Cocina P005, Cocina P038, Cocina P038, Clóset C3-018, Clóset C3-018, Clóset C3-018, Clóset C3-018, Clóset C3-018, Clóset C3-018, Cocina P066, Cocina P067, Cocina P045, Cocina P045, Cocina P069, Clóset C3-016, Clóset C3-016, Clóset C3-016, Cocina P025, Cocina P014, Cocina P014, Baño S02, Baño S02, Cocina P019, Cocina P019, Cocina P032, Cocina P032</x:v>
      </x:c>
    </x:row>
    <x:row r="14" ht="57.599998474121094">
      <x:c r="A14" s="13" t="str">
        <x:v>RH15</x:v>
      </x:c>
      <x:c r="B14" s="13" t="n">
        <x:v>8</x:v>
      </x:c>
      <x:c r="C14" s="18" t="n">
        <x:v>0.228</x:v>
      </x:c>
      <x:c r="D14" s="17" t="str">
        <x:v>Clóset C3-021, Clóset C3-026, Clóset C3-014, Clóset C3-030, Clóset C3-013, Clóset C3-025, Clóset C3-008, Clóset C3-029, Clóset C3-007, Cocina P018, Cocina P060, Baño B05, Clóset C3-022, Clóset C3-022, Clóset C3-022, Cocina P071, Clóset C3-019</x:v>
      </x:c>
    </x:row>
    <x:row r="15">
      <x:c r="A15" s="13" t="str">
        <x:v>Fondo RH6</x:v>
      </x:c>
      <x:c r="B15" s="13" t="n">
        <x:v>1</x:v>
      </x:c>
      <x:c r="C15" s="18" t="n">
        <x:v>0.639</x:v>
      </x:c>
      <x:c r="D15" s="17" t="str">
        <x:v>Cocina P026, Cocina P015, Cocina P062, Cocina P053, Cocina P033, Cocina P068, Baño F01, Cocina P048, Cocina P004, Cocina P042</x:v>
      </x:c>
    </x:row>
  </x:sheetData>
  <x:pageMargins left="0.7" right="0.7" top="0.75" bottom="0.75" header="0.3" footer="0.3"/>
</x:worksheet>
</file>

<file path=xl/worksheets/sheet4.xml><?xml version="1.0" encoding="utf-8"?>
<x:worksheet xmlns:x="http://schemas.openxmlformats.org/spreadsheetml/2006/main">
  <x:sheetFormatPr baseColWidth="10" defaultColWidth="8.88671875" defaultRowHeight="14.399999618530273"/>
  <x:cols>
    <x:col min="1" max="1" width="18" customWidth="1"/>
    <x:col min="2" max="2" width="22" customWidth="1"/>
    <x:col min="3" max="3" width="14" customWidth="1"/>
    <x:col min="4" max="4" width="10" customWidth="1"/>
  </x:cols>
  <x:sheetData>
    <x:row r="2" ht="18">
      <x:c r="A2" s="10" t="str">
        <x:v>Canto conjunto</x:v>
      </x:c>
    </x:row>
    <x:row r="3">
      <x:c r="A3" s="11" t="str">
        <x:v>Metros netos de cada despiece; compra con 5 cm por borde y 10 % de margen.</x:v>
      </x:c>
    </x:row>
    <x:row r="6">
      <x:c r="A6" s="12" t="str">
        <x:v>Tipo</x:v>
      </x:c>
      <x:c r="B6" s="12" t="str">
        <x:v>Mueble</x:v>
      </x:c>
      <x:c r="C6" s="12" t="str">
        <x:v>Metros netos</x:v>
      </x:c>
      <x:c r="D6" s="12" t="str">
        <x:v>Bordes</x:v>
      </x:c>
    </x:row>
    <x:row r="7">
      <x:c r="A7" s="13" t="str">
        <x:v>Rígido 2 mm</x:v>
      </x:c>
      <x:c r="B7" s="13" t="str">
        <x:v>Cocina</x:v>
      </x:c>
      <x:c r="C7" s="13" t="n">
        <x:v>30.137</x:v>
      </x:c>
      <x:c r="D7" s="13" t="n">
        <x:v>62</x:v>
      </x:c>
    </x:row>
    <x:row r="8">
      <x:c r="A8" s="13" t="str">
        <x:v>Rígido 2 mm</x:v>
      </x:c>
      <x:c r="B8" s="13" t="str">
        <x:v>Clóset</x:v>
      </x:c>
      <x:c r="C8" s="13" t="n">
        <x:v>18.804</x:v>
      </x:c>
      <x:c r="D8" s="13" t="n">
        <x:v>20</x:v>
      </x:c>
    </x:row>
    <x:row r="9">
      <x:c r="A9" s="13" t="str">
        <x:v>Rígido 2 mm</x:v>
      </x:c>
      <x:c r="B9" s="13" t="str">
        <x:v>Baño</x:v>
      </x:c>
      <x:c r="C9" s="13" t="n">
        <x:v>1.632</x:v>
      </x:c>
      <x:c r="D9" s="13" t="n">
        <x:v>4</x:v>
      </x:c>
    </x:row>
    <x:row r="10">
      <x:c r="A10" s="14" t="str">
        <x:v>Rígido 2 mm</x:v>
      </x:c>
      <x:c r="B10" s="14" t="str">
        <x:v>Total · comprar 61 m</x:v>
      </x:c>
      <x:c r="C10" s="14" t="n">
        <x:v>50.573</x:v>
      </x:c>
      <x:c r="D10" s="14" t="n">
        <x:v>86</x:v>
      </x:c>
    </x:row>
    <x:row r="12">
      <x:c r="A12" s="13" t="str">
        <x:v>Flexible 0,45 mm</x:v>
      </x:c>
      <x:c r="B12" s="13" t="str">
        <x:v>Cocina</x:v>
      </x:c>
      <x:c r="C12" s="13" t="n">
        <x:v>68.018</x:v>
      </x:c>
      <x:c r="D12" s="13" t="n">
        <x:v>150</x:v>
      </x:c>
    </x:row>
    <x:row r="13">
      <x:c r="A13" s="13" t="str">
        <x:v>Flexible 0,45 mm</x:v>
      </x:c>
      <x:c r="B13" s="13" t="str">
        <x:v>Clóset</x:v>
      </x:c>
      <x:c r="C13" s="13" t="n">
        <x:v>59.795</x:v>
      </x:c>
      <x:c r="D13" s="13" t="n">
        <x:v>86</x:v>
      </x:c>
    </x:row>
    <x:row r="14">
      <x:c r="A14" s="13" t="str">
        <x:v>Flexible 0,45 mm</x:v>
      </x:c>
      <x:c r="B14" s="13" t="str">
        <x:v>Baño</x:v>
      </x:c>
      <x:c r="C14" s="13" t="n">
        <x:v>21.393</x:v>
      </x:c>
      <x:c r="D14" s="13" t="n">
        <x:v>70</x:v>
      </x:c>
    </x:row>
    <x:row r="15">
      <x:c r="A15" s="14" t="str">
        <x:v>Flexible 0,45 mm</x:v>
      </x:c>
      <x:c r="B15" s="14" t="str">
        <x:v>Total · comprar 181 m</x:v>
      </x:c>
      <x:c r="C15" s="14" t="n">
        <x:v>149.206</x:v>
      </x:c>
      <x:c r="D15" s="14" t="n">
        <x:v>306</x:v>
      </x:c>
    </x:row>
  </x:sheetData>
  <x:pageMargins left="0.7" right="0.7" top="0.75" bottom="0.75" header="0.3" footer="0.3"/>
</x:worksheet>
</file>

<file path=xl/worksheets/sheet5.xml><?xml version="1.0" encoding="utf-8"?>
<x:worksheet xmlns:x="http://schemas.openxmlformats.org/spreadsheetml/2006/main">
  <x:sheetFormatPr baseColWidth="10" defaultColWidth="8.88671875" defaultRowHeight="14.399999618530273"/>
  <x:cols>
    <x:col min="1" max="1" width="20" customWidth="1"/>
    <x:col min="2" max="2" width="46" customWidth="1"/>
    <x:col min="3" max="3" width="20" customWidth="1"/>
    <x:col min="4" max="4" width="7" customWidth="1"/>
    <x:col min="5" max="5" width="9" customWidth="1"/>
    <x:col min="6" max="6" width="14" customWidth="1"/>
    <x:col min="7" max="7" width="15" customWidth="1"/>
    <x:col min="8" max="8" width="80" customWidth="1"/>
  </x:cols>
  <x:sheetData>
    <x:row r="2" ht="18">
      <x:c r="A2" s="10" t="str">
        <x:v>Compras consolidadas</x:v>
      </x:c>
    </x:row>
    <x:row r="3">
      <x:c r="A3" s="11" t="str">
        <x:v>Precios de referencia de los Excel de cada mueble. «cotizar» = sin precio; no equivale a cero.</x:v>
      </x:c>
    </x:row>
    <x:row r="9" ht="28.799999237060547">
      <x:c r="A9" s="12" t="str">
        <x:v>Grupo</x:v>
      </x:c>
      <x:c r="B9" s="12" t="str">
        <x:v>Ítem</x:v>
      </x:c>
      <x:c r="C9" s="12" t="str">
        <x:v>Mueble</x:v>
      </x:c>
      <x:c r="D9" s="12" t="str">
        <x:v>Cant.</x:v>
      </x:c>
      <x:c r="E9" s="12" t="str">
        <x:v>Unidad</x:v>
      </x:c>
      <x:c r="F9" s="12" t="str">
        <x:v>Precio unitario (COP)</x:v>
      </x:c>
      <x:c r="G9" s="12" t="str">
        <x:v>Subtotal (COP)</x:v>
      </x:c>
      <x:c r="H9" s="12" t="str">
        <x:v>Nota</x:v>
      </x:c>
    </x:row>
    <x:row r="10" ht="28.799999237060547">
      <x:c r="A10" s="13" t="str">
        <x:v>Tableros y cantos</x:v>
      </x:c>
      <x:c r="B10" s="13" t="str">
        <x:v>Tablero melamina Cartagena RH15 · 2440 × 2150</x:v>
      </x:c>
      <x:c r="C10" s="13" t="str">
        <x:v>Cocina, clóset y baño</x:v>
      </x:c>
      <x:c r="D10" s="13" t="n">
        <x:v>8</x:v>
      </x:c>
      <x:c r="E10" s="13" t="str">
        <x:v>lámina</x:v>
      </x:c>
      <x:c r="F10" s="19" t="n">
        <x:v>365872</x:v>
      </x:c>
      <x:c r="G10" s="19" t="n">
        <x:f t="shared" ref="G10:G41" si="0">IF(AND(ISNUMBER(D10),ISNUMBER(F10)),D10*F10,"Por cotizar")</x:f>
        <x:v>2926976</x:v>
      </x:c>
      <x:c r="H10" s="17" t="str">
        <x:v>Encaje conjunto de las piezas RH15 de los tres muebles en 8 láminas (hoja Láminas). Por separado serían 9.</x:v>
      </x:c>
    </x:row>
    <x:row r="11">
      <x:c r="A11" s="13" t="str">
        <x:v>Tableros y cantos</x:v>
      </x:c>
      <x:c r="B11" s="13" t="str">
        <x:v>Fondo melamina blanco RH6 · 2440 × 2150</x:v>
      </x:c>
      <x:c r="C11" s="13" t="str">
        <x:v>Cocina y baño</x:v>
      </x:c>
      <x:c r="D11" s="13" t="n">
        <x:v>1</x:v>
      </x:c>
      <x:c r="E11" s="13" t="str">
        <x:v>lámina</x:v>
      </x:c>
      <x:c r="F11" s="19" t="n">
        <x:v>212534</x:v>
      </x:c>
      <x:c r="G11" s="19" t="n">
        <x:f t="shared" si="0">IF(AND(ISNUMBER(D11),ISNUMBER(F11)),D11*F11,"Por cotizar")</x:f>
        <x:v>212534</x:v>
      </x:c>
      <x:c r="H11" s="17" t="str">
        <x:v>Los 9 fondos de la cocina y el fondo del gabinete del baño caben en una lámina.</x:v>
      </x:c>
    </x:row>
    <x:row r="12">
      <x:c r="A12" s="13" t="str">
        <x:v>Tableros y cantos</x:v>
      </x:c>
      <x:c r="B12" s="13" t="str">
        <x:v>Canto rígido Cartagena 19 × 2 mm · rollo 100 m</x:v>
      </x:c>
      <x:c r="C12" s="13" t="str">
        <x:v>Cocina, clóset y baño</x:v>
      </x:c>
      <x:c r="D12" s="13" t="n">
        <x:v>1</x:v>
      </x:c>
      <x:c r="E12" s="13" t="str">
        <x:v>rollo</x:v>
      </x:c>
      <x:c r="F12" s="19" t="n">
        <x:v>531600</x:v>
      </x:c>
      <x:c r="G12" s="19" t="n">
        <x:f t="shared" si="0">IF(AND(ISNUMBER(D12),ISNUMBER(F12)),D12*F12,"Por cotizar")</x:f>
        <x:v>531600</x:v>
      </x:c>
      <x:c r="H12" s="17" t="str">
        <x:v>Necesario 61 m: 50,6 m netos + 5 cm por borde (86 bordes) + 10 %.</x:v>
      </x:c>
    </x:row>
    <x:row r="13">
      <x:c r="A13" s="13" t="str">
        <x:v>Tableros y cantos</x:v>
      </x:c>
      <x:c r="B13" s="13" t="str">
        <x:v>Canto rígido Cartagena 19 × 2 mm · metros sueltos</x:v>
      </x:c>
      <x:c r="C13" s="13" t="str">
        <x:v>Cocina, clóset y baño</x:v>
      </x:c>
      <x:c r="D13" s="13" t="n">
        <x:v>0</x:v>
      </x:c>
      <x:c r="E13" s="13" t="str">
        <x:v>m</x:v>
      </x:c>
      <x:c r="F13" s="19" t="str">
        <x:v>cotizar</x:v>
      </x:c>
      <x:c r="G13" s="19" t="str">
        <x:f t="shared" si="0">IF(AND(ISNUMBER(D13),ISNUMBER(F13)),D13*F13,"Por cotizar")</x:f>
        <x:v>Por cotizar</x:v>
      </x:c>
      <x:c r="H13" s="17" t="str">
        <x:v>Complemento del rollo de 100 m; se compra suelto en la sucursal.</x:v>
      </x:c>
    </x:row>
    <x:row r="14" ht="28.799999237060547">
      <x:c r="A14" s="13" t="str">
        <x:v>Tableros y cantos</x:v>
      </x:c>
      <x:c r="B14" s="13" t="str">
        <x:v>Canto flexible Cartagena 19 × 0,45 mm · rollo 200 m</x:v>
      </x:c>
      <x:c r="C14" s="13" t="str">
        <x:v>Cocina, clóset y baño</x:v>
      </x:c>
      <x:c r="D14" s="13" t="n">
        <x:v>1</x:v>
      </x:c>
      <x:c r="E14" s="13" t="str">
        <x:v>rollo</x:v>
      </x:c>
      <x:c r="F14" s="19" t="n">
        <x:v>285600</x:v>
      </x:c>
      <x:c r="G14" s="19" t="n">
        <x:f t="shared" si="0">IF(AND(ISNUMBER(D14),ISNUMBER(F14)),D14*F14,"Por cotizar")</x:f>
        <x:v>285600</x:v>
      </x:c>
      <x:c r="H14" s="17" t="str">
        <x:v>Necesario 181 m: 149,2 m netos + 5 cm por borde (306 bordes) + 10 %. Sobran unos 19 m para cantear en el armado las piezas pequeñas que no acepte la máquina.</x:v>
      </x:c>
    </x:row>
    <x:row r="15" ht="28.799999237060547">
      <x:c r="A15" s="13" t="str">
        <x:v>Herrajes</x:v>
      </x:c>
      <x:c r="B15" s="13" t="str">
        <x:v>Perfil gola superior × 3 m</x:v>
      </x:c>
      <x:c r="C15" s="13" t="str">
        <x:v>Cocina</x:v>
      </x:c>
      <x:c r="D15" s="13" t="n">
        <x:v>1</x:v>
      </x:c>
      <x:c r="E15" s="13" t="str"/>
      <x:c r="F15" s="19" t="n">
        <x:v>41215</x:v>
      </x:c>
      <x:c r="G15" s="19" t="n">
        <x:f t="shared" si="0">IF(AND(ISNUMBER(D15),ISNUMBER(F15)),D15*F15,"Por cotizar")</x:f>
        <x:v>41215</x:v>
      </x:c>
      <x:c r="H15" s="17" t="str">
        <x:v>Tramos B1 180 + B3/B5/B4 1770 = 1950 mm; interrumpido en el horno. Los rebajes en laterales y travesaños se hacen en el armado, según el borde del mesón (ver Pendientes).</x:v>
      </x:c>
    </x:row>
    <x:row r="16">
      <x:c r="A16" s="13" t="str">
        <x:v>Herrajes</x:v>
      </x:c>
      <x:c r="B16" s="13" t="str">
        <x:v>Perfil gola media × 3 m</x:v>
      </x:c>
      <x:c r="C16" s="13" t="str">
        <x:v>Cocina</x:v>
      </x:c>
      <x:c r="D16" s="13" t="n">
        <x:v>1</x:v>
      </x:c>
      <x:c r="E16" s="13" t="str"/>
      <x:c r="F16" s="19" t="n">
        <x:v>51014</x:v>
      </x:c>
      <x:c r="G16" s="19" t="n">
        <x:f t="shared" si="0">IF(AND(ISNUMBER(D16),ISNUMBER(F16)),D16*F16,"Por cotizar")</x:f>
        <x:v>51014</x:v>
      </x:c>
      <x:c r="H16" s="17" t="str">
        <x:v>Tramos B3 670 + B4 400 = 1070 mm. Una barra de 3 m; remates y mecanizados por validar.</x:v>
      </x:c>
    </x:row>
    <x:row r="17" ht="28.799999237060547">
      <x:c r="A17" s="13" t="str">
        <x:v>Herrajes</x:v>
      </x:c>
      <x:c r="B17" s="13" t="str">
        <x:v>Riel Bonuit HRE550-55N · negro · 550 mm · cierre lento 30 kg · par</x:v>
      </x:c>
      <x:c r="C17" s="13" t="str">
        <x:v>Cocina</x:v>
      </x:c>
      <x:c r="D17" s="13" t="n">
        <x:v>1</x:v>
      </x:c>
      <x:c r="E17" s="13" t="str"/>
      <x:c r="F17" s="19" t="n">
        <x:v>47034</x:v>
      </x:c>
      <x:c r="G17" s="19" t="n">
        <x:f t="shared" si="0">IF(AND(ISNUMBER(D17),ISNUMBER(F17)),D17*F17,"Por cotizar")</x:f>
        <x:v>47034</x:v>
      </x:c>
      <x:c r="H17" s="17" t="str">
        <x:v>Solo cajón cubiertero B3. Vano 640 − 27 = caja 613; interior 583 × 520. Precio previo 47.034 COP/par. B4 lleva plataforma RH sin paredes encima y otro par HRE126-55.</x:v>
      </x:c>
    </x:row>
    <x:row r="18" ht="43.20000076293945">
      <x:c r="A18" s="13" t="str">
        <x:v>Herrajes</x:v>
      </x:c>
      <x:c r="B18" s="13" t="str">
        <x:v>Platero HSO566-03G · nominal 700 mm · herraje 680 × 245</x:v>
      </x:c>
      <x:c r="C18" s="13" t="str">
        <x:v>Cocina</x:v>
      </x:c>
      <x:c r="D18" s="13" t="n">
        <x:v>1</x:v>
      </x:c>
      <x:c r="E18" s="13" t="str"/>
      <x:c r="F18" s="19" t="n">
        <x:v>63539</x:v>
      </x:c>
      <x:c r="G18" s="19" t="n">
        <x:f t="shared" si="0">IF(AND(ISNUMBER(D18),ISNUMBER(F18)),D18*F18,"Por cotizar")</x:f>
        <x:v>63539</x:v>
      </x:c>
      <x:c r="H18" s="17" t="str">
        <x:v>HSO566-03G gris antracita: precio conservado $63.539. Ficha transcrita por usuario: 680 × 245, carga máxima 7 kg, acero 201 pintado, cuatro fijaciones Ø10; cotas y profundidad de taladro a verificar con pieza real. Marcar en obra.</x:v>
      </x:c>
    </x:row>
    <x:row r="19">
      <x:c r="A19" s="13" t="str">
        <x:v>Herrajes</x:v>
      </x:c>
      <x:c r="B19" s="13" t="str">
        <x:v>Cubiertero HSC910-40 · 360 × 480 × 50 mm</x:v>
      </x:c>
      <x:c r="C19" s="13" t="str">
        <x:v>Cocina</x:v>
      </x:c>
      <x:c r="D19" s="13" t="n">
        <x:v>1</x:v>
      </x:c>
      <x:c r="E19" s="13" t="str"/>
      <x:c r="F19" s="19" t="n">
        <x:v>38791</x:v>
      </x:c>
      <x:c r="G19" s="19" t="n">
        <x:f t="shared" si="0">IF(AND(ISNUMBER(D19),ISNUMBER(F19)),D19*F19,"Por cotizar")</x:f>
        <x:v>38791</x:v>
      </x:c>
      <x:c r="H19" s="17" t="str">
        <x:v>360 × 480 × 50 en interior B3 de 583 × 520; removible a un lado, sin divisor fijo.</x:v>
      </x:c>
    </x:row>
    <x:row r="20">
      <x:c r="A20" s="13" t="str">
        <x:v>Herrajes</x:v>
      </x:c>
      <x:c r="B20" s="13" t="str">
        <x:v>Pata niveladora para zócalo 100 mm</x:v>
      </x:c>
      <x:c r="C20" s="13" t="str">
        <x:v>Cocina</x:v>
      </x:c>
      <x:c r="D20" s="13" t="n">
        <x:v>24</x:v>
      </x:c>
      <x:c r="E20" s="13" t="str"/>
      <x:c r="F20" s="19" t="n">
        <x:v>2042</x:v>
      </x:c>
      <x:c r="G20" s="19" t="n">
        <x:f t="shared" si="0">IF(AND(ISNUMBER(D20),ISNUMBER(F20)),D20*F20,"Por cotizar")</x:f>
        <x:v>49008</x:v>
      </x:c>
      <x:c r="H20" s="17" t="str">
        <x:v>Cinco módulos bajos: 20 apoyos básicos + 4 refuerzos por distribuir según cargas. Madecentro.</x:v>
      </x:c>
    </x:row>
    <x:row r="21" ht="28.799999237060547">
      <x:c r="A21" s="13" t="str">
        <x:v>Herrajes</x:v>
      </x:c>
      <x:c r="B21" s="13" t="str">
        <x:v>Colgador regulable para gabinete superior (par)</x:v>
      </x:c>
      <x:c r="C21" s="13" t="str">
        <x:v>Cocina</x:v>
      </x:c>
      <x:c r="D21" s="13" t="n">
        <x:v>5</x:v>
      </x:c>
      <x:c r="E21" s="13" t="str"/>
      <x:c r="F21" s="19" t="str">
        <x:v>cotizar</x:v>
      </x:c>
      <x:c r="G21" s="19" t="str">
        <x:f t="shared" si="0">IF(AND(ISNUMBER(D21),ISNUMBER(F21)),D21*F21,"Por cotizar")</x:f>
        <x:v>Por cotizar</x:v>
      </x:c>
      <x:c r="H21" s="17" t="str">
        <x:v>Uno por gabinete superior (S1–S5). Verificar cabida en S1 (luz 165) y riel mural compatible; sin listones a 45° definidos.</x:v>
      </x:c>
    </x:row>
    <x:row r="22" ht="43.20000076293945">
      <x:c r="A22" s="13" t="str">
        <x:v>Herrajes</x:v>
      </x:c>
      <x:c r="B22" s="13" t="str">
        <x:v>Soportes de entrepaño y tornillería</x:v>
      </x:c>
      <x:c r="C22" s="13" t="str">
        <x:v>Cocina</x:v>
      </x:c>
      <x:c r="D22" s="13" t="n">
        <x:v>1</x:v>
      </x:c>
      <x:c r="E22" s="13" t="str"/>
      <x:c r="F22" s="19" t="str">
        <x:v>cotizar</x:v>
      </x:c>
      <x:c r="G22" s="19" t="str">
        <x:f t="shared" si="0">IF(AND(ISNUMBER(D22),ISNUMBER(F22)),D22*F22,"Por cotizar")</x:f>
        <x:v>Por cotizar</x:v>
      </x:c>
      <x:c r="H22" s="17" t="str">
        <x:v>24 soportes de entrepaño (6 entrepaños × 4: S1, dos en S3, S5, B3 y B5). Tornillos de armado 4 × 50 (≈150) y de herrajes 4 × 16 (≈150), cantidad preliminar; no duplicar los 12 que trae cada par de rieles. Fijaciones de fondos y anclajes según muro real.</x:v>
      </x:c>
    </x:row>
    <x:row r="23" ht="72">
      <x:c r="A23" s="13" t="str">
        <x:v>Herrajes</x:v>
      </x:c>
      <x:c r="B23" s="13" t="str">
        <x:v>Condimentero Bonuit HSO317-15R · tres niveles · cierre lento</x:v>
      </x:c>
      <x:c r="C23" s="13" t="str">
        <x:v>Cocina</x:v>
      </x:c>
      <x:c r="D23" s="13" t="n">
        <x:v>1</x:v>
      </x:c>
      <x:c r="E23" s="13" t="str"/>
      <x:c r="F23" s="19" t="n">
        <x:v>122902</x:v>
      </x:c>
      <x:c r="G23" s="19" t="n">
        <x:f t="shared" si="0">IF(AND(ISNUMBER(D23),ISNUMBER(F23)),D23*F23,"Por cotizar")</x:f>
        <x:v>122902</x:v>
      </x:c>
      <x:c r="H23" s="17" t="str">
        <x:v>Precio aportado por usuario 26/10/2026. Módulo nominal 150 × 500 × 600, herraje 100 × 446 × 470; con rieles laterales el conjunto mide 135 mm (medido por el usuario), por eso B1 es de 180 exterior (150 libres). Incluye rieles y enganches; no comprar otro par. https://madecentro.com/products/canasta-condimentero-tres-niveles-gris-antracita-cierre-lento-copia</x:v>
      </x:c>
    </x:row>
    <x:row r="24" ht="57.599998474121094">
      <x:c r="A24" s="13" t="str">
        <x:v>Herrajes</x:v>
      </x:c>
      <x:c r="B24" s="13" t="str">
        <x:v>Basurero Bonuit HSO688-00 · bandeja y 2 recipientes · 12 L</x:v>
      </x:c>
      <x:c r="C24" s="13" t="str">
        <x:v>Cocina</x:v>
      </x:c>
      <x:c r="D24" s="13" t="n">
        <x:v>1</x:v>
      </x:c>
      <x:c r="E24" s="13" t="str"/>
      <x:c r="F24" s="19" t="n">
        <x:v>109700</x:v>
      </x:c>
      <x:c r="G24" s="19" t="n">
        <x:f t="shared" si="0">IF(AND(ISNUMBER(D24),ISNUMBER(F24)),D24*F24,"Por cotizar")</x:f>
        <x:v>109700</x:v>
      </x:c>
      <x:c r="H24" s="17" t="str">
        <x:v>Precio aportado por usuario 26/10/2026. Herraje 485 × 330 × 215, módulo nominal 400. NO incluye sistema extraíble. https://madecentro.com/collections/herrajes-para-cocina/products/hso688-00-basureras-y-estructura-plastica-gris-de-12l-2-basureas-330x485x215mm-para-modulo-de-400</x:v>
      </x:c>
    </x:row>
    <x:row r="25" ht="57.599998474121094">
      <x:c r="A25" s="13" t="str">
        <x:v>Herrajes</x:v>
      </x:c>
      <x:c r="B25" s="13" t="str">
        <x:v>Riel Mobile HRE126-55 · 550 mm · extensión total 38 kg · cierre normal · par</x:v>
      </x:c>
      <x:c r="C25" s="13" t="str">
        <x:v>Cocina</x:v>
      </x:c>
      <x:c r="D25" s="13" t="n">
        <x:v>1</x:v>
      </x:c>
      <x:c r="E25" s="13" t="str"/>
      <x:c r="F25" s="19" t="n">
        <x:v>12560</x:v>
      </x:c>
      <x:c r="G25" s="19" t="n">
        <x:f t="shared" si="0">IF(AND(ISNUMBER(D25),ISNUMBER(F25)),D25*F25,"Por cotizar")</x:f>
        <x:v>12560</x:v>
      </x:c>
      <x:c r="H25" s="17" t="str">
        <x:v>Precio consultado 26/10/2026 para variante 55 cm. Incluye par y 12 tornillos. Montaje lateral VERTICAL en largueros inferiores, no acostado. Descuento de ancho, altura y perforación pendientes de ficha HRE126. https://madecentro.com/products/riel-corredera-para-cajon-de-extension-total-carga-media-38-kg?variant=45720301699302</x:v>
      </x:c>
    </x:row>
    <x:row r="26" ht="28.799999237060547">
      <x:c r="A26" s="13" t="str">
        <x:v>Herrajes</x:v>
      </x:c>
      <x:c r="B26" s="13" t="str">
        <x:v>Riel mural y fijaciones compatibles con colgadores superiores</x:v>
      </x:c>
      <x:c r="C26" s="13" t="str">
        <x:v>Cocina</x:v>
      </x:c>
      <x:c r="D26" s="13" t="n">
        <x:v>1</x:v>
      </x:c>
      <x:c r="E26" s="13" t="str"/>
      <x:c r="F26" s="19" t="str">
        <x:v>cotizar</x:v>
      </x:c>
      <x:c r="G26" s="19" t="str">
        <x:f t="shared" si="0">IF(AND(ISNUMBER(D26),ISNUMBER(F26)),D26*F26,"Por cotizar")</x:f>
        <x:v>Por cotizar</x:v>
      </x:c>
      <x:c r="H26" s="17" t="str">
        <x:v>Sistema para 5 gabinetes; S1 luz 165. Dimensionar anclajes según farol/muro real, carga y fabricante. No hay suspensión de bajos a 45°.</x:v>
      </x:c>
    </x:row>
    <x:row r="27" ht="57.599998474121094">
      <x:c r="A27" s="13" t="str">
        <x:v>Herrajes</x:v>
      </x:c>
      <x:c r="B27" s="13" t="str">
        <x:v>Brazo neumático Bonuit HEC060-03 · 60 N · gris (unidad)</x:v>
      </x:c>
      <x:c r="C27" s="13" t="str">
        <x:v>Cocina</x:v>
      </x:c>
      <x:c r="D27" s="13" t="n">
        <x:v>2</x:v>
      </x:c>
      <x:c r="E27" s="13" t="str"/>
      <x:c r="F27" s="19" t="n">
        <x:v>9126</x:v>
      </x:c>
      <x:c r="G27" s="19" t="n">
        <x:f t="shared" si="0">IF(AND(ISNUMBER(D27),ISNUMBER(F27)),D27*F27,"Por cotizar")</x:f>
        <x:v>18252</x:v>
      </x:c>
      <x:c r="H27" s="17" t="str">
        <x:v>2 por módulo de 600; 9.126 COP/unidad aportados por usuario 26/10/2026. Incluye platinas y tornillos; requiere bisagras (dos superiores ya previstas, sin duplicarlas). Fuerza y montaje a validar con peso real de puerta; 2,07 kg es aproximación del usuario. https://madecentro.com/products/hec060-03-brazo-neumatico-cierre-lento-60n</x:v>
      </x:c>
    </x:row>
    <x:row r="28" ht="57.599998474121094">
      <x:c r="A28" s="13" t="str">
        <x:v>Herrajes</x:v>
      </x:c>
      <x:c r="B28" s="13" t="str">
        <x:v>Fijaciones de gola con tornillo · previsión compatible</x:v>
      </x:c>
      <x:c r="C28" s="13" t="str">
        <x:v>Cocina</x:v>
      </x:c>
      <x:c r="D28" s="13" t="n">
        <x:v>10</x:v>
      </x:c>
      <x:c r="E28" s="13" t="str"/>
      <x:c r="F28" s="19" t="n">
        <x:v>2998</x:v>
      </x:c>
      <x:c r="G28" s="19" t="n">
        <x:f t="shared" si="0">IF(AND(ISNUMBER(D28),ISNUMBER(F28)),D28*F28,"Por cotizar")</x:f>
        <x:v>29980</x:v>
      </x:c>
      <x:c r="H28" s="17" t="str">
        <x:v>8 extremos de cuatro tramos + 2 apoyos intermedios en superior de 1770 mm. Previsión de diseño, no separación certificada. Precio de referencia Mobile: confirmar compatibilidad con gola comprada antes de comprar/mecanizar. https://madecentro.com/products/escuadra-para-perfil-gola-peralm63-64</x:v>
      </x:c>
    </x:row>
    <x:row r="29" ht="28.799999237060547">
      <x:c r="A29" s="13" t="str">
        <x:v>Herrajes</x:v>
      </x:c>
      <x:c r="B29" s="13" t="str">
        <x:v>HRE320-45 · Riel lateral 450 mm</x:v>
      </x:c>
      <x:c r="C29" s="13" t="str">
        <x:v>Clóset</x:v>
      </x:c>
      <x:c r="D29" s="13" t="n">
        <x:v>3</x:v>
      </x:c>
      <x:c r="E29" s="13" t="str">
        <x:v>par</x:v>
      </x:c>
      <x:c r="F29" s="19" t="n">
        <x:v>11287</x:v>
      </x:c>
      <x:c r="G29" s="19" t="n">
        <x:f t="shared" si="0">IF(AND(ISNUMBER(D29),ISNUMBER(F29)),D29*F29,"Por cotizar")</x:f>
        <x:v>33861</x:v>
      </x:c>
      <x:c r="H29" s="17" t="str">
        <x:v>Vano 830 − 27 = caja 803 × 450. Los 45 kg nominales del par no certifican la caja ni la carga útil. Incluye 12 tornillos de 12 mm por par. Confirmar uniones.</x:v>
      </x:c>
    </x:row>
    <x:row r="30" ht="57.599998474121094">
      <x:c r="A30" s="13" t="str">
        <x:v>Herrajes</x:v>
      </x:c>
      <x:c r="B30" s="13" t="str">
        <x:v>FSCPCM20 · Kit Peralma para dos hojas</x:v>
      </x:c>
      <x:c r="C30" s="13" t="str">
        <x:v>Clóset</x:v>
      </x:c>
      <x:c r="D30" s="13" t="n">
        <x:v>1</x:v>
      </x:c>
      <x:c r="E30" s="13" t="str">
        <x:v>kit</x:v>
      </x:c>
      <x:c r="F30" s="19" t="n">
        <x:v>12730</x:v>
      </x:c>
      <x:c r="G30" s="19" t="n">
        <x:f t="shared" si="0">IF(AND(ISNUMBER(D30),ISNUMBER(F30)),D30*F30,"Por cotizar")</x:f>
        <x:v>12730</x:v>
      </x:c>
      <x:c r="H30" s="17" t="str">
        <x:v>Kit publicado: 4 rodamientos, 1 guía, 1 tope y tornillos. Identificar si coinciden con la guía y el amortiguador descritos por el usuario, antes de añadir accesorios. Cada hoja RH pesa 21,3 kg sin herrajes (10,05 kg/m², dato de Madecentro); el kit indica 30 kg: preguntar si es por hoja o por kit de dos.</x:v>
      </x:c>
    </x:row>
    <x:row r="31" ht="57.599998474121094">
      <x:c r="A31" s="13" t="str">
        <x:v>Herrajes</x:v>
      </x:c>
      <x:c r="B31" s="13" t="str">
        <x:v>PERALMA50B · 2 m · Riel colgante superior para 2 hojas</x:v>
      </x:c>
      <x:c r="C31" s="13" t="str">
        <x:v>Clóset</x:v>
      </x:c>
      <x:c r="D31" s="13" t="n">
        <x:v>1</x:v>
      </x:c>
      <x:c r="E31" s="13" t="str">
        <x:v>barra</x:v>
      </x:c>
      <x:c r="F31" s="19" t="n">
        <x:v>33278</x:v>
      </x:c>
      <x:c r="G31" s="19" t="n">
        <x:f t="shared" si="0">IF(AND(ISNUMBER(D31),ISNUMBER(F31)),D31*F31,"Por cotizar")</x:f>
        <x:v>33278</x:v>
      </x:c>
      <x:c r="H31" s="17" t="str">
        <x:v>Barra 2 m para recorrido 1920 mm. Referencia real: zona de 70 mm de fondo, hojas entre 500 y 550 mm, cuerpo hasta 560. El riel se atornilla al listón de pino del bastidor (no a la tapa). Guía inferior sin apoyo de peso; no hay riel inferior de carga. Confirmar sección y taladros del sistema.</x:v>
      </x:c>
    </x:row>
    <x:row r="32" ht="43.20000076293945">
      <x:c r="A32" s="13" t="str">
        <x:v>Herrajes</x:v>
      </x:c>
      <x:c r="B32" s="13" t="str">
        <x:v>HMA310-02 · Manija tubular CC96 mm</x:v>
      </x:c>
      <x:c r="C32" s="13" t="str">
        <x:v>Clóset</x:v>
      </x:c>
      <x:c r="D32" s="13" t="n">
        <x:v>2</x:v>
      </x:c>
      <x:c r="E32" s="13" t="str">
        <x:v>unidad</x:v>
      </x:c>
      <x:c r="F32" s="19" t="n">
        <x:v>2743</x:v>
      </x:c>
      <x:c r="G32" s="19" t="n">
        <x:f t="shared" si="0">IF(AND(ISNUMBER(D32),ISNUMBER(F32)),D32*F32,"Por cotizar")</x:f>
        <x:v>5486</x:v>
      </x:c>
      <x:c r="H32" s="17" t="str">
        <x:v>Una manija vertical en el extremo exterior de cada hoja.35 mm de saliente: fondo máximo 585 mm. Dos centros 96 mm; largo representado 119 mm. Las manijas no sustituyen una certificación de rigidez del tablero.</x:v>
      </x:c>
    </x:row>
    <x:row r="33" ht="43.20000076293945">
      <x:c r="A33" s="13" t="str">
        <x:v>Herrajes</x:v>
      </x:c>
      <x:c r="B33" s="13" t="str">
        <x:v>Tope plástico amortiguado</x:v>
      </x:c>
      <x:c r="C33" s="13" t="str">
        <x:v>Clóset</x:v>
      </x:c>
      <x:c r="E33" s="13" t="str">
        <x:v>conjunto</x:v>
      </x:c>
      <x:c r="F33" s="9"/>
      <x:c r="G33" s="19" t="str">
        <x:f t="shared" si="0">IF(AND(ISNUMBER(D33),ISNUMBER(F33)),D33*F33,"Por cotizar")</x:f>
        <x:v>Por cotizar</x:v>
      </x:c>
      <x:c r="H33" s="17" t="str">
        <x:v>Detrás de la hoja exterior, conserva 50 mm de desfase y evita invertir el orden de hojas. Cota de pérdida de recorrido aportada por el usuario. Verificar si viene en el kit; no duplicar compra. La guía inferior tampoco se compra dos veces.</x:v>
      </x:c>
    </x:row>
    <x:row r="34" ht="28.799999237060547">
      <x:c r="A34" s="13" t="str">
        <x:v>Herrajes</x:v>
      </x:c>
      <x:c r="B34" s="13" t="str">
        <x:v>Barras para colgar</x:v>
      </x:c>
      <x:c r="C34" s="13" t="str">
        <x:v>Clóset</x:v>
      </x:c>
      <x:c r="D34" s="13" t="n">
        <x:v>3</x:v>
      </x:c>
      <x:c r="E34" s="13" t="str">
        <x:v>tramo</x:v>
      </x:c>
      <x:c r="F34" s="9"/>
      <x:c r="G34" s="19" t="str">
        <x:f t="shared" si="0">IF(AND(ISNUMBER(D34),ISNUMBER(F34)),D34*F34,"Por cotizar")</x:f>
        <x:v>Por cotizar</x:v>
      </x:c>
      <x:c r="H34" s="17" t="str">
        <x:v>Una ilustrada 810 mm y dos 1055 mm. Barra baja derecha desmontable. Medidas de corte reales según soportes elegidos.</x:v>
      </x:c>
    </x:row>
    <x:row r="35">
      <x:c r="A35" s="13" t="str">
        <x:v>Herrajes</x:v>
      </x:c>
      <x:c r="B35" s="13" t="str">
        <x:v>Soportes de barra</x:v>
      </x:c>
      <x:c r="C35" s="13" t="str">
        <x:v>Clóset</x:v>
      </x:c>
      <x:c r="D35" s="13" t="n">
        <x:v>6</x:v>
      </x:c>
      <x:c r="E35" s="13" t="str">
        <x:v>unidad</x:v>
      </x:c>
      <x:c r="F35" s="9"/>
      <x:c r="G35" s="19" t="str">
        <x:f t="shared" si="0">IF(AND(ISNUMBER(D35),ISNUMBER(F35)),D35*F35,"Por cotizar")</x:f>
        <x:v>Por cotizar</x:v>
      </x:c>
      <x:c r="H35" s="17" t="str">
        <x:v>Dos por barra. Fijación y carga para RH15 por confirmar.</x:v>
      </x:c>
    </x:row>
    <x:row r="36" ht="28.799999237060547">
      <x:c r="A36" s="13" t="str">
        <x:v>Herrajes</x:v>
      </x:c>
      <x:c r="B36" s="13" t="str">
        <x:v>Apoyos de base</x:v>
      </x:c>
      <x:c r="C36" s="13" t="str">
        <x:v>Clóset</x:v>
      </x:c>
      <x:c r="D36" s="13" t="n">
        <x:v>6</x:v>
      </x:c>
      <x:c r="E36" s="13" t="str">
        <x:v>unidad</x:v>
      </x:c>
      <x:c r="F36" s="9"/>
      <x:c r="G36" s="19" t="str">
        <x:f t="shared" si="0">IF(AND(ISNUMBER(D36),ISNUMBER(F36)),D36*F36,"Por cotizar")</x:f>
        <x:v>Por cotizar</x:v>
      </x:c>
      <x:c r="H36" s="17" t="str">
        <x:v>Dos bajo cada lateral/divisor. El modelo dibuja 20 mm de apoyo y base total 100 mm; producto y regulación por elegir.</x:v>
      </x:c>
    </x:row>
    <x:row r="37" ht="43.20000076293945">
      <x:c r="A37" s="13" t="str">
        <x:v>Herrajes</x:v>
      </x:c>
      <x:c r="B37" s="13" t="str">
        <x:v>Uniones y anclajes</x:v>
      </x:c>
      <x:c r="C37" s="13" t="str">
        <x:v>Clóset</x:v>
      </x:c>
      <x:c r="D37" s="13" t="n">
        <x:v>1</x:v>
      </x:c>
      <x:c r="E37" s="13" t="str">
        <x:v>lote</x:v>
      </x:c>
      <x:c r="F37" s="9"/>
      <x:c r="G37" s="19" t="str">
        <x:f t="shared" si="0">IF(AND(ISNUMBER(D37),ISNUMBER(F37)),D37*F37,"Por cotizar")</x:f>
        <x:v>Por cotizar</x:v>
      </x:c>
      <x:c r="H37" s="17" t="str">
        <x:v>Unir el marco completo C3-025 a C3-030 a laterales, divisor, pisos y tapas. Dimensionar anclajes al muro posterior resistente y al izquierdo. No fijar solo al estuco. El lateral derecho queda libre: el montante se une a la caja y al muro de fondo, no a una pared lateral inexistente. El marco abierto no se da por equivalente a un panel arriostrante.</x:v>
      </x:c>
    </x:row>
    <x:row r="38" ht="72">
      <x:c r="A38" s="13" t="str">
        <x:v>Herrajes</x:v>
      </x:c>
      <x:c r="B38" s="13" t="str">
        <x:v>Listón 4×4 cm · bastidor del riel</x:v>
      </x:c>
      <x:c r="C38" s="13" t="str">
        <x:v>Clóset</x:v>
      </x:c>
      <x:c r="D38" s="13" t="n">
        <x:v>1</x:v>
      </x:c>
      <x:c r="E38" s="13" t="str">
        <x:v>listón</x:v>
      </x:c>
      <x:c r="F38" s="9"/>
      <x:c r="G38" s="19" t="str">
        <x:f t="shared" si="0">IF(AND(ISNUMBER(D38),ISNUMBER(F38)),D38*F38,"Por cotizar")</x:f>
        <x:v>Por cotizar</x:v>
      </x:c>
      <x:c r="H38" s="17" t="str">
        <x:v>Listón de pino de 4×4 cm que va de lateral a lateral: 1920 mm libres más el encaje en cada lateral (máx. 7 mm por lado). Pedir de 2,0 m o más, recto, seco y sin nudos grandes; sobra para 2 tacos de 15 mm. Va encajonado y atornillado a los laterales; el riel (50 mm) se atornilla a su cara inferior y sobresale ~5 mm por lado. El clóset real usa 7×3 cm; se cambió a 4×4 por disponibilidad. Confirmar rebaje y tornillos con el instalador.</x:v>
      </x:c>
    </x:row>
    <x:row r="39" ht="28.799999237060547">
      <x:c r="A39" s="13" t="str">
        <x:v>Herrajes</x:v>
      </x:c>
      <x:c r="B39" s="13" t="str">
        <x:v>Tornillos del bastidor y del riel</x:v>
      </x:c>
      <x:c r="C39" s="13" t="str">
        <x:v>Clóset</x:v>
      </x:c>
      <x:c r="D39" s="13" t="n">
        <x:v>1</x:v>
      </x:c>
      <x:c r="E39" s="13" t="str">
        <x:v>lote</x:v>
      </x:c>
      <x:c r="F39" s="9"/>
      <x:c r="G39" s="19" t="str">
        <x:f t="shared" si="0">IF(AND(ISNUMBER(D39),ISNUMBER(F39)),D39*F39,"Por cotizar")</x:f>
        <x:v>Por cotizar</x:v>
      </x:c>
      <x:c r="H39" s="17" t="str">
        <x:v>Tornillos para madera y aglomerado en cada extremo del listón y para el riel; el kit del sistema puede traer los suyos. Escuadras solo si el rebaje en los laterales queda corto.</x:v>
      </x:c>
    </x:row>
    <x:row r="40">
      <x:c r="A40" s="13" t="str">
        <x:v>Herrajes</x:v>
      </x:c>
      <x:c r="B40" s="13" t="str">
        <x:v>Soportes de granito/mueble · Soportes estructurales a muro</x:v>
      </x:c>
      <x:c r="C40" s="13" t="str">
        <x:v>Baño</x:v>
      </x:c>
      <x:c r="D40" s="13" t="n">
        <x:v>2</x:v>
      </x:c>
      <x:c r="E40" s="13" t="str">
        <x:v>unidad</x:v>
      </x:c>
      <x:c r="F40" s="9"/>
      <x:c r="G40" s="19" t="str">
        <x:f t="shared" si="0">IF(AND(ISNUMBER(D40),ISNUMBER(F40)),D40*F40,"Por cotizar")</x:f>
        <x:v>Por cotizar</x:v>
      </x:c>
      <x:c r="H40" s="17" t="str">
        <x:v>Capacidad, anclajes y sustrato real; no depende del fondo RH6.</x:v>
      </x:c>
    </x:row>
    <x:row r="41">
      <x:c r="A41" s="13" t="str">
        <x:v>Herrajes</x:v>
      </x:c>
      <x:c r="B41" s="13" t="str">
        <x:v>Fijaciones del espejo · Anclajes gabinete superior</x:v>
      </x:c>
      <x:c r="C41" s="13" t="str">
        <x:v>Baño</x:v>
      </x:c>
      <x:c r="D41" s="13" t="n">
        <x:v>1</x:v>
      </x:c>
      <x:c r="E41" s="13" t="str">
        <x:v>juego</x:v>
      </x:c>
      <x:c r="F41" s="9"/>
      <x:c r="G41" s="19" t="str">
        <x:f t="shared" si="0">IF(AND(ISNUMBER(D41),ISNUMBER(F41)),D41*F41,"Por cotizar")</x:f>
        <x:v>Por cotizar</x:v>
      </x:c>
      <x:c r="H41" s="17" t="str">
        <x:v>Fijar por estructura o herrajes de colgar adecuados.</x:v>
      </x:c>
    </x:row>
    <x:row r="42">
      <x:c r="A42" s="13" t="str">
        <x:v>Herrajes</x:v>
      </x:c>
      <x:c r="B42" s="13" t="str">
        <x:v>Sellado y adhesivo · Diagonal, recortes y espejo</x:v>
      </x:c>
      <x:c r="C42" s="13" t="str">
        <x:v>Baño</x:v>
      </x:c>
      <x:c r="D42" s="13" t="n">
        <x:v>1</x:v>
      </x:c>
      <x:c r="E42" s="13" t="str">
        <x:v>lote</x:v>
      </x:c>
      <x:c r="F42" s="9"/>
      <x:c r="G42" s="19" t="str">
        <x:f t="shared" ref="G42:G60" si="1">IF(AND(ISNUMBER(D42),ISNUMBER(F42)),D42*F42,"Por cotizar")</x:f>
        <x:v>Por cotizar</x:v>
      </x:c>
      <x:c r="H42" s="17" t="str">
        <x:v>Productos compatibles con RH, canto, piedra y espejo según aplicación.</x:v>
      </x:c>
    </x:row>
    <x:row r="43" ht="28.799999237060547">
      <x:c r="A43" s="13" t="str">
        <x:v>Herrajes</x:v>
      </x:c>
      <x:c r="B43" s="13" t="str">
        <x:v>Bisagra parche HBM897-01 · par</x:v>
      </x:c>
      <x:c r="C43" s="13" t="str">
        <x:v>Cocina y baño</x:v>
      </x:c>
      <x:c r="D43" s="13" t="n">
        <x:v>15</x:v>
      </x:c>
      <x:c r="E43" s="13" t="str">
        <x:v>par</x:v>
      </x:c>
      <x:c r="F43" s="19" t="n">
        <x:v>17750</x:v>
      </x:c>
      <x:c r="G43" s="19" t="n">
        <x:f t="shared" si="1">IF(AND(ISNUMBER(D43),ISNUMBER(F43)),D43*F43,"Por cotizar")</x:f>
        <x:v>266250</x:v>
      </x:c>
      <x:c r="H43" s="17" t="str">
        <x:v>Cocina 12 pares (24 bisagras) + baño 3 pares (6 bisagras). Validar peso y cabida en el gabinete del espejo.</x:v>
      </x:c>
    </x:row>
    <x:row r="44" ht="72">
      <x:c r="A44" s="13" t="str">
        <x:v>Mesón, equipos y grifería</x:v>
      </x:c>
      <x:c r="B44" s="13" t="str">
        <x:v>Mesón Crema Marfil 260 × 62 cm · código 519014</x:v>
      </x:c>
      <x:c r="C44" s="13" t="str">
        <x:v>Cocina</x:v>
      </x:c>
      <x:c r="D44" s="13" t="n">
        <x:v>1</x:v>
      </x:c>
      <x:c r="E44" s="13" t="str"/>
      <x:c r="F44" s="19" t="n">
        <x:v>1486300</x:v>
      </x:c>
      <x:c r="G44" s="19" t="n">
        <x:f t="shared" si="1">IF(AND(ISNUMBER(D44),ISNUMBER(F44)),D44*F44,"Por cotizar")</x:f>
        <x:v>1486300</x:v>
      </x:c>
      <x:c r="H44" s="17" t="str">
        <x:v>Placa de 15 mm confirmada por usuario y ficha Homecenter. Precio $1.486.300 conservado. Recortes, material final, apoyos y posible borde engrosado por definir. La ficha mezcla 260/150 cm y granito/cuarzo: confirmar suministro concreto. https://www.homecenter.com.co/homecenter-co/product/519014/meson-granito-natural-crema-marfil-260-cm-x-62-cm/519014/</x:v>
      </x:c>
    </x:row>
    <x:row r="45" ht="86.4000015258789">
      <x:c r="A45" s="13" t="str">
        <x:v>Mesón, equipos y grifería</x:v>
      </x:c>
      <x:c r="B45" s="13" t="str">
        <x:v>Lavaplatos Socoda AS350 satinado · submontar 1 poceta 55 × 43 cm · código 87730</x:v>
      </x:c>
      <x:c r="C45" s="13" t="str">
        <x:v>Cocina</x:v>
      </x:c>
      <x:c r="D45" s="13" t="n">
        <x:v>1</x:v>
      </x:c>
      <x:c r="E45" s="13" t="str"/>
      <x:c r="F45" s="19" t="n">
        <x:v>209900</x:v>
      </x:c>
      <x:c r="G45" s="19" t="n">
        <x:f t="shared" si="1">IF(AND(ISNUMBER(D45),ISNUMBER(F45)),D45*F45,"Por cotizar")</x:f>
        <x:v>209900</x:v>
      </x:c>
      <x:c r="H45" s="17" t="str">
        <x:v>Socoda AS350 satinado, código 87730: $209.900 conservados. 550 × 430 EXTERIORES, profundidad 165 mm. Abertura interior 490 × 370 según ficha descrita por usuario. Submontar: pestaña bajo placa, con anclaje/soporte compatibles. Hueco de corte lo define plantilla Socoda y acabado del borde; 490 × 370 solo referencia 3D. https://www.homecenter.com.co/homecenter-co/product/87730/lavaplatos-de-submontar-1-poceta-55x43-cm-acero-inoxidable-socoda/87730/</x:v>
      </x:c>
    </x:row>
    <x:row r="46" ht="28.799999237060547">
      <x:c r="A46" s="13" t="str">
        <x:v>Mesón, equipos y grifería</x:v>
      </x:c>
      <x:c r="B46" s="13" t="str">
        <x:v>Combo CA3057: campana Tofu negro 60 cm + horno H60EEVAL005 + estufa CCR60-F4P-SBF031</x:v>
      </x:c>
      <x:c r="C46" s="13" t="str">
        <x:v>Cocina</x:v>
      </x:c>
      <x:c r="D46" s="13" t="n">
        <x:v>1</x:v>
      </x:c>
      <x:c r="E46" s="13" t="str"/>
      <x:c r="F46" s="19" t="n">
        <x:v>1864800</x:v>
      </x:c>
      <x:c r="G46" s="19" t="n">
        <x:f t="shared" si="1">IF(AND(ISNUMBER(D46),ISNUMBER(F46)),D46*F46,"Por cotizar")</x:f>
        <x:v>1864800</x:v>
      </x:c>
      <x:c r="H46" s="17" t="str">
        <x:v>Precio aportado por el usuario el 25/10/2026 por el combo completo. Horno mixto 110 V/gas natural; estufa cristal gas natural 60 × 51 cm.</x:v>
      </x:c>
    </x:row>
    <x:row r="47">
      <x:c r="A47" s="13" t="str">
        <x:v>Mesón, equipos y grifería</x:v>
      </x:c>
      <x:c r="B47" s="13" t="str">
        <x:v>Grifería de cocina</x:v>
      </x:c>
      <x:c r="C47" s="13" t="str">
        <x:v>Cocina</x:v>
      </x:c>
      <x:c r="D47" s="13" t="n">
        <x:v>1</x:v>
      </x:c>
      <x:c r="E47" s="13" t="str"/>
      <x:c r="F47" s="19" t="str">
        <x:v>cotizar</x:v>
      </x:c>
      <x:c r="G47" s="19" t="str">
        <x:f t="shared" si="1">IF(AND(ISNUMBER(D47),ISNUMBER(F47)),D47*F47,"Por cotizar")</x:f>
        <x:v>Por cotizar</x:v>
      </x:c>
      <x:c r="H47" s="17" t="str">
        <x:v>Seleccionar modelo y conexiones.</x:v>
      </x:c>
    </x:row>
    <x:row r="48">
      <x:c r="A48" s="13" t="str">
        <x:v>Mesón, equipos y grifería</x:v>
      </x:c>
      <x:c r="B48" s="13" t="str">
        <x:v>Desagüe, canastilla, sifón y acoples</x:v>
      </x:c>
      <x:c r="C48" s="13" t="str">
        <x:v>Cocina</x:v>
      </x:c>
      <x:c r="D48" s="13" t="n">
        <x:v>1</x:v>
      </x:c>
      <x:c r="E48" s="13" t="str"/>
      <x:c r="F48" s="19" t="str">
        <x:v>cotizar</x:v>
      </x:c>
      <x:c r="G48" s="19" t="str">
        <x:f t="shared" si="1">IF(AND(ISNUMBER(D48),ISNUMBER(F48)),D48*F48,"Por cotizar")</x:f>
        <x:v>Por cotizar</x:v>
      </x:c>
      <x:c r="H48" s="17" t="str">
        <x:v>Sifón y llaves deben permitir retirar el entrepaño del B5. No incluye canasta bajo fregadero.</x:v>
      </x:c>
    </x:row>
    <x:row r="49" ht="28.799999237060547">
      <x:c r="A49" s="13" t="str">
        <x:v>Mesón, equipos y grifería</x:v>
      </x:c>
      <x:c r="B49" s="13" t="str">
        <x:v>Ducto y accesorios de campana</x:v>
      </x:c>
      <x:c r="C49" s="13" t="str">
        <x:v>Cocina</x:v>
      </x:c>
      <x:c r="D49" s="13" t="n">
        <x:v>1</x:v>
      </x:c>
      <x:c r="E49" s="13" t="str"/>
      <x:c r="F49" s="19" t="str">
        <x:v>cotizar</x:v>
      </x:c>
      <x:c r="G49" s="19" t="str">
        <x:f t="shared" si="1">IF(AND(ISNUMBER(D49),ISNUMBER(F49)),D49*F49,"Por cotizar")</x:f>
        <x:v>Por cotizar</x:v>
      </x:c>
      <x:c r="H49" s="17" t="str">
        <x:v>Definir según modelo Haceb, diámetro y salida. Perforar el piso P047 (y el techo P046 si sale hacia arriba) según manual.</x:v>
      </x:c>
    </x:row>
    <x:row r="50" ht="28.799999237060547">
      <x:c r="A50" s="13" t="str">
        <x:v>Mesón, equipos y grifería</x:v>
      </x:c>
      <x:c r="B50" s="13" t="str">
        <x:v>Soporte mecánico compatible para lavaplatos de submontar</x:v>
      </x:c>
      <x:c r="C50" s="13" t="str">
        <x:v>Cocina</x:v>
      </x:c>
      <x:c r="D50" s="13" t="n">
        <x:v>1</x:v>
      </x:c>
      <x:c r="E50" s="13" t="str"/>
      <x:c r="F50" s="19" t="str">
        <x:v>cotizar</x:v>
      </x:c>
      <x:c r="G50" s="19" t="str">
        <x:f t="shared" si="1">IF(AND(ISNUMBER(D50),ISNUMBER(F50)),D50*F50,"Por cotizar")</x:f>
        <x:v>Por cotizar</x:v>
      </x:c>
      <x:c r="H50" s="17" t="str">
        <x:v>Definir con Socoda/marmolero para placa 15 mm. Travesaños no sustituyen la validación del soporte de cubeta y agua.</x:v>
      </x:c>
    </x:row>
    <x:row r="51">
      <x:c r="A51" s="13" t="str">
        <x:v>Mesón, equipos y grifería</x:v>
      </x:c>
      <x:c r="B51" s="13" t="str">
        <x:v>Lavamanos de sobreponer · Bowl Ø350 × 140 ilustrativo</x:v>
      </x:c>
      <x:c r="C51" s="13" t="str">
        <x:v>Baño</x:v>
      </x:c>
      <x:c r="D51" s="13" t="n">
        <x:v>1</x:v>
      </x:c>
      <x:c r="E51" s="13" t="str">
        <x:v>unidad</x:v>
      </x:c>
      <x:c r="F51" s="9"/>
      <x:c r="G51" s="19" t="str">
        <x:f t="shared" si="1">IF(AND(ISNUMBER(D51),ISNUMBER(F51)),D51*F51,"Por cotizar")</x:f>
        <x:v>Por cotizar</x:v>
      </x:c>
      <x:c r="H51" s="17" t="str">
        <x:v>No es un modelo comercial seleccionado.</x:v>
      </x:c>
    </x:row>
    <x:row r="52">
      <x:c r="A52" s="13" t="str">
        <x:v>Mesón, equipos y grifería</x:v>
      </x:c>
      <x:c r="B52" s="13" t="str">
        <x:v>Grifería · Mezclador alto ilustrativo</x:v>
      </x:c>
      <x:c r="C52" s="13" t="str">
        <x:v>Baño</x:v>
      </x:c>
      <x:c r="D52" s="13" t="n">
        <x:v>1</x:v>
      </x:c>
      <x:c r="E52" s="13" t="str">
        <x:v>unidad</x:v>
      </x:c>
      <x:c r="F52" s="9"/>
      <x:c r="G52" s="19" t="str">
        <x:f t="shared" si="1">IF(AND(ISNUMBER(D52),ISNUMBER(F52)),D52*F52,"Por cotizar")</x:f>
        <x:v>Por cotizar</x:v>
      </x:c>
      <x:c r="H52" s="17" t="str">
        <x:v>Medir alcance y altura según lavamanos.</x:v>
      </x:c>
    </x:row>
    <x:row r="53">
      <x:c r="A53" s="13" t="str">
        <x:v>Mesón, equipos y grifería</x:v>
      </x:c>
      <x:c r="B53" s="13" t="str">
        <x:v>Desagüe y sifón · Evacuación del lavamanos</x:v>
      </x:c>
      <x:c r="C53" s="13" t="str">
        <x:v>Baño</x:v>
      </x:c>
      <x:c r="D53" s="13" t="n">
        <x:v>1</x:v>
      </x:c>
      <x:c r="E53" s="13" t="str">
        <x:v>juego</x:v>
      </x:c>
      <x:c r="F53" s="9"/>
      <x:c r="G53" s="19" t="str">
        <x:f t="shared" si="1">IF(AND(ISNUMBER(D53),ISNUMBER(F53)),D53*F53,"Por cotizar")</x:f>
        <x:v>Por cotizar</x:v>
      </x:c>
      <x:c r="H53" s="17" t="str">
        <x:v>Recorte de entrepaño solo con sifón y tuberías reales.</x:v>
      </x:c>
    </x:row>
    <x:row r="54">
      <x:c r="A54" s="13" t="str">
        <x:v>Otros proveedores</x:v>
      </x:c>
      <x:c r="B54" s="13" t="str">
        <x:v>Espejo · 320 × 500 × 3 mm provisional</x:v>
      </x:c>
      <x:c r="C54" s="13" t="str">
        <x:v>Baño</x:v>
      </x:c>
      <x:c r="D54" s="13" t="n">
        <x:v>1</x:v>
      </x:c>
      <x:c r="E54" s="13" t="str">
        <x:v>pieza</x:v>
      </x:c>
      <x:c r="F54" s="9"/>
      <x:c r="G54" s="19" t="str">
        <x:f t="shared" si="1">IF(AND(ISNUMBER(D54),ISNUMBER(F54)),D54*F54,"Por cotizar")</x:f>
        <x:v>Por cotizar</x:v>
      </x:c>
      <x:c r="H54" s="17" t="str">
        <x:v>Cantos pulidos; espesor y adhesivo con vidriero.</x:v>
      </x:c>
    </x:row>
    <x:row r="55">
      <x:c r="A55" s="13" t="str">
        <x:v>Otros proveedores</x:v>
      </x:c>
      <x:c r="B55" s="13" t="str">
        <x:v>Retal de granito · 550 × 470 × 20 mm provisional</x:v>
      </x:c>
      <x:c r="C55" s="13" t="str">
        <x:v>Baño</x:v>
      </x:c>
      <x:c r="D55" s="13" t="n">
        <x:v>1</x:v>
      </x:c>
      <x:c r="E55" s="13" t="str">
        <x:v>pieza</x:v>
      </x:c>
      <x:c r="F55" s="9"/>
      <x:c r="G55" s="19" t="str">
        <x:f t="shared" si="1">IF(AND(ISNUMBER(D55),ISNUMBER(F55)),D55*F55,"Por cotizar")</x:f>
        <x:v>Por cotizar</x:v>
      </x:c>
      <x:c r="H55" s="17" t="str">
        <x:v>Vuelos 15 mm a los lados y 5 mm delante; recortes según equipos.</x:v>
      </x:c>
    </x:row>
    <x:row r="56" ht="28.799999237060547">
      <x:c r="A56" s="13" t="str">
        <x:v>Accesorios</x:v>
      </x:c>
      <x:c r="B56" s="13" t="str">
        <x:v>Escurridor sobre mesón (opcional)</x:v>
      </x:c>
      <x:c r="C56" s="13" t="str">
        <x:v>Cocina</x:v>
      </x:c>
      <x:c r="D56" s="13" t="n">
        <x:v>1</x:v>
      </x:c>
      <x:c r="E56" s="13" t="str"/>
      <x:c r="F56" s="19" t="str">
        <x:v>cotizar</x:v>
      </x:c>
      <x:c r="G56" s="19" t="str">
        <x:f t="shared" si="1">IF(AND(ISNUMBER(D56),ISNUMBER(F56)),D56*F56,"Por cotizar")</x:f>
        <x:v>Por cotizar</x:v>
      </x:c>
      <x:c r="H56" s="17" t="str">
        <x:v>Zona derecha de 40 cm; dibujo ilustrativo 375 × 400, confirmar modelo. Escribir 0 solo si ya se tiene y se reutiliza.</x:v>
      </x:c>
    </x:row>
    <x:row r="57" ht="57.599998474121094">
      <x:c r="A57" s="13" t="str">
        <x:v>Servicios</x:v>
      </x:c>
      <x:c r="B57" s="13" t="str">
        <x:v>Cortes y pulido del mesón (lavaplatos y estufa)</x:v>
      </x:c>
      <x:c r="C57" s="13" t="str">
        <x:v>Cocina</x:v>
      </x:c>
      <x:c r="D57" s="13" t="n">
        <x:v>1</x:v>
      </x:c>
      <x:c r="E57" s="13" t="str"/>
      <x:c r="F57" s="19" t="str">
        <x:v>cotizar</x:v>
      </x:c>
      <x:c r="G57" s="19" t="str">
        <x:f t="shared" si="1">IF(AND(ISNUMBER(D57),ISNUMBER(F57)),D57*F57,"Por cotizar")</x:f>
        <x:v>Por cotizar</x:v>
      </x:c>
      <x:c r="H57" s="17" t="str">
        <x:v>Plantillas y recortes en placa 15 mm. Lavaplatos 550 × 430 exterior NO es medida de hueco; referencia 3D 490 × 370, plantilla Socoda y tipo de borde mandan. Profundidad 165. Marmolero define radios, tolerancias, apoyos y anclajes; recorte estufa sigue por manual. Borde engrosado opcional por cotizar.</x:v>
      </x:c>
    </x:row>
    <x:row r="58" ht="28.799999237060547">
      <x:c r="A58" s="13" t="str">
        <x:v>Servicios</x:v>
      </x:c>
      <x:c r="B58" s="13" t="str">
        <x:v>Armado e instalación de muebles y mesón</x:v>
      </x:c>
      <x:c r="C58" s="13" t="str">
        <x:v>Cocina</x:v>
      </x:c>
      <x:c r="D58" s="13" t="n">
        <x:v>1</x:v>
      </x:c>
      <x:c r="E58" s="13" t="str"/>
      <x:c r="F58" s="19" t="str">
        <x:v>cotizar</x:v>
      </x:c>
      <x:c r="G58" s="19" t="str">
        <x:f t="shared" si="1">IF(AND(ISNUMBER(D58),ISNUMBER(F58)),D58*F58,"Por cotizar")</x:f>
        <x:v>Por cotizar</x:v>
      </x:c>
      <x:c r="H58" s="17" t="str">
        <x:v>24 patas: 20 apoyos básicos de cinco módulos + cuatro refuerzos por definir. Anclajes contra desplazamiento, colgadores y soporte del fregadero según muro/cargas.</x:v>
      </x:c>
    </x:row>
    <x:row r="59">
      <x:c r="A59" s="13" t="str">
        <x:v>Servicios</x:v>
      </x:c>
      <x:c r="B59" s="13" t="str">
        <x:v>Transporte y subida de materiales</x:v>
      </x:c>
      <x:c r="C59" s="13" t="str">
        <x:v>Cocina</x:v>
      </x:c>
      <x:c r="D59" s="13" t="n">
        <x:v>1</x:v>
      </x:c>
      <x:c r="E59" s="13" t="str"/>
      <x:c r="F59" s="19" t="str">
        <x:v>cotizar</x:v>
      </x:c>
      <x:c r="G59" s="19" t="str">
        <x:f t="shared" si="1">IF(AND(ISNUMBER(D59),ISNUMBER(F59)),D59*F59,"Por cotizar")</x:f>
        <x:v>Por cotizar</x:v>
      </x:c>
      <x:c r="H59" s="17" t="str">
        <x:v>Ingresar 0 únicamente si se confirma incluido.</x:v>
      </x:c>
    </x:row>
    <x:row r="60" ht="28.799999237060547">
      <x:c r="A60" s="13" t="str">
        <x:v>Servicios</x:v>
      </x:c>
      <x:c r="B60" s="13" t="str">
        <x:v>Corte y canteado · pedido único</x:v>
      </x:c>
      <x:c r="C60" s="13" t="str">
        <x:v>Cocina, clóset y baño</x:v>
      </x:c>
      <x:c r="D60" s="13" t="n">
        <x:v>1</x:v>
      </x:c>
      <x:c r="E60" s="13" t="str">
        <x:v>servicio</x:v>
      </x:c>
      <x:c r="F60" s="19" t="str">
        <x:v>cotizar</x:v>
      </x:c>
      <x:c r="G60" s="19" t="str">
        <x:f t="shared" si="1">IF(AND(ISNUMBER(D60),ISNUMBER(F60)),D60*F60,"Por cotizar")</x:f>
        <x:v>Por cotizar</x:v>
      </x:c>
      <x:c r="H60" s="17" t="str">
        <x:v>Un solo pedido a la sucursal (hoja Pedido de corte). No cortar las piezas marcadas en Bloqueos hasta resolverlas.</x:v>
      </x:c>
    </x:row>
    <x:row r="61">
      <x:c r="B61" s="13" t="str">
        <x:v>Subtotal Tableros y cantos</x:v>
      </x:c>
      <x:c r="G61" s="19" t="n">
        <x:f>SUMIF(A10:A60,"Tableros y cantos",G10:G60)</x:f>
        <x:v>3956710</x:v>
      </x:c>
    </x:row>
    <x:row r="62">
      <x:c r="B62" s="13" t="str">
        <x:v>Subtotal Herrajes</x:v>
      </x:c>
      <x:c r="G62" s="19" t="n">
        <x:f>SUMIF(A10:A60,"Herrajes",G10:G60)</x:f>
        <x:v>935600</x:v>
      </x:c>
    </x:row>
    <x:row r="63">
      <x:c r="B63" s="13" t="str">
        <x:v>Subtotal Mesón, equipos y grifería</x:v>
      </x:c>
      <x:c r="G63" s="19" t="n">
        <x:f>SUMIF(A10:A60,"Mesón, equipos y grifería",G10:G60)</x:f>
        <x:v>3561000</x:v>
      </x:c>
    </x:row>
    <x:row r="64">
      <x:c r="B64" s="13" t="str">
        <x:v>Subtotal Otros proveedores</x:v>
      </x:c>
      <x:c r="G64" s="19" t="n">
        <x:f>SUMIF(A10:A60,"Otros proveedores",G10:G60)</x:f>
        <x:v>0</x:v>
      </x:c>
    </x:row>
    <x:row r="65">
      <x:c r="B65" s="13" t="str">
        <x:v>Subtotal Accesorios</x:v>
      </x:c>
      <x:c r="G65" s="19" t="n">
        <x:f>SUMIF(A10:A60,"Accesorios",G10:G60)</x:f>
        <x:v>0</x:v>
      </x:c>
    </x:row>
    <x:row r="66">
      <x:c r="B66" s="13" t="str">
        <x:v>Subtotal Servicios</x:v>
      </x:c>
      <x:c r="G66" s="19" t="n">
        <x:f>SUMIF(A10:A60,"Servicios",G10:G60)</x:f>
        <x:v>0</x:v>
      </x:c>
    </x:row>
    <x:row r="67">
      <x:c r="B67" s="14" t="str">
        <x:v>TOTAL CON PRECIO CONOCIDO</x:v>
      </x:c>
      <x:c r="G67" s="15" t="n">
        <x:f>SUM(G61:G66)</x:f>
        <x:v>8453310</x:v>
      </x:c>
    </x:row>
    <x:row r="68">
      <x:c r="B68" s="13" t="str">
        <x:v>Partidas sin precio</x:v>
      </x:c>
      <x:c r="G68" s="13" t="n">
        <x:f>COUNTIF(G10:G60,"Por cotizar")</x:f>
        <x:v>28</x:v>
      </x:c>
    </x:row>
  </x:sheetData>
  <x:pageMargins left="0.7" right="0.7" top="0.75" bottom="0.75" header="0.3" footer="0.3"/>
</x:worksheet>
</file>

<file path=xl/worksheets/sheet6.xml><?xml version="1.0" encoding="utf-8"?>
<x:worksheet xmlns:x="http://schemas.openxmlformats.org/spreadsheetml/2006/main">
  <x:sheetFormatPr baseColWidth="10" defaultColWidth="8.88671875" defaultRowHeight="14.399999618530273"/>
  <x:cols>
    <x:col min="1" max="2" width="10" customWidth="1"/>
    <x:col min="3" max="3" width="40" customWidth="1"/>
    <x:col min="4" max="4" width="100" customWidth="1"/>
  </x:cols>
  <x:sheetData>
    <x:row r="2" ht="18">
      <x:c r="A2" s="10" t="str">
        <x:v>Antes de cortar</x:v>
      </x:c>
    </x:row>
    <x:row r="3">
      <x:c r="A3" s="11" t="str">
        <x:v>Piezas que no deben cortarse hasta resolver lo indicado. Detalle en la hoja Pendientes de cada mueble.</x:v>
      </x:c>
    </x:row>
    <x:row r="6">
      <x:c r="A6" s="12" t="str">
        <x:v>Mueble</x:v>
      </x:c>
      <x:c r="B6" s="12" t="str">
        <x:v>ID</x:v>
      </x:c>
      <x:c r="C6" s="12" t="str">
        <x:v>Pieza</x:v>
      </x:c>
      <x:c r="D6" s="12" t="str">
        <x:v>Qué falta</x:v>
      </x:c>
    </x:row>
    <x:row r="7" ht="28.799999237060547">
      <x:c r="A7" s="17" t="str">
        <x:v>Clóset</x:v>
      </x:c>
      <x:c r="B7" s="17" t="str">
        <x:v>Todo</x:v>
      </x:c>
      <x:c r="C7" s="17" t="str">
        <x:v>Posición del eje de la puerta</x:v>
      </x:c>
      <x:c r="D7" s="17" t="str">
        <x:v>Confirmar en obra que el eje de la puerta de la habitación está a 2880 mm del muro izquierdo: el ancho de 1950 depende de esa cota (2880 − 900 − 10 − 20).</x:v>
      </x:c>
    </x:row>
  </x:sheetData>
  <x:pageMargins left="0.7" right="0.7" top="0.75" bottom="0.75" header="0.3" footer="0.3"/>
</x:worksheet>
</file>

<file path=xl/worksheets/sheet7.xml><?xml version="1.0" encoding="utf-8"?>
<x:worksheet xmlns:x="http://schemas.openxmlformats.org/spreadsheetml/2006/main">
  <x:sheetFormatPr baseColWidth="10" defaultColWidth="8.88671875" defaultRowHeight="14.399999618530273"/>
  <x:cols>
    <x:col min="1" max="2" width="10" customWidth="1"/>
    <x:col min="3" max="3" width="40" customWidth="1"/>
    <x:col min="4" max="4" width="110" customWidth="1"/>
  </x:cols>
  <x:sheetData>
    <x:row r="2" ht="18">
      <x:c r="A2" s="10" t="str">
        <x:v>Lo que se corta, recorta o rebaja en el armado</x:v>
      </x:c>
    </x:row>
    <x:row r="3">
      <x:c r="A3" s="11" t="str">
        <x:v>Piezas que no se piden (se cortan de un sobrante), piezas pedidas con sobremedida para recortar y mecanizados en obra.</x:v>
      </x:c>
    </x:row>
    <x:row r="6">
      <x:c r="A6" s="12" t="str">
        <x:v>Mueble</x:v>
      </x:c>
      <x:c r="B6" s="12" t="str">
        <x:v>ID</x:v>
      </x:c>
      <x:c r="C6" s="12" t="str">
        <x:v>Pieza</x:v>
      </x:c>
      <x:c r="D6" s="12" t="str">
        <x:v>Qué se hace</x:v>
      </x:c>
    </x:row>
    <x:row r="7">
      <x:c r="A7" s="17" t="str">
        <x:v>Cocina</x:v>
      </x:c>
      <x:c r="B7" s="17" t="str">
        <x:v>P001</x:v>
      </x:c>
      <x:c r="C7" s="17" t="str">
        <x:v>Lateral</x:v>
      </x:c>
      <x:c r="D7" s="17" t="str">
        <x:v>Rebaje para la gola en el armado, cuando se defina el borde del granito; no lo hace el proveedor.</x:v>
      </x:c>
    </x:row>
    <x:row r="8" ht="28.799999237060547">
      <x:c r="A8" s="17" t="str">
        <x:v>Cocina</x:v>
      </x:c>
      <x:c r="B8" s="17" t="str">
        <x:v>P003</x:v>
      </x:c>
      <x:c r="C8" s="17" t="str">
        <x:v>Travesaño horizontal</x:v>
      </x:c>
      <x:c r="D8" s="17" t="str">
        <x:v>Si no la cantean: cortar a 150 × 99,1 y cantear en el armado. Rebaje para la gola en el armado, cuando se defina el borde del granito; no lo hace el proveedor.</x:v>
      </x:c>
    </x:row>
    <x:row r="9">
      <x:c r="A9" s="17" t="str">
        <x:v>Cocina</x:v>
      </x:c>
      <x:c r="B9" s="17" t="str">
        <x:v>P009</x:v>
      </x:c>
      <x:c r="C9" s="17" t="str">
        <x:v>Repisa sobre horno (posición por manual)</x:v>
      </x:c>
      <x:c r="D9" s="17" t="str">
        <x:v>Su altura se fija en el armado según el manual del horno; si pide más ventilación atrás, recortar el borde trasero (sin canto).</x:v>
      </x:c>
    </x:row>
    <x:row r="10" ht="28.799999237060547">
      <x:c r="A10" s="17" t="str">
        <x:v>Cocina</x:v>
      </x:c>
      <x:c r="B10" s="17" t="str">
        <x:v>P011</x:v>
      </x:c>
      <x:c r="C10" s="17" t="str">
        <x:v>Panel fijo bajo estufa (ajustar con equipo)</x:v>
      </x:c>
      <x:c r="D10" s="17" t="str">
        <x:v>Pedida 15 mm más alta (160 en vez de 145): en el armado, recortar el borde superior —oculto bajo el mesón y sin canto— según el horno instalado.</x:v>
      </x:c>
    </x:row>
    <x:row r="11">
      <x:c r="A11" s="17" t="str">
        <x:v>Cocina</x:v>
      </x:c>
      <x:c r="B11" s="17" t="str">
        <x:v>P012</x:v>
      </x:c>
      <x:c r="C11" s="17" t="str">
        <x:v>Lateral</x:v>
      </x:c>
      <x:c r="D11" s="17" t="str">
        <x:v>Rebaje para la gola en el armado, cuando se defina el borde del granito; no lo hace el proveedor.</x:v>
      </x:c>
    </x:row>
    <x:row r="12" ht="28.799999237060547">
      <x:c r="A12" s="17" t="str">
        <x:v>Cocina</x:v>
      </x:c>
      <x:c r="B12" s="17" t="str">
        <x:v>P014</x:v>
      </x:c>
      <x:c r="C12" s="17" t="str">
        <x:v>Travesaño horizontal</x:v>
      </x:c>
      <x:c r="D12" s="17" t="str">
        <x:v>Si no la cantean: cortar a 640 × 99,1 y cantear en el armado. Rebaje para la gola en el armado, cuando se defina el borde del granito; no lo hace el proveedor.</x:v>
      </x:c>
    </x:row>
    <x:row r="13">
      <x:c r="A13" s="17" t="str">
        <x:v>Cocina</x:v>
      </x:c>
      <x:c r="B13" s="17" t="str">
        <x:v>P023</x:v>
      </x:c>
      <x:c r="C13" s="17" t="str">
        <x:v>Lateral</x:v>
      </x:c>
      <x:c r="D13" s="17" t="str">
        <x:v>Rebaje para la gola en el armado, cuando se defina el borde del granito; no lo hace el proveedor.</x:v>
      </x:c>
    </x:row>
    <x:row r="14" ht="28.799999237060547">
      <x:c r="A14" s="17" t="str">
        <x:v>Cocina</x:v>
      </x:c>
      <x:c r="B14" s="17" t="str">
        <x:v>P025</x:v>
      </x:c>
      <x:c r="C14" s="17" t="str">
        <x:v>Travesaño de canto</x:v>
      </x:c>
      <x:c r="D14" s="17" t="str">
        <x:v>Si no la cantean: cortar a 669,1 × 99,1 y cantear en el armado. Rebaje para la gola en el armado, cuando se defina el borde del granito; no lo hace el proveedor.</x:v>
      </x:c>
    </x:row>
    <x:row r="15">
      <x:c r="A15" s="17" t="str">
        <x:v>Cocina</x:v>
      </x:c>
      <x:c r="B15" s="17" t="str">
        <x:v>P029</x:v>
      </x:c>
      <x:c r="C15" s="17" t="str">
        <x:v>Entrepaño desmontable; recortar sifón en obra</x:v>
      </x:c>
      <x:c r="D15" s="17" t="str">
        <x:v>P029: flexible 0,45 mm en los cuatro bordes. Recorte de sifón y tuberías en obra: sellar el corte.</x:v>
      </x:c>
    </x:row>
    <x:row r="16">
      <x:c r="A16" s="17" t="str">
        <x:v>Cocina</x:v>
      </x:c>
      <x:c r="B16" s="17" t="str">
        <x:v>P030</x:v>
      </x:c>
      <x:c r="C16" s="17" t="str">
        <x:v>Lateral</x:v>
      </x:c>
      <x:c r="D16" s="17" t="str">
        <x:v>Rebaje para la gola en el armado, cuando se defina el borde del granito; no lo hace el proveedor.</x:v>
      </x:c>
    </x:row>
    <x:row r="17" ht="28.799999237060547">
      <x:c r="A17" s="17" t="str">
        <x:v>Cocina</x:v>
      </x:c>
      <x:c r="B17" s="17" t="str">
        <x:v>P032</x:v>
      </x:c>
      <x:c r="C17" s="17" t="str">
        <x:v>Travesaño horizontal</x:v>
      </x:c>
      <x:c r="D17" s="17" t="str">
        <x:v>Si no la cantean: cortar a 370 × 99,1 y cantear en el armado. Rebaje para la gola en el armado, cuando se defina el borde del granito; no lo hace el proveedor.</x:v>
      </x:c>
    </x:row>
    <x:row r="18">
      <x:c r="A18" s="17" t="str">
        <x:v>Cocina</x:v>
      </x:c>
      <x:c r="B18" s="17" t="str">
        <x:v>P034</x:v>
      </x:c>
      <x:c r="C18" s="17" t="str">
        <x:v>Entrepaño FIJO separador superior/basurero</x:v>
      </x:c>
      <x:c r="D18" s="17" t="str">
        <x:v>Rebaje para la gola en el armado, cuando se defina el borde del granito; no lo hace el proveedor.</x:v>
      </x:c>
    </x:row>
    <x:row r="19" ht="28.799999237060547">
      <x:c r="A19" s="17" t="str">
        <x:v>Cocina</x:v>
      </x:c>
      <x:c r="B19" s="17" t="str">
        <x:v>P072</x:v>
      </x:c>
      <x:c r="C19" s="17" t="str">
        <x:v>PROVISIONAL plataforma basurero; confirmar ancho por riel</x:v>
      </x:c>
      <x:c r="D19" s="17" t="str">
        <x:v>NO PEDIR: se corta en el armado de un sobrante, con el riel HRE126-55 y la bandeja en mano. Pedir a la sucursal que entregue los sobrantes.</x:v>
      </x:c>
    </x:row>
    <x:row r="20" ht="28.799999237060547">
      <x:c r="A20" s="17" t="str">
        <x:v>Cocina</x:v>
      </x:c>
      <x:c r="B20" s="17" t="str">
        <x:v>P073</x:v>
      </x:c>
      <x:c r="C20" s="17" t="str">
        <x:v>PROVISIONAL larguero bajo plataforma basurero</x:v>
      </x:c>
      <x:c r="D20" s="17" t="str">
        <x:v>Si no la cantean: cortar a 549,1 × 59,1 y cantear en el armado. NO PEDIR: se corta en el armado de un sobrante, con el riel HRE126-55 y la bandeja en mano. Pedir a la sucursal que entregue los sobrantes.</x:v>
      </x:c>
    </x:row>
    <x:row r="21" ht="28.799999237060547">
      <x:c r="A21" s="17" t="str">
        <x:v>Cocina</x:v>
      </x:c>
      <x:c r="B21" s="17" t="str">
        <x:v>P074</x:v>
      </x:c>
      <x:c r="C21" s="17" t="str">
        <x:v>PROVISIONAL travesaño bajo plataforma basurero</x:v>
      </x:c>
      <x:c r="D21" s="17" t="str">
        <x:v>Si no la cantean: cortar a 312,1 × 59,1 y cantear en el armado. NO PEDIR: se corta en el armado de un sobrante, con el riel HRE126-55 y la bandeja en mano. Pedir a la sucursal que entregue los sobrantes.</x:v>
      </x:c>
    </x:row>
    <x:row r="22">
      <x:c r="A22" s="17" t="str">
        <x:v>Clóset</x:v>
      </x:c>
      <x:c r="B22" s="17" t="str">
        <x:v>C3-001</x:v>
      </x:c>
      <x:c r="C22" s="17" t="str">
        <x:v>Lateral exterior</x:v>
      </x:c>
      <x:c r="D22" s="17" t="str">
        <x:v>Rebaje superior para el listón de pino 4 × 4 en taller.</x:v>
      </x:c>
    </x:row>
    <x:row r="23" ht="28.799999237060547">
      <x:c r="A23" s="17" t="str">
        <x:v>Clóset</x:v>
      </x:c>
      <x:c r="B23" s="17" t="str">
        <x:v>C3-023</x:v>
      </x:c>
      <x:c r="C23" s="17" t="str">
        <x:v>Hoja corrediza RH15</x:v>
      </x:c>
      <x:c r="D23" s="17" t="str">
        <x:v>Pedida 20 mm más alta (2195 en vez de 2175): en el armado, con el riel y los carros puestos, recortar el borde superior —tapado por la solapa— hasta que la guía inferior sujete la hoja. Nunca debe quedar corta.</x:v>
      </x:c>
    </x:row>
    <x:row r="24" ht="28.799999237060547">
      <x:c r="A24" s="17" t="str">
        <x:v>Baño</x:v>
      </x:c>
      <x:c r="B24" s="17" t="str">
        <x:v>B03</x:v>
      </x:c>
      <x:c r="C24" s="17" t="str">
        <x:v>Entrepaño retranqueado con reserva de sifón</x:v>
      </x:c>
      <x:c r="D24" s="17" t="str">
        <x:v>Zona húmeda: proteger todos los bordes y sellar perforaciones; dimensiones terminadas. Nicho libre de 150 mm bajo granito. Recorte trasero ilustrativo 100 × 270 mm, centrado; no mecanizar sin sifón real. Retranqueo frontal de 30 mm para agarre. Canto flexible 0,45 mm en todo el perímetro; mantener sellados recortes y perforaciones.</x:v>
      </x:c>
    </x:row>
    <x:row r="25" ht="57.599998474121094">
      <x:c r="A25" s="17" t="str">
        <x:v>Baño</x:v>
      </x:c>
      <x:c r="B25" s="17" t="str">
        <x:v>B06</x:v>
      </x:c>
      <x:c r="C25" s="17" t="str">
        <x:v>Panel común para dos puertas: corte diagonal en armado</x:v>
      </x:c>
      <x:c r="D25" s="17" t="str">
        <x:v>Una sola pieza rectangular terminada 517 × 299 mm (veta vertical). Pedirla entera, con canto 2 mm en el perímetro; NO dividir en tienda. En el armado, corte central a 75° de la horizontal (provisional entre 70 y 80°) con el disco Diablo de 1,5 mm (corte de 0,059") y canto flexible 0,45 mm en los dos bordes nuevos. Holgura entre puertas tras cantear ≈0,6 mm: probablemente insuficiente (ver Pendientes). La medida de lista es del panel común, no de cada tapa.</x:v>
      </x:c>
    </x:row>
  </x:sheetData>
  <x:pageMargins left="0.7" right="0.7" top="0.75" bottom="0.75" header="0.3" footer="0.3"/>
</x:worksheet>
</file>