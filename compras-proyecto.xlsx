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45ccec296847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b3cf6cb0595742d6"/>
    <x:sheet xmlns:r="http://schemas.openxmlformats.org/officeDocument/2006/relationships" name="Pedido de corte" sheetId="2" r:id="R9f55693a104b43ca"/>
    <x:sheet xmlns:r="http://schemas.openxmlformats.org/officeDocument/2006/relationships" name="Láminas" sheetId="3" r:id="Rf5fef9e5deff44b5"/>
    <x:sheet xmlns:r="http://schemas.openxmlformats.org/officeDocument/2006/relationships" name="Cantos" sheetId="4" r:id="R5736bd6e5b5c4ea1"/>
    <x:sheet xmlns:r="http://schemas.openxmlformats.org/officeDocument/2006/relationships" name="Compras" sheetId="5" r:id="R2332c494379743bd"/>
    <x:sheet xmlns:r="http://schemas.openxmlformats.org/officeDocument/2006/relationships" name="Bloqueos" sheetId="6" r:id="R26475d8f3f5140dc"/>
    <x:sheet xmlns:r="http://schemas.openxmlformats.org/officeDocument/2006/relationships" name="En el armado" sheetId="7" r:id="Rc249f97e798842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&quot;$&quot;#,##0"/>
    <x:numFmt numFmtId="200" formatCode="General"/>
    <x:numFmt numFmtId="201" formatCode="0%"/>
  </x:numFmts>
  <x:fonts count="5">
    <x:font>
      <x:sz val="11"/>
      <x:color theme="1"/>
      <x:name val="Calibri"/>
      <x:family val="2"/>
      <x:scheme val="minor"/>
    </x:font>
    <x:font>
      <x:b/>
      <x:sz val="14"/>
      <x:name val="Calibri"/>
    </x:font>
    <x:font>
      <x:i/>
      <x:sz val="11"/>
      <x:name val="Calibri"/>
    </x:font>
    <x:font>
      <x:b/>
      <x:sz val="11"/>
      <x:color rgb="FFFFFFFF"/>
      <x:name val="Calibri"/>
    </x:font>
    <x:font>
      <x:b/>
      <x:sz val="11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rgb="FF253B3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Font="1"/>
    <x:xf numFmtId="0" fontId="2" fillId="0" borderId="0" xfId="0" applyFont="1"/>
    <x:xf numFmtId="0" fontId="3" fillId="2" borderId="0" xfId="0" applyFont="1" applyFill="1" applyAlignment="1">
      <x:alignment vertical="center" wrapText="1"/>
    </x:xf>
    <x:xf numFmtId="0" fontId="4" fillId="0" borderId="0" xfId="0" applyFont="1"/>
    <x:xf numFmtId="164" fontId="4" fillId="0" borderId="0" xfId="0" applyNumberFormat="1" applyFont="1"/>
    <x:xf numFmtId="0" fontId="0" fillId="0" borderId="0" xfId="0" applyAlignment="1">
      <x:alignment vertical="top"/>
    </x:xf>
    <x:xf numFmtId="0" fontId="0" fillId="0" borderId="0" xfId="0" applyAlignment="1">
      <x:alignment vertical="top" wrapText="1"/>
    </x:xf>
    <x:xf numFmtId="9" fontId="0" fillId="0" borderId="0" xfId="0" applyNumberFormat="1"/>
    <x:xf numFmtId="164" fontId="0" fillId="0" borderId="0" xfId="0" applyNumberFormat="1"/>
    <x:xf numFmtId="200" fontId="1" fillId="0" borderId="0" xfId="0" applyNumberFormat="1" applyFont="1" applyFill="1" applyBorder="1"/>
    <x:xf numFmtId="200" fontId="2" fillId="0" borderId="0" xfId="0" applyNumberFormat="1" applyFont="1" applyFill="1" applyBorder="1"/>
    <x:xf numFmtId="200" fontId="3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4" fillId="0" borderId="0" xfId="0" applyNumberFormat="1" applyFont="1" applyFill="1" applyBorder="1"/>
    <x:xf numFmtId="164" fontId="4" fillId="0" borderId="0" xfId="0" applyNumberFormat="1" applyFont="1" applyFill="1" applyBorder="1"/>
    <x:xf numFmtId="200" fontId="0" fillId="0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164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e220a4fb5a4af9" /><Relationship Type="http://schemas.openxmlformats.org/officeDocument/2006/relationships/theme" Target="/xl/theme/theme1.xml" Id="Rc3d8d82ca5914359" /><Relationship Type="http://schemas.openxmlformats.org/officeDocument/2006/relationships/sharedStrings" Target="/xl/sharedStrings.xml" Id="R142cb97bd4a74aa4" /><Relationship Type="http://schemas.openxmlformats.org/officeDocument/2006/relationships/worksheet" Target="/xl/worksheets/sheet1.xml" Id="Rb3cf6cb0595742d6" /><Relationship Type="http://schemas.openxmlformats.org/officeDocument/2006/relationships/worksheet" Target="/xl/worksheets/sheet2.xml" Id="R9f55693a104b43ca" /><Relationship Type="http://schemas.openxmlformats.org/officeDocument/2006/relationships/worksheet" Target="/xl/worksheets/sheet3.xml" Id="Rf5fef9e5deff44b5" /><Relationship Type="http://schemas.openxmlformats.org/officeDocument/2006/relationships/worksheet" Target="/xl/worksheets/sheet4.xml" Id="R5736bd6e5b5c4ea1" /><Relationship Type="http://schemas.openxmlformats.org/officeDocument/2006/relationships/worksheet" Target="/xl/worksheets/sheet5.xml" Id="R2332c494379743bd" /><Relationship Type="http://schemas.openxmlformats.org/officeDocument/2006/relationships/worksheet" Target="/xl/worksheets/sheet6.xml" Id="R26475d8f3f5140dc" /><Relationship Type="http://schemas.openxmlformats.org/officeDocument/2006/relationships/worksheet" Target="/xl/worksheets/sheet7.xml" Id="Rc249f97e798842ad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8.88671875" defaultRowHeight="14.399999618530273"/>
  <x:cols>
    <x:col min="1" max="1" width="42" customWidth="1"/>
    <x:col min="2" max="3" width="16" customWidth="1"/>
    <x:col min="4" max="4" width="90" customWidth="1"/>
  </x:cols>
  <x:sheetData>
    <x:row r="2" ht="18">
      <x:c r="A2" s="10" t="str">
        <x:v>Compras del proyecto · cocina, clóset y baño</x:v>
      </x:c>
    </x:row>
    <x:row r="3">
      <x:c r="A3" s="11" t="str">
        <x:v>Estimación conjunta del 27/10/2026, generada desde los Excel de cada mueble (herramientas/build_compras_proyecto.py).</x:v>
      </x:c>
    </x:row>
    <x:row r="6">
      <x:c r="A6" s="12" t="str">
        <x:v>Concepto</x:v>
      </x:c>
      <x:c r="B6" s="12" t="str">
        <x:v>Por separado</x:v>
      </x:c>
      <x:c r="C6" s="12" t="str">
        <x:v>Conjunto</x:v>
      </x:c>
      <x:c r="D6" s="12" t="str">
        <x:v>Nota</x:v>
      </x:c>
    </x:row>
    <x:row r="7">
      <x:c r="A7" s="13" t="str">
        <x:v>Láminas RH15</x:v>
      </x:c>
      <x:c r="B7" s="13" t="n">
        <x:v>10</x:v>
      </x:c>
      <x:c r="C7" s="13" t="n">
        <x:v>8</x:v>
      </x:c>
      <x:c r="D7" s="13" t="str">
        <x:v>Cocina 4 + clóset 5 + baño 1 por separado; encaje conjunto en la hoja Láminas.</x:v>
      </x:c>
    </x:row>
    <x:row r="8">
      <x:c r="A8" s="13" t="str">
        <x:v>Láminas de fondo RH6</x:v>
      </x:c>
      <x:c r="B8" s="13" t="n">
        <x:v>2</x:v>
      </x:c>
      <x:c r="C8" s="13" t="n">
        <x:v>1</x:v>
      </x:c>
      <x:c r="D8" s="13" t="str">
        <x:v>El fondo del baño cabe en la lámina de fondo de la cocina.</x:v>
      </x:c>
    </x:row>
    <x:row r="9">
      <x:c r="A9" s="13" t="str">
        <x:v>Rollos de canto rígido 100 m</x:v>
      </x:c>
      <x:c r="B9" s="13" t="n">
        <x:v>2</x:v>
      </x:c>
      <x:c r="C9" s="13" t="n">
        <x:v>1</x:v>
      </x:c>
      <x:c r="D9" s="13" t="str">
        <x:v>Más 0 m sueltos en la sucursal.</x:v>
      </x:c>
    </x:row>
    <x:row r="10">
      <x:c r="A10" s="13" t="str">
        <x:v>Rollos de canto flexible 200 m</x:v>
      </x:c>
      <x:c r="B10" s="13" t="n">
        <x:v>2</x:v>
      </x:c>
      <x:c r="C10" s="13" t="n">
        <x:v>1</x:v>
      </x:c>
      <x:c r="D10" s="13" t="str">
        <x:v>Sobran unos 28 m para cantear piezas pequeñas en el armado.</x:v>
      </x:c>
    </x:row>
    <x:row r="11">
      <x:c r="A11" s="13" t="str">
        <x:v>Bisagras HBM897-01 (pares)</x:v>
      </x:c>
      <x:c r="B11" s="13" t="n">
        <x:v>15</x:v>
      </x:c>
      <x:c r="C11" s="13" t="n">
        <x:v>15</x:v>
      </x:c>
      <x:c r="D11" s="13" t="str">
        <x:v>Misma referencia en cocina y baño: se compran juntas.</x:v>
      </x:c>
    </x:row>
    <x:row r="13">
      <x:c r="A13" s="14" t="str">
        <x:v>Total con precio conocido (hoja Compras)</x:v>
      </x:c>
      <x:c r="C13" s="15" t="n">
        <x:f>Compras!G67</x:f>
        <x:v>8453310</x:v>
      </x:c>
      <x:c r="D13" s="13" t="str">
        <x:v>Los metros sueltos de rígido y las partidas sin precio no están incluidos.</x:v>
      </x:c>
    </x:row>
    <x:row r="14">
      <x:c r="A14" s="13" t="str">
        <x:v>Partidas sin precio</x:v>
      </x:c>
      <x:c r="C14" s="13" t="n">
        <x:f>Compras!G68</x:f>
        <x:v>28</x:v>
      </x:c>
    </x:row>
    <x:row r="16">
      <x:c r="A16" s="11" t="str">
        <x:v>Espejo, retal de granito y mesón son de otros proveedores; lavamanos, grifería y equipos se eligen aparte.</x:v>
      </x:c>
    </x:row>
  </x:sheetData>
  <x:pageMargins left="0.7" right="0.7" top="0.75" bottom="0.75" header="0.3" footer="0.3"/>
</x:worksheet>
</file>

<file path=xl/worksheets/sheet2.xml><?xml version="1.0" encoding="utf-8"?>
<worksheet xmlns="http://schemas.openxmlformats.org/spreadsheetml/2006/main">
  <sheetViews>
    <sheetView workbookViewId="0">
      <pane ySplit="6" topLeftCell="A7" activePane="bottomLeft" state="frozen"/>
    </sheetView>
  </sheetViews>
  <sheetFormatPr baseColWidth="10" defaultColWidth="8.88671875" defaultRowHeight="14.399999618530273"/>
  <cols>
    <col min="1" max="1" width="9" customWidth="1"/>
    <col min="2" max="2" width="8" customWidth="1"/>
    <col min="3" max="3" width="18" customWidth="1"/>
    <col min="4" max="4" width="34" customWidth="1"/>
    <col min="5" max="5" width="22" customWidth="1"/>
    <col min="6" max="6" width="6" customWidth="1"/>
    <col min="7" max="8" width="10" customWidth="1"/>
    <col min="9" max="12" width="7" customWidth="1"/>
    <col min="13" max="13" width="10" customWidth="1"/>
    <col min="14" max="14" width="14" customWidth="1"/>
    <col min="15" max="15" width="15" customWidth="1"/>
    <col min="16" max="16" width="60" customWidth="1"/>
  </cols>
  <sheetData>
    <row r="2" ht="18">
      <c r="A2" s="10" t="str">
        <v>Pedido de corte y canteado · pedido único de los tres muebles</v>
      </c>
    </row>
    <row r="3">
      <c r="A3" s="11" t="str">
        <v>Medidas finales en mm, con canto incluido; largo en sentido de veta. R = rígido 2 mm · F = flexible 0,45 mm · — = sin canto. Un solo tipo de canto por pieza, únicamente en los bordes indicados.</v>
      </c>
    </row>
    <row r="4">
      <c r="A4" s="13" t="str">
        <v>Supuestos de cada despiece: el proveedor pide medida terminada y descuenta el canto; piezas pequeñas = lado menor &lt; 100 mm o mayor &lt; 250 mm. Si la sucursal pide medida de corte, usar la columna «Corte sin canto».</v>
      </c>
    </row>
    <row r="6" ht="28.799999237060547">
      <c r="A6" s="12" t="str">
        <v>Mueble</v>
      </c>
      <c r="B6" s="12" t="str">
        <v>ID</v>
      </c>
      <c r="C6" s="12" t="str">
        <v>Módulo</v>
      </c>
      <c r="D6" s="12" t="str">
        <v>Pieza</v>
      </c>
      <c r="E6" s="12" t="str">
        <v>Material</v>
      </c>
      <c r="F6" s="12" t="str">
        <v>Cant.</v>
      </c>
      <c r="G6" s="12" t="str">
        <v>Largo a pedir</v>
      </c>
      <c r="H6" s="12" t="str">
        <v>Ancho a pedir</v>
      </c>
      <c r="I6" s="12" t="str">
        <v>Largo 1</v>
      </c>
      <c r="J6" s="12" t="str">
        <v>Largo 2</v>
      </c>
      <c r="K6" s="12" t="str">
        <v>Corto 1</v>
      </c>
      <c r="L6" s="12" t="str">
        <v>Corto 2</v>
      </c>
      <c r="M6" s="12" t="str">
        <v>Canteo</v>
      </c>
      <c r="N6" s="12" t="str">
        <v>Medida terminada</v>
      </c>
      <c r="O6" s="12" t="str">
        <v>Corte sin canto</v>
      </c>
      <c r="P6" s="12" t="str">
        <v>Observaciones</v>
      </c>
    </row>
    <row r="7" ht="28.799999237060547">
      <c r="A7" s="16" t="str">
        <v>Cocina</v>
      </c>
      <c r="B7" s="16" t="str">
        <v>P001</v>
      </c>
      <c r="C7" s="16" t="str">
        <v>B1 Condimentero 18</v>
      </c>
      <c r="D7" s="17" t="str">
        <v>Lateral</v>
      </c>
      <c r="E7" s="16" t="str">
        <v>Melamina Cartagena RH 15</v>
      </c>
      <c r="F7" s="16" t="n">
        <v>2</v>
      </c>
      <c r="G7" s="16" t="n">
        <v>785</v>
      </c>
      <c r="H7" s="16" t="n">
        <v>580</v>
      </c>
      <c r="I7" s="16" t="str">
        <v>F</v>
      </c>
      <c r="J7" s="16" t="str">
        <v>—</v>
      </c>
      <c r="K7" s="16" t="str">
        <v>F</v>
      </c>
      <c r="L7" s="16" t="str">
        <v>—</v>
      </c>
      <c r="M7" s="16" t="str">
        <v>Normal</v>
      </c>
      <c r="N7" s="16" t="str">
        <v>785 × 580</v>
      </c>
      <c r="O7" s="16" t="str">
        <v>784,55 × 579,55</v>
      </c>
      <c r="P7" s="17" t="str">
        <v>Rebaje para la gola en el armado, cuando se defina el borde del granito; no lo hace el proveedor.</v>
      </c>
    </row>
    <row r="8">
      <c r="A8" s="16" t="str">
        <v>Cocina</v>
      </c>
      <c r="B8" s="16" t="str">
        <v>P002</v>
      </c>
      <c r="C8" s="16" t="str">
        <v>B1 Condimentero 18</v>
      </c>
      <c r="D8" s="17" t="str">
        <v>Piso</v>
      </c>
      <c r="E8" s="16" t="str">
        <v>Melamina Cartagena RH 15</v>
      </c>
      <c r="F8" s="16" t="n">
        <v>1</v>
      </c>
      <c r="G8" s="16" t="n">
        <v>150</v>
      </c>
      <c r="H8" s="16" t="n">
        <v>580</v>
      </c>
      <c r="I8" s="16" t="str">
        <v>F</v>
      </c>
      <c r="J8" s="16" t="str">
        <v>—</v>
      </c>
      <c r="K8" s="16" t="str">
        <v>—</v>
      </c>
      <c r="L8" s="16" t="str">
        <v>—</v>
      </c>
      <c r="M8" s="16" t="str">
        <v>Normal</v>
      </c>
      <c r="N8" s="16" t="str">
        <v>150 × 580</v>
      </c>
      <c r="O8" s="16" t="str">
        <v>150 × 579,55</v>
      </c>
      <c r="P8" s="17" t="str">
        <v>—</v>
      </c>
    </row>
    <row r="9" ht="43.20000076293945">
      <c r="A9" s="16" t="str">
        <v>Cocina</v>
      </c>
      <c r="B9" s="16" t="str">
        <v>P003</v>
      </c>
      <c r="C9" s="16" t="str">
        <v>B1 Condimentero 18</v>
      </c>
      <c r="D9" s="17" t="str">
        <v>Travesaño horizontal</v>
      </c>
      <c r="E9" s="16" t="str">
        <v>Melamina Cartagena RH 15</v>
      </c>
      <c r="F9" s="16" t="n">
        <v>2</v>
      </c>
      <c r="G9" s="16" t="n">
        <v>150</v>
      </c>
      <c r="H9" s="16" t="n">
        <v>100</v>
      </c>
      <c r="I9" s="16" t="str">
        <v>F</v>
      </c>
      <c r="J9" s="16" t="str">
        <v>F</v>
      </c>
      <c r="K9" s="16" t="str">
        <v>—</v>
      </c>
      <c r="L9" s="16" t="str">
        <v>—</v>
      </c>
      <c r="M9" s="16" t="str">
        <v>Pequeña</v>
      </c>
      <c r="N9" s="16" t="str">
        <v>150 × 100</v>
      </c>
      <c r="O9" s="16" t="str">
        <v>150 × 99,1</v>
      </c>
      <c r="P9" s="17" t="str">
        <v>Si no la cantean: cortar a 150 × 99.1 y cantear en el armado. Rebaje para la gola en el armado, cuando se defina el borde del granito; no lo hace el proveedor.</v>
      </c>
    </row>
    <row r="10">
      <c r="A10" s="16" t="str">
        <v>Cocina</v>
      </c>
      <c r="B10" s="16" t="str">
        <v>P004</v>
      </c>
      <c r="C10" s="16" t="str">
        <v>B1 Condimentero 18</v>
      </c>
      <c r="D10" s="17" t="str">
        <v>Fondo clavado atrás</v>
      </c>
      <c r="E10" s="16" t="str">
        <v>Fondo melamina 6</v>
      </c>
      <c r="F10" s="16" t="n">
        <v>1</v>
      </c>
      <c r="G10" s="16" t="n">
        <v>176</v>
      </c>
      <c r="H10" s="16" t="n">
        <v>781</v>
      </c>
      <c r="I10" s="16" t="str">
        <v>—</v>
      </c>
      <c r="J10" s="16" t="str">
        <v>—</v>
      </c>
      <c r="K10" s="16" t="str">
        <v>—</v>
      </c>
      <c r="L10" s="16" t="str">
        <v>—</v>
      </c>
      <c r="M10" s="16" t="str">
        <v>Sin canto</v>
      </c>
      <c r="N10" s="16" t="str">
        <v>176 × 781</v>
      </c>
      <c r="O10" s="16" t="str">
        <v>176 × 781</v>
      </c>
      <c r="P10" s="17" t="str">
        <v>—</v>
      </c>
    </row>
    <row r="11">
      <c r="A11" s="16" t="str">
        <v>Cocina</v>
      </c>
      <c r="B11" s="16" t="str">
        <v>P005</v>
      </c>
      <c r="C11" s="16" t="str">
        <v>B1 Condimentero 18</v>
      </c>
      <c r="D11" s="17" t="str">
        <v>Frente condimentero</v>
      </c>
      <c r="E11" s="16" t="str">
        <v>Melamina Cartagena RH 15</v>
      </c>
      <c r="F11" s="16" t="n">
        <v>1</v>
      </c>
      <c r="G11" s="16" t="n">
        <v>732</v>
      </c>
      <c r="H11" s="16" t="n">
        <v>177</v>
      </c>
      <c r="I11" s="16" t="str">
        <v>R</v>
      </c>
      <c r="J11" s="16" t="str">
        <v>R</v>
      </c>
      <c r="K11" s="16" t="str">
        <v>R</v>
      </c>
      <c r="L11" s="16" t="str">
        <v>R</v>
      </c>
      <c r="M11" s="16" t="str">
        <v>Normal</v>
      </c>
      <c r="N11" s="16" t="str">
        <v>732 × 177</v>
      </c>
      <c r="O11" s="16" t="str">
        <v>728 × 173</v>
      </c>
      <c r="P11" s="17" t="str">
        <v>—</v>
      </c>
    </row>
    <row r="12">
      <c r="A12" s="16" t="str">
        <v>Cocina</v>
      </c>
      <c r="B12" s="16" t="str">
        <v>P006</v>
      </c>
      <c r="C12" s="16" t="str">
        <v>B2 Horno y estufa 60</v>
      </c>
      <c r="D12" s="17" t="str">
        <v>Lateral</v>
      </c>
      <c r="E12" s="16" t="str">
        <v>Melamina Cartagena RH 15</v>
      </c>
      <c r="F12" s="16" t="n">
        <v>2</v>
      </c>
      <c r="G12" s="16" t="n">
        <v>785</v>
      </c>
      <c r="H12" s="16" t="n">
        <v>580</v>
      </c>
      <c r="I12" s="16" t="str">
        <v>F</v>
      </c>
      <c r="J12" s="16" t="str">
        <v>—</v>
      </c>
      <c r="K12" s="16" t="str">
        <v>F</v>
      </c>
      <c r="L12" s="16" t="str">
        <v>—</v>
      </c>
      <c r="M12" s="16" t="str">
        <v>Normal</v>
      </c>
      <c r="N12" s="16" t="str">
        <v>785 × 580</v>
      </c>
      <c r="O12" s="16" t="str">
        <v>784,55 × 579,55</v>
      </c>
      <c r="P12" s="17" t="str">
        <v>—</v>
      </c>
    </row>
    <row r="13" ht="28.799999237060547">
      <c r="A13" s="16" t="str">
        <v>Cocina</v>
      </c>
      <c r="B13" s="16" t="str">
        <v>P007</v>
      </c>
      <c r="C13" s="16" t="str">
        <v>B2 Horno y estufa 60</v>
      </c>
      <c r="D13" s="17" t="str">
        <v>Piso de apoyo horno (validar montaje)</v>
      </c>
      <c r="E13" s="16" t="str">
        <v>Melamina Cartagena RH 15</v>
      </c>
      <c r="F13" s="16" t="n">
        <v>1</v>
      </c>
      <c r="G13" s="16" t="n">
        <v>570</v>
      </c>
      <c r="H13" s="16" t="n">
        <v>580</v>
      </c>
      <c r="I13" s="16" t="str">
        <v>F</v>
      </c>
      <c r="J13" s="16" t="str">
        <v>—</v>
      </c>
      <c r="K13" s="16" t="str">
        <v>—</v>
      </c>
      <c r="L13" s="16" t="str">
        <v>—</v>
      </c>
      <c r="M13" s="16" t="str">
        <v>Normal</v>
      </c>
      <c r="N13" s="16" t="str">
        <v>570 × 580</v>
      </c>
      <c r="O13" s="16" t="str">
        <v>570 × 579,55</v>
      </c>
      <c r="P13" s="17" t="str">
        <v>Ranura de ventilación o paso de cable en obra, si el manual del horno lo pide.</v>
      </c>
    </row>
    <row r="14">
      <c r="A14" s="16" t="str">
        <v>Cocina</v>
      </c>
      <c r="B14" s="16" t="str">
        <v>P008</v>
      </c>
      <c r="C14" s="16" t="str">
        <v>B2 Horno y estufa 60</v>
      </c>
      <c r="D14" s="17" t="str">
        <v>Travesaño trasero</v>
      </c>
      <c r="E14" s="16" t="str">
        <v>Melamina Cartagena RH 15</v>
      </c>
      <c r="F14" s="16" t="n">
        <v>1</v>
      </c>
      <c r="G14" s="16" t="n">
        <v>570</v>
      </c>
      <c r="H14" s="16" t="n">
        <v>100</v>
      </c>
      <c r="I14" s="16" t="str">
        <v>F</v>
      </c>
      <c r="J14" s="16" t="str">
        <v>—</v>
      </c>
      <c r="K14" s="16" t="str">
        <v>—</v>
      </c>
      <c r="L14" s="16" t="str">
        <v>—</v>
      </c>
      <c r="M14" s="16" t="str">
        <v>Pequeña</v>
      </c>
      <c r="N14" s="16" t="str">
        <v>570 × 100</v>
      </c>
      <c r="O14" s="16" t="str">
        <v>570 × 99,55</v>
      </c>
      <c r="P14" s="17" t="str">
        <v>Si no la cantean: cortar a 570 × 99.55 y cantear en el armado.</v>
      </c>
    </row>
    <row r="15" ht="28.799999237060547">
      <c r="A15" s="16" t="str">
        <v>Cocina</v>
      </c>
      <c r="B15" s="16" t="str">
        <v>P009</v>
      </c>
      <c r="C15" s="16" t="str">
        <v>B2 Horno y estufa 60</v>
      </c>
      <c r="D15" s="17" t="str">
        <v>Repisa sobre horno (posición por manual)</v>
      </c>
      <c r="E15" s="16" t="str">
        <v>Melamina Cartagena RH 15</v>
      </c>
      <c r="F15" s="16" t="n">
        <v>1</v>
      </c>
      <c r="G15" s="16" t="n">
        <v>570</v>
      </c>
      <c r="H15" s="16" t="n">
        <v>500</v>
      </c>
      <c r="I15" s="16" t="str">
        <v>F</v>
      </c>
      <c r="J15" s="16" t="str">
        <v>—</v>
      </c>
      <c r="K15" s="16" t="str">
        <v>—</v>
      </c>
      <c r="L15" s="16" t="str">
        <v>—</v>
      </c>
      <c r="M15" s="16" t="str">
        <v>Normal</v>
      </c>
      <c r="N15" s="16" t="str">
        <v>570 × 500</v>
      </c>
      <c r="O15" s="16" t="str">
        <v>570 × 499,55</v>
      </c>
      <c r="P15" s="17" t="str">
        <v>Su altura se fija en el armado según el manual del horno; si pide más ventilación atrás, recortar el borde trasero (sin canto).</v>
      </c>
    </row>
    <row r="16" ht="28.799999237060547">
      <c r="A16" s="16" t="str">
        <v>Cocina</v>
      </c>
      <c r="B16" s="16" t="str">
        <v>P010</v>
      </c>
      <c r="C16" s="16" t="str">
        <v>B2 Horno y estufa 60</v>
      </c>
      <c r="D16" s="17" t="str">
        <v>Listón frontal de apoyo del mesón (de canto)</v>
      </c>
      <c r="E16" s="16" t="str">
        <v>Melamina Cartagena RH 15</v>
      </c>
      <c r="F16" s="16" t="n">
        <v>1</v>
      </c>
      <c r="G16" s="16" t="n">
        <v>570</v>
      </c>
      <c r="H16" s="16" t="n">
        <v>80</v>
      </c>
      <c r="I16" s="16" t="str">
        <v>F</v>
      </c>
      <c r="J16" s="16" t="str">
        <v>—</v>
      </c>
      <c r="K16" s="16" t="str">
        <v>—</v>
      </c>
      <c r="L16" s="16" t="str">
        <v>—</v>
      </c>
      <c r="M16" s="16" t="str">
        <v>Pequeña</v>
      </c>
      <c r="N16" s="16" t="str">
        <v>570 × 80</v>
      </c>
      <c r="O16" s="16" t="str">
        <v>570 × 79,55</v>
      </c>
      <c r="P16" s="17" t="str">
        <v>Si no la cantean: cortar a 570 × 79.55 y cantear en el armado.</v>
      </c>
    </row>
    <row r="17" ht="43.20000076293945">
      <c r="A17" s="16" t="str">
        <v>Cocina</v>
      </c>
      <c r="B17" s="16" t="str">
        <v>P011</v>
      </c>
      <c r="C17" s="16" t="str">
        <v>B2 Horno y estufa 60</v>
      </c>
      <c r="D17" s="17" t="str">
        <v>Panel fijo bajo estufa (ajustar con equipo)</v>
      </c>
      <c r="E17" s="16" t="str">
        <v>Melamina Cartagena RH 15</v>
      </c>
      <c r="F17" s="16" t="n">
        <v>1</v>
      </c>
      <c r="G17" s="16" t="n">
        <v>160</v>
      </c>
      <c r="H17" s="16" t="n">
        <v>597</v>
      </c>
      <c r="I17" s="16" t="str">
        <v>F</v>
      </c>
      <c r="J17" s="16" t="str">
        <v>F</v>
      </c>
      <c r="K17" s="16" t="str">
        <v>F</v>
      </c>
      <c r="L17" s="16" t="str">
        <v>—</v>
      </c>
      <c r="M17" s="16" t="str">
        <v>Normal</v>
      </c>
      <c r="N17" s="16" t="str">
        <v>145 × 597</v>
      </c>
      <c r="O17" s="16" t="str">
        <v>159,55 × 596,1</v>
      </c>
      <c r="P17" s="17" t="str">
        <v>Pedida 15 mm más alta (160 en vez de 145): en el armado, recortar el borde superior —oculto bajo el mesón y sin canto— según el horno instalado.</v>
      </c>
    </row>
    <row r="18" ht="28.799999237060547">
      <c r="A18" s="16" t="str">
        <v>Cocina</v>
      </c>
      <c r="B18" s="16" t="str">
        <v>P012</v>
      </c>
      <c r="C18" s="16" t="str">
        <v>B3 Cubiertero y puertas 67</v>
      </c>
      <c r="D18" s="17" t="str">
        <v>Lateral</v>
      </c>
      <c r="E18" s="16" t="str">
        <v>Melamina Cartagena RH 15</v>
      </c>
      <c r="F18" s="16" t="n">
        <v>2</v>
      </c>
      <c r="G18" s="16" t="n">
        <v>785</v>
      </c>
      <c r="H18" s="16" t="n">
        <v>580</v>
      </c>
      <c r="I18" s="16" t="str">
        <v>F</v>
      </c>
      <c r="J18" s="16" t="str">
        <v>—</v>
      </c>
      <c r="K18" s="16" t="str">
        <v>F</v>
      </c>
      <c r="L18" s="16" t="str">
        <v>—</v>
      </c>
      <c r="M18" s="16" t="str">
        <v>Normal</v>
      </c>
      <c r="N18" s="16" t="str">
        <v>785 × 580</v>
      </c>
      <c r="O18" s="16" t="str">
        <v>784,55 × 579,55</v>
      </c>
      <c r="P18" s="17" t="str">
        <v>Rebaje para la gola en el armado, cuando se defina el borde del granito; no lo hace el proveedor.</v>
      </c>
    </row>
    <row r="19">
      <c r="A19" s="16" t="str">
        <v>Cocina</v>
      </c>
      <c r="B19" s="16" t="str">
        <v>P013</v>
      </c>
      <c r="C19" s="16" t="str">
        <v>B3 Cubiertero y puertas 67</v>
      </c>
      <c r="D19" s="17" t="str">
        <v>Piso</v>
      </c>
      <c r="E19" s="16" t="str">
        <v>Melamina Cartagena RH 15</v>
      </c>
      <c r="F19" s="16" t="n">
        <v>1</v>
      </c>
      <c r="G19" s="16" t="n">
        <v>640</v>
      </c>
      <c r="H19" s="16" t="n">
        <v>580</v>
      </c>
      <c r="I19" s="16" t="str">
        <v>F</v>
      </c>
      <c r="J19" s="16" t="str">
        <v>—</v>
      </c>
      <c r="K19" s="16" t="str">
        <v>—</v>
      </c>
      <c r="L19" s="16" t="str">
        <v>—</v>
      </c>
      <c r="M19" s="16" t="str">
        <v>Normal</v>
      </c>
      <c r="N19" s="16" t="str">
        <v>640 × 580</v>
      </c>
      <c r="O19" s="16" t="str">
        <v>640 × 579,55</v>
      </c>
      <c r="P19" s="17" t="str">
        <v>—</v>
      </c>
    </row>
    <row r="20" ht="43.20000076293945">
      <c r="A20" s="16" t="str">
        <v>Cocina</v>
      </c>
      <c r="B20" s="16" t="str">
        <v>P014</v>
      </c>
      <c r="C20" s="16" t="str">
        <v>B3 Cubiertero y puertas 67</v>
      </c>
      <c r="D20" s="17" t="str">
        <v>Travesaño horizontal</v>
      </c>
      <c r="E20" s="16" t="str">
        <v>Melamina Cartagena RH 15</v>
      </c>
      <c r="F20" s="16" t="n">
        <v>2</v>
      </c>
      <c r="G20" s="16" t="n">
        <v>640</v>
      </c>
      <c r="H20" s="16" t="n">
        <v>100</v>
      </c>
      <c r="I20" s="16" t="str">
        <v>F</v>
      </c>
      <c r="J20" s="16" t="str">
        <v>F</v>
      </c>
      <c r="K20" s="16" t="str">
        <v>—</v>
      </c>
      <c r="L20" s="16" t="str">
        <v>—</v>
      </c>
      <c r="M20" s="16" t="str">
        <v>Pequeña</v>
      </c>
      <c r="N20" s="16" t="str">
        <v>640 × 100</v>
      </c>
      <c r="O20" s="16" t="str">
        <v>640 × 99,1</v>
      </c>
      <c r="P20" s="17" t="str">
        <v>Si no la cantean: cortar a 640 × 99.1 y cantear en el armado. Rebaje para la gola en el armado, cuando se defina el borde del granito; no lo hace el proveedor.</v>
      </c>
    </row>
    <row r="21">
      <c r="A21" s="16" t="str">
        <v>Cocina</v>
      </c>
      <c r="B21" s="16" t="str">
        <v>P015</v>
      </c>
      <c r="C21" s="16" t="str">
        <v>B3 Cubiertero y puertas 67</v>
      </c>
      <c r="D21" s="17" t="str">
        <v>Fondo clavado atrás</v>
      </c>
      <c r="E21" s="16" t="str">
        <v>Fondo melamina 6</v>
      </c>
      <c r="F21" s="16" t="n">
        <v>1</v>
      </c>
      <c r="G21" s="16" t="n">
        <v>666</v>
      </c>
      <c r="H21" s="16" t="n">
        <v>781</v>
      </c>
      <c r="I21" s="16" t="str">
        <v>—</v>
      </c>
      <c r="J21" s="16" t="str">
        <v>—</v>
      </c>
      <c r="K21" s="16" t="str">
        <v>—</v>
      </c>
      <c r="L21" s="16" t="str">
        <v>—</v>
      </c>
      <c r="M21" s="16" t="str">
        <v>Sin canto</v>
      </c>
      <c r="N21" s="16" t="str">
        <v>666 × 781</v>
      </c>
      <c r="O21" s="16" t="str">
        <v>666 × 781</v>
      </c>
      <c r="P21" s="17" t="str">
        <v>—</v>
      </c>
    </row>
    <row r="22">
      <c r="A22" s="16" t="str">
        <v>Cocina</v>
      </c>
      <c r="B22" s="16" t="str">
        <v>P016</v>
      </c>
      <c r="C22" s="16" t="str">
        <v>B3 Cubiertero y puertas 67</v>
      </c>
      <c r="D22" s="17" t="str">
        <v>Frente cajón superior cubiertero</v>
      </c>
      <c r="E22" s="16" t="str">
        <v>Melamina Cartagena RH 15</v>
      </c>
      <c r="F22" s="16" t="n">
        <v>1</v>
      </c>
      <c r="G22" s="16" t="n">
        <v>167</v>
      </c>
      <c r="H22" s="16" t="n">
        <v>667</v>
      </c>
      <c r="I22" s="16" t="str">
        <v>R</v>
      </c>
      <c r="J22" s="16" t="str">
        <v>R</v>
      </c>
      <c r="K22" s="16" t="str">
        <v>R</v>
      </c>
      <c r="L22" s="16" t="str">
        <v>R</v>
      </c>
      <c r="M22" s="16" t="str">
        <v>Normal</v>
      </c>
      <c r="N22" s="16" t="str">
        <v>167 × 667</v>
      </c>
      <c r="O22" s="16" t="str">
        <v>163 × 663</v>
      </c>
      <c r="P22" s="17" t="str">
        <v>—</v>
      </c>
    </row>
    <row r="23">
      <c r="A23" s="16" t="str">
        <v>Cocina</v>
      </c>
      <c r="B23" s="16" t="str">
        <v>P017</v>
      </c>
      <c r="C23" s="16" t="str">
        <v>B3 Cubiertero y puertas 67</v>
      </c>
      <c r="D23" s="17" t="str">
        <v>Cajón: base aplicada inferior</v>
      </c>
      <c r="E23" s="16" t="str">
        <v>Melamina Cartagena RH 15</v>
      </c>
      <c r="F23" s="16" t="n">
        <v>1</v>
      </c>
      <c r="G23" s="16" t="n">
        <v>613</v>
      </c>
      <c r="H23" s="16" t="n">
        <v>550</v>
      </c>
      <c r="I23" s="16" t="str">
        <v>F</v>
      </c>
      <c r="J23" s="16" t="str">
        <v>—</v>
      </c>
      <c r="K23" s="16" t="str">
        <v>F</v>
      </c>
      <c r="L23" s="16" t="str">
        <v>F</v>
      </c>
      <c r="M23" s="16" t="str">
        <v>Normal</v>
      </c>
      <c r="N23" s="16" t="str">
        <v>613 × 550</v>
      </c>
      <c r="O23" s="16" t="str">
        <v>612,1 × 549,55</v>
      </c>
      <c r="P23" s="17" t="str">
        <v>—</v>
      </c>
    </row>
    <row r="24">
      <c r="A24" s="16" t="str">
        <v>Cocina</v>
      </c>
      <c r="B24" s="16" t="str">
        <v>P018</v>
      </c>
      <c r="C24" s="16" t="str">
        <v>B3 Cubiertero y puertas 67</v>
      </c>
      <c r="D24" s="17" t="str">
        <v>Cajón: costado</v>
      </c>
      <c r="E24" s="16" t="str">
        <v>Melamina Cartagena RH 15</v>
      </c>
      <c r="F24" s="16" t="n">
        <v>2</v>
      </c>
      <c r="G24" s="16" t="n">
        <v>550</v>
      </c>
      <c r="H24" s="16" t="n">
        <v>75</v>
      </c>
      <c r="I24" s="16" t="str">
        <v>F</v>
      </c>
      <c r="J24" s="16" t="str">
        <v>—</v>
      </c>
      <c r="K24" s="16" t="str">
        <v>F</v>
      </c>
      <c r="L24" s="16" t="str">
        <v>—</v>
      </c>
      <c r="M24" s="16" t="str">
        <v>Pequeña</v>
      </c>
      <c r="N24" s="16" t="str">
        <v>550 × 75</v>
      </c>
      <c r="O24" s="16" t="str">
        <v>549,55 × 74,55</v>
      </c>
      <c r="P24" s="17" t="str">
        <v>Si no la cantean: cortar a 549.55 × 74.55 y cantear en el armado.</v>
      </c>
    </row>
    <row r="25">
      <c r="A25" s="16" t="str">
        <v>Cocina</v>
      </c>
      <c r="B25" s="16" t="str">
        <v>P019</v>
      </c>
      <c r="C25" s="16" t="str">
        <v>B3 Cubiertero y puertas 67</v>
      </c>
      <c r="D25" s="17" t="str">
        <v>Cajón: frente y trasero interiores</v>
      </c>
      <c r="E25" s="16" t="str">
        <v>Melamina Cartagena RH 15</v>
      </c>
      <c r="F25" s="16" t="n">
        <v>2</v>
      </c>
      <c r="G25" s="16" t="n">
        <v>583</v>
      </c>
      <c r="H25" s="16" t="n">
        <v>75</v>
      </c>
      <c r="I25" s="16" t="str">
        <v>F</v>
      </c>
      <c r="J25" s="16" t="str">
        <v>—</v>
      </c>
      <c r="K25" s="16" t="str">
        <v>—</v>
      </c>
      <c r="L25" s="16" t="str">
        <v>—</v>
      </c>
      <c r="M25" s="16" t="str">
        <v>Pequeña</v>
      </c>
      <c r="N25" s="16" t="str">
        <v>583 × 75</v>
      </c>
      <c r="O25" s="16" t="str">
        <v>583 × 74,55</v>
      </c>
      <c r="P25" s="17" t="str">
        <v>Si no la cantean: cortar a 583 × 74.55 y cantear en el armado.</v>
      </c>
    </row>
    <row r="26">
      <c r="A26" s="16" t="str">
        <v>Cocina</v>
      </c>
      <c r="B26" s="16" t="str">
        <v>P020</v>
      </c>
      <c r="C26" s="16" t="str">
        <v>B3 Cubiertero y puertas 67</v>
      </c>
      <c r="D26" s="17" t="str">
        <v>Puerta inferior izquierda</v>
      </c>
      <c r="E26" s="16" t="str">
        <v>Melamina Cartagena RH 15</v>
      </c>
      <c r="F26" s="16" t="n">
        <v>1</v>
      </c>
      <c r="G26" s="16" t="n">
        <v>537</v>
      </c>
      <c r="H26" s="16" t="n">
        <v>332</v>
      </c>
      <c r="I26" s="16" t="str">
        <v>R</v>
      </c>
      <c r="J26" s="16" t="str">
        <v>R</v>
      </c>
      <c r="K26" s="16" t="str">
        <v>R</v>
      </c>
      <c r="L26" s="16" t="str">
        <v>R</v>
      </c>
      <c r="M26" s="16" t="str">
        <v>Normal</v>
      </c>
      <c r="N26" s="16" t="str">
        <v>537 × 332</v>
      </c>
      <c r="O26" s="16" t="str">
        <v>533 × 328</v>
      </c>
      <c r="P26" s="17" t="str">
        <v>—</v>
      </c>
    </row>
    <row r="27">
      <c r="A27" s="16" t="str">
        <v>Cocina</v>
      </c>
      <c r="B27" s="16" t="str">
        <v>P021</v>
      </c>
      <c r="C27" s="16" t="str">
        <v>B3 Cubiertero y puertas 67</v>
      </c>
      <c r="D27" s="17" t="str">
        <v>Puerta inferior derecha</v>
      </c>
      <c r="E27" s="16" t="str">
        <v>Melamina Cartagena RH 15</v>
      </c>
      <c r="F27" s="16" t="n">
        <v>1</v>
      </c>
      <c r="G27" s="16" t="n">
        <v>537</v>
      </c>
      <c r="H27" s="16" t="n">
        <v>332</v>
      </c>
      <c r="I27" s="16" t="str">
        <v>R</v>
      </c>
      <c r="J27" s="16" t="str">
        <v>R</v>
      </c>
      <c r="K27" s="16" t="str">
        <v>R</v>
      </c>
      <c r="L27" s="16" t="str">
        <v>R</v>
      </c>
      <c r="M27" s="16" t="str">
        <v>Normal</v>
      </c>
      <c r="N27" s="16" t="str">
        <v>537 × 332</v>
      </c>
      <c r="O27" s="16" t="str">
        <v>533 × 328</v>
      </c>
      <c r="P27" s="17" t="str">
        <v>—</v>
      </c>
    </row>
    <row r="28">
      <c r="A28" s="16" t="str">
        <v>Cocina</v>
      </c>
      <c r="B28" s="16" t="str">
        <v>P022</v>
      </c>
      <c r="C28" s="16" t="str">
        <v>B3 Cubiertero y puertas 67</v>
      </c>
      <c r="D28" s="17" t="str">
        <v>Entrepaño regulable inferior</v>
      </c>
      <c r="E28" s="16" t="str">
        <v>Melamina Cartagena RH 15</v>
      </c>
      <c r="F28" s="16" t="n">
        <v>1</v>
      </c>
      <c r="G28" s="16" t="n">
        <v>638</v>
      </c>
      <c r="H28" s="16" t="n">
        <v>550</v>
      </c>
      <c r="I28" s="16" t="str">
        <v>F</v>
      </c>
      <c r="J28" s="16" t="str">
        <v>—</v>
      </c>
      <c r="K28" s="16" t="str">
        <v>—</v>
      </c>
      <c r="L28" s="16" t="str">
        <v>—</v>
      </c>
      <c r="M28" s="16" t="str">
        <v>Normal</v>
      </c>
      <c r="N28" s="16" t="str">
        <v>638 × 550</v>
      </c>
      <c r="O28" s="16" t="str">
        <v>638 × 549,55</v>
      </c>
      <c r="P28" s="17" t="str">
        <v>—</v>
      </c>
    </row>
    <row r="29" ht="28.799999237060547">
      <c r="A29" s="16" t="str">
        <v>Cocina</v>
      </c>
      <c r="B29" s="16" t="str">
        <v>P023</v>
      </c>
      <c r="C29" s="16" t="str">
        <v>B5 Lavaplatos 70</v>
      </c>
      <c r="D29" s="17" t="str">
        <v>Lateral</v>
      </c>
      <c r="E29" s="16" t="str">
        <v>Melamina Cartagena RH 15</v>
      </c>
      <c r="F29" s="16" t="n">
        <v>2</v>
      </c>
      <c r="G29" s="16" t="n">
        <v>785</v>
      </c>
      <c r="H29" s="16" t="n">
        <v>580</v>
      </c>
      <c r="I29" s="16" t="str">
        <v>F</v>
      </c>
      <c r="J29" s="16" t="str">
        <v>—</v>
      </c>
      <c r="K29" s="16" t="str">
        <v>F</v>
      </c>
      <c r="L29" s="16" t="str">
        <v>—</v>
      </c>
      <c r="M29" s="16" t="str">
        <v>Normal</v>
      </c>
      <c r="N29" s="16" t="str">
        <v>785 × 580</v>
      </c>
      <c r="O29" s="16" t="str">
        <v>784,55 × 579,55</v>
      </c>
      <c r="P29" s="17" t="str">
        <v>Rebaje para la gola en el armado, cuando se defina el borde del granito; no lo hace el proveedor.</v>
      </c>
    </row>
    <row r="30">
      <c r="A30" s="16" t="str">
        <v>Cocina</v>
      </c>
      <c r="B30" s="16" t="str">
        <v>P024</v>
      </c>
      <c r="C30" s="16" t="str">
        <v>B5 Lavaplatos 70</v>
      </c>
      <c r="D30" s="17" t="str">
        <v>Piso</v>
      </c>
      <c r="E30" s="16" t="str">
        <v>Melamina Cartagena RH 15</v>
      </c>
      <c r="F30" s="16" t="n">
        <v>1</v>
      </c>
      <c r="G30" s="16" t="n">
        <v>670</v>
      </c>
      <c r="H30" s="16" t="n">
        <v>580</v>
      </c>
      <c r="I30" s="16" t="str">
        <v>F</v>
      </c>
      <c r="J30" s="16" t="str">
        <v>—</v>
      </c>
      <c r="K30" s="16" t="str">
        <v>—</v>
      </c>
      <c r="L30" s="16" t="str">
        <v>—</v>
      </c>
      <c r="M30" s="16" t="str">
        <v>Normal</v>
      </c>
      <c r="N30" s="16" t="str">
        <v>670 × 580</v>
      </c>
      <c r="O30" s="16" t="str">
        <v>670 × 579,55</v>
      </c>
      <c r="P30" s="17" t="str">
        <v>—</v>
      </c>
    </row>
    <row r="31" ht="43.20000076293945">
      <c r="A31" s="16" t="str">
        <v>Cocina</v>
      </c>
      <c r="B31" s="16" t="str">
        <v>P025</v>
      </c>
      <c r="C31" s="16" t="str">
        <v>B5 Lavaplatos 70</v>
      </c>
      <c r="D31" s="17" t="str">
        <v>Travesaño de canto</v>
      </c>
      <c r="E31" s="16" t="str">
        <v>Melamina Cartagena RH 15</v>
      </c>
      <c r="F31" s="16" t="n">
        <v>2</v>
      </c>
      <c r="G31" s="16" t="n">
        <v>670</v>
      </c>
      <c r="H31" s="16" t="n">
        <v>100</v>
      </c>
      <c r="I31" s="16" t="str">
        <v>F</v>
      </c>
      <c r="J31" s="16" t="str">
        <v>F</v>
      </c>
      <c r="K31" s="16" t="str">
        <v>F</v>
      </c>
      <c r="L31" s="16" t="str">
        <v>F</v>
      </c>
      <c r="M31" s="16" t="str">
        <v>Pequeña</v>
      </c>
      <c r="N31" s="16" t="str">
        <v>670 × 100</v>
      </c>
      <c r="O31" s="16" t="str">
        <v>669,1 × 99,1</v>
      </c>
      <c r="P31" s="17" t="str">
        <v>Si no la cantean: cortar a 669.1 × 99.1 y cantear en el armado. Rebaje para la gola en el armado, cuando se defina el borde del granito; no lo hace el proveedor.</v>
      </c>
    </row>
    <row r="32">
      <c r="A32" s="16" t="str">
        <v>Cocina</v>
      </c>
      <c r="B32" s="16" t="str">
        <v>P026</v>
      </c>
      <c r="C32" s="16" t="str">
        <v>B5 Lavaplatos 70</v>
      </c>
      <c r="D32" s="17" t="str">
        <v>Fondo clavado atrás</v>
      </c>
      <c r="E32" s="16" t="str">
        <v>Fondo melamina 6</v>
      </c>
      <c r="F32" s="16" t="n">
        <v>1</v>
      </c>
      <c r="G32" s="16" t="n">
        <v>696</v>
      </c>
      <c r="H32" s="16" t="n">
        <v>781</v>
      </c>
      <c r="I32" s="16" t="str">
        <v>—</v>
      </c>
      <c r="J32" s="16" t="str">
        <v>—</v>
      </c>
      <c r="K32" s="16" t="str">
        <v>—</v>
      </c>
      <c r="L32" s="16" t="str">
        <v>—</v>
      </c>
      <c r="M32" s="16" t="str">
        <v>Sin canto</v>
      </c>
      <c r="N32" s="16" t="str">
        <v>696 × 781</v>
      </c>
      <c r="O32" s="16" t="str">
        <v>696 × 781</v>
      </c>
      <c r="P32" s="17" t="str">
        <v>—</v>
      </c>
    </row>
    <row r="33">
      <c r="A33" s="16" t="str">
        <v>Cocina</v>
      </c>
      <c r="B33" s="16" t="str">
        <v>P027</v>
      </c>
      <c r="C33" s="16" t="str">
        <v>B5 Lavaplatos 70</v>
      </c>
      <c r="D33" s="17" t="str">
        <v>Puerta izquierda</v>
      </c>
      <c r="E33" s="16" t="str">
        <v>Melamina Cartagena RH 15</v>
      </c>
      <c r="F33" s="16" t="n">
        <v>1</v>
      </c>
      <c r="G33" s="16" t="n">
        <v>732</v>
      </c>
      <c r="H33" s="16" t="n">
        <v>347</v>
      </c>
      <c r="I33" s="16" t="str">
        <v>R</v>
      </c>
      <c r="J33" s="16" t="str">
        <v>R</v>
      </c>
      <c r="K33" s="16" t="str">
        <v>R</v>
      </c>
      <c r="L33" s="16" t="str">
        <v>R</v>
      </c>
      <c r="M33" s="16" t="str">
        <v>Normal</v>
      </c>
      <c r="N33" s="16" t="str">
        <v>732 × 347</v>
      </c>
      <c r="O33" s="16" t="str">
        <v>728 × 343</v>
      </c>
      <c r="P33" s="17" t="str">
        <v>—</v>
      </c>
    </row>
    <row r="34">
      <c r="A34" s="16" t="str">
        <v>Cocina</v>
      </c>
      <c r="B34" s="16" t="str">
        <v>P028</v>
      </c>
      <c r="C34" s="16" t="str">
        <v>B5 Lavaplatos 70</v>
      </c>
      <c r="D34" s="17" t="str">
        <v>Puerta derecha</v>
      </c>
      <c r="E34" s="16" t="str">
        <v>Melamina Cartagena RH 15</v>
      </c>
      <c r="F34" s="16" t="n">
        <v>1</v>
      </c>
      <c r="G34" s="16" t="n">
        <v>732</v>
      </c>
      <c r="H34" s="16" t="n">
        <v>347</v>
      </c>
      <c r="I34" s="16" t="str">
        <v>R</v>
      </c>
      <c r="J34" s="16" t="str">
        <v>R</v>
      </c>
      <c r="K34" s="16" t="str">
        <v>R</v>
      </c>
      <c r="L34" s="16" t="str">
        <v>R</v>
      </c>
      <c r="M34" s="16" t="str">
        <v>Normal</v>
      </c>
      <c r="N34" s="16" t="str">
        <v>732 × 347</v>
      </c>
      <c r="O34" s="16" t="str">
        <v>728 × 343</v>
      </c>
      <c r="P34" s="17" t="str">
        <v>—</v>
      </c>
    </row>
    <row r="35" ht="28.799999237060547">
      <c r="A35" s="16" t="str">
        <v>Cocina</v>
      </c>
      <c r="B35" s="16" t="str">
        <v>P029</v>
      </c>
      <c r="C35" s="16" t="str">
        <v>B5 Lavaplatos 70</v>
      </c>
      <c r="D35" s="17" t="str">
        <v>Entrepaño desmontable; recortar sifón en obra</v>
      </c>
      <c r="E35" s="16" t="str">
        <v>Melamina Cartagena RH 15</v>
      </c>
      <c r="F35" s="16" t="n">
        <v>1</v>
      </c>
      <c r="G35" s="16" t="n">
        <v>668</v>
      </c>
      <c r="H35" s="16" t="n">
        <v>520</v>
      </c>
      <c r="I35" s="16" t="str">
        <v>F</v>
      </c>
      <c r="J35" s="16" t="str">
        <v>F</v>
      </c>
      <c r="K35" s="16" t="str">
        <v>F</v>
      </c>
      <c r="L35" s="16" t="str">
        <v>F</v>
      </c>
      <c r="M35" s="16" t="str">
        <v>Normal</v>
      </c>
      <c r="N35" s="16" t="str">
        <v>668 × 520</v>
      </c>
      <c r="O35" s="16" t="str">
        <v>667,1 × 519,1</v>
      </c>
      <c r="P35" s="17" t="str">
        <v>P029: flexible 0,45 mm en los cuatro bordes. Recorte de sifón y tuberías en obra: sellar el corte.</v>
      </c>
    </row>
    <row r="36" ht="28.799999237060547">
      <c r="A36" s="16" t="str">
        <v>Cocina</v>
      </c>
      <c r="B36" s="16" t="str">
        <v>P030</v>
      </c>
      <c r="C36" s="16" t="str">
        <v>B4 Basurero y puerta 40</v>
      </c>
      <c r="D36" s="17" t="str">
        <v>Lateral</v>
      </c>
      <c r="E36" s="16" t="str">
        <v>Melamina Cartagena RH 15</v>
      </c>
      <c r="F36" s="16" t="n">
        <v>2</v>
      </c>
      <c r="G36" s="16" t="n">
        <v>785</v>
      </c>
      <c r="H36" s="16" t="n">
        <v>580</v>
      </c>
      <c r="I36" s="16" t="str">
        <v>F</v>
      </c>
      <c r="J36" s="16" t="str">
        <v>—</v>
      </c>
      <c r="K36" s="16" t="str">
        <v>F</v>
      </c>
      <c r="L36" s="16" t="str">
        <v>—</v>
      </c>
      <c r="M36" s="16" t="str">
        <v>Normal</v>
      </c>
      <c r="N36" s="16" t="str">
        <v>785 × 580</v>
      </c>
      <c r="O36" s="16" t="str">
        <v>784,55 × 579,55</v>
      </c>
      <c r="P36" s="17" t="str">
        <v>Rebaje para la gola en el armado, cuando se defina el borde del granito; no lo hace el proveedor.</v>
      </c>
    </row>
    <row r="37">
      <c r="A37" s="16" t="str">
        <v>Cocina</v>
      </c>
      <c r="B37" s="16" t="str">
        <v>P031</v>
      </c>
      <c r="C37" s="16" t="str">
        <v>B4 Basurero y puerta 40</v>
      </c>
      <c r="D37" s="17" t="str">
        <v>Piso</v>
      </c>
      <c r="E37" s="16" t="str">
        <v>Melamina Cartagena RH 15</v>
      </c>
      <c r="F37" s="16" t="n">
        <v>1</v>
      </c>
      <c r="G37" s="16" t="n">
        <v>370</v>
      </c>
      <c r="H37" s="16" t="n">
        <v>580</v>
      </c>
      <c r="I37" s="16" t="str">
        <v>F</v>
      </c>
      <c r="J37" s="16" t="str">
        <v>—</v>
      </c>
      <c r="K37" s="16" t="str">
        <v>—</v>
      </c>
      <c r="L37" s="16" t="str">
        <v>—</v>
      </c>
      <c r="M37" s="16" t="str">
        <v>Normal</v>
      </c>
      <c r="N37" s="16" t="str">
        <v>370 × 580</v>
      </c>
      <c r="O37" s="16" t="str">
        <v>370 × 579,55</v>
      </c>
      <c r="P37" s="17" t="str">
        <v>—</v>
      </c>
    </row>
    <row r="38" ht="43.20000076293945">
      <c r="A38" s="16" t="str">
        <v>Cocina</v>
      </c>
      <c r="B38" s="16" t="str">
        <v>P032</v>
      </c>
      <c r="C38" s="16" t="str">
        <v>B4 Basurero y puerta 40</v>
      </c>
      <c r="D38" s="17" t="str">
        <v>Travesaño horizontal</v>
      </c>
      <c r="E38" s="16" t="str">
        <v>Melamina Cartagena RH 15</v>
      </c>
      <c r="F38" s="16" t="n">
        <v>2</v>
      </c>
      <c r="G38" s="16" t="n">
        <v>370</v>
      </c>
      <c r="H38" s="16" t="n">
        <v>100</v>
      </c>
      <c r="I38" s="16" t="str">
        <v>F</v>
      </c>
      <c r="J38" s="16" t="str">
        <v>F</v>
      </c>
      <c r="K38" s="16" t="str">
        <v>—</v>
      </c>
      <c r="L38" s="16" t="str">
        <v>—</v>
      </c>
      <c r="M38" s="16" t="str">
        <v>Pequeña</v>
      </c>
      <c r="N38" s="16" t="str">
        <v>370 × 100</v>
      </c>
      <c r="O38" s="16" t="str">
        <v>370 × 99,1</v>
      </c>
      <c r="P38" s="17" t="str">
        <v>Si no la cantean: cortar a 370 × 99.1 y cantear en el armado. Rebaje para la gola en el armado, cuando se defina el borde del granito; no lo hace el proveedor.</v>
      </c>
    </row>
    <row r="39">
      <c r="A39" s="16" t="str">
        <v>Cocina</v>
      </c>
      <c r="B39" s="16" t="str">
        <v>P033</v>
      </c>
      <c r="C39" s="16" t="str">
        <v>B4 Basurero y puerta 40</v>
      </c>
      <c r="D39" s="17" t="str">
        <v>Fondo clavado atrás</v>
      </c>
      <c r="E39" s="16" t="str">
        <v>Fondo melamina 6</v>
      </c>
      <c r="F39" s="16" t="n">
        <v>1</v>
      </c>
      <c r="G39" s="16" t="n">
        <v>396</v>
      </c>
      <c r="H39" s="16" t="n">
        <v>781</v>
      </c>
      <c r="I39" s="16" t="str">
        <v>—</v>
      </c>
      <c r="J39" s="16" t="str">
        <v>—</v>
      </c>
      <c r="K39" s="16" t="str">
        <v>—</v>
      </c>
      <c r="L39" s="16" t="str">
        <v>—</v>
      </c>
      <c r="M39" s="16" t="str">
        <v>Sin canto</v>
      </c>
      <c r="N39" s="16" t="str">
        <v>396 × 781</v>
      </c>
      <c r="O39" s="16" t="str">
        <v>396 × 781</v>
      </c>
      <c r="P39" s="17" t="str">
        <v>—</v>
      </c>
    </row>
    <row r="40" ht="28.799999237060547">
      <c r="A40" s="16" t="str">
        <v>Cocina</v>
      </c>
      <c r="B40" s="16" t="str">
        <v>P034</v>
      </c>
      <c r="C40" s="16" t="str">
        <v>B4 Basurero y puerta 40</v>
      </c>
      <c r="D40" s="17" t="str">
        <v>Entrepaño FIJO separador superior/basurero</v>
      </c>
      <c r="E40" s="16" t="str">
        <v>Melamina Cartagena RH 15</v>
      </c>
      <c r="F40" s="16" t="n">
        <v>1</v>
      </c>
      <c r="G40" s="16" t="n">
        <v>370</v>
      </c>
      <c r="H40" s="16" t="n">
        <v>550</v>
      </c>
      <c r="I40" s="16" t="str">
        <v>F</v>
      </c>
      <c r="J40" s="16" t="str">
        <v>—</v>
      </c>
      <c r="K40" s="16" t="str">
        <v>—</v>
      </c>
      <c r="L40" s="16" t="str">
        <v>—</v>
      </c>
      <c r="M40" s="16" t="str">
        <v>Normal</v>
      </c>
      <c r="N40" s="16" t="str">
        <v>370 × 550</v>
      </c>
      <c r="O40" s="16" t="str">
        <v>370 × 549,55</v>
      </c>
      <c r="P40" s="17" t="str">
        <v>Rebaje para la gola en el armado, cuando se defina el borde del granito; no lo hace el proveedor.</v>
      </c>
    </row>
    <row r="41">
      <c r="A41" s="16" t="str">
        <v>Cocina</v>
      </c>
      <c r="B41" s="16" t="str">
        <v>P035</v>
      </c>
      <c r="C41" s="16" t="str">
        <v>B4 Basurero y puerta 40</v>
      </c>
      <c r="D41" s="17" t="str">
        <v>Puerta superior</v>
      </c>
      <c r="E41" s="16" t="str">
        <v>Melamina Cartagena RH 15</v>
      </c>
      <c r="F41" s="16" t="n">
        <v>1</v>
      </c>
      <c r="G41" s="16" t="n">
        <v>402</v>
      </c>
      <c r="H41" s="16" t="n">
        <v>397</v>
      </c>
      <c r="I41" s="16" t="str">
        <v>R</v>
      </c>
      <c r="J41" s="16" t="str">
        <v>R</v>
      </c>
      <c r="K41" s="16" t="str">
        <v>R</v>
      </c>
      <c r="L41" s="16" t="str">
        <v>R</v>
      </c>
      <c r="M41" s="16" t="str">
        <v>Normal</v>
      </c>
      <c r="N41" s="16" t="str">
        <v>402 × 397</v>
      </c>
      <c r="O41" s="16" t="str">
        <v>398 × 393</v>
      </c>
      <c r="P41" s="17" t="str">
        <v>—</v>
      </c>
    </row>
    <row r="42">
      <c r="A42" s="16" t="str">
        <v>Cocina</v>
      </c>
      <c r="B42" s="16" t="str">
        <v>P036</v>
      </c>
      <c r="C42" s="16" t="str">
        <v>B4 Basurero y puerta 40</v>
      </c>
      <c r="D42" s="17" t="str">
        <v>Frente inferior extraíble basurero</v>
      </c>
      <c r="E42" s="16" t="str">
        <v>Melamina Cartagena RH 15</v>
      </c>
      <c r="F42" s="16" t="n">
        <v>1</v>
      </c>
      <c r="G42" s="16" t="n">
        <v>302</v>
      </c>
      <c r="H42" s="16" t="n">
        <v>397</v>
      </c>
      <c r="I42" s="16" t="str">
        <v>R</v>
      </c>
      <c r="J42" s="16" t="str">
        <v>R</v>
      </c>
      <c r="K42" s="16" t="str">
        <v>R</v>
      </c>
      <c r="L42" s="16" t="str">
        <v>R</v>
      </c>
      <c r="M42" s="16" t="str">
        <v>Normal</v>
      </c>
      <c r="N42" s="16" t="str">
        <v>302 × 397</v>
      </c>
      <c r="O42" s="16" t="str">
        <v>298 × 393</v>
      </c>
      <c r="P42" s="17" t="str">
        <v>—</v>
      </c>
    </row>
    <row r="43">
      <c r="A43" s="16" t="str">
        <v>Cocina</v>
      </c>
      <c r="B43" s="16" t="str">
        <v>P037</v>
      </c>
      <c r="C43" s="16" t="str">
        <v>B6 Terminación</v>
      </c>
      <c r="D43" s="17" t="str">
        <v>Costado de terminación</v>
      </c>
      <c r="E43" s="16" t="str">
        <v>Melamina Cartagena RH 15</v>
      </c>
      <c r="F43" s="16" t="n">
        <v>1</v>
      </c>
      <c r="G43" s="16" t="n">
        <v>882</v>
      </c>
      <c r="H43" s="16" t="n">
        <v>595</v>
      </c>
      <c r="I43" s="16" t="str">
        <v>R</v>
      </c>
      <c r="J43" s="16" t="str">
        <v>—</v>
      </c>
      <c r="K43" s="16" t="str">
        <v>R</v>
      </c>
      <c r="L43" s="16" t="str">
        <v>—</v>
      </c>
      <c r="M43" s="16" t="str">
        <v>Normal</v>
      </c>
      <c r="N43" s="16" t="str">
        <v>882 × 595</v>
      </c>
      <c r="O43" s="16" t="str">
        <v>880 × 593</v>
      </c>
      <c r="P43" s="17" t="str">
        <v>—</v>
      </c>
    </row>
    <row r="44">
      <c r="A44" s="16" t="str">
        <v>Cocina</v>
      </c>
      <c r="B44" s="16" t="str">
        <v>P038</v>
      </c>
      <c r="C44" s="16" t="str">
        <v>B6 Terminación</v>
      </c>
      <c r="D44" s="17" t="str">
        <v>Zócalo retranqueado (dos tramos)</v>
      </c>
      <c r="E44" s="16" t="str">
        <v>Melamina Cartagena RH 15</v>
      </c>
      <c r="F44" s="16" t="n">
        <v>2</v>
      </c>
      <c r="G44" s="16" t="n">
        <v>1275</v>
      </c>
      <c r="H44" s="16" t="n">
        <v>97</v>
      </c>
      <c r="I44" s="16" t="str">
        <v>F</v>
      </c>
      <c r="J44" s="16" t="str">
        <v>F</v>
      </c>
      <c r="K44" s="16" t="str">
        <v>F</v>
      </c>
      <c r="L44" s="16" t="str">
        <v>F</v>
      </c>
      <c r="M44" s="16" t="str">
        <v>Pequeña</v>
      </c>
      <c r="N44" s="16" t="str">
        <v>1275 × 97</v>
      </c>
      <c r="O44" s="16" t="str">
        <v>1274,1 × 96,1</v>
      </c>
      <c r="P44" s="17" t="str">
        <v>Si no la cantean: cortar a 1274.1 × 96.1 y cantear en el armado.</v>
      </c>
    </row>
    <row r="45">
      <c r="A45" s="16" t="str">
        <v>Cocina</v>
      </c>
      <c r="B45" s="16" t="str">
        <v>P039</v>
      </c>
      <c r="C45" s="16" t="str">
        <v>S1 Alacena 19,5</v>
      </c>
      <c r="D45" s="17" t="str">
        <v>Lateral</v>
      </c>
      <c r="E45" s="16" t="str">
        <v>Melamina Cartagena RH 15</v>
      </c>
      <c r="F45" s="16" t="n">
        <v>2</v>
      </c>
      <c r="G45" s="16" t="n">
        <v>700</v>
      </c>
      <c r="H45" s="16" t="n">
        <v>320</v>
      </c>
      <c r="I45" s="16" t="str">
        <v>F</v>
      </c>
      <c r="J45" s="16" t="str">
        <v>—</v>
      </c>
      <c r="K45" s="16" t="str">
        <v>F</v>
      </c>
      <c r="L45" s="16" t="str">
        <v>F</v>
      </c>
      <c r="M45" s="16" t="str">
        <v>Normal</v>
      </c>
      <c r="N45" s="16" t="str">
        <v>700 × 320</v>
      </c>
      <c r="O45" s="16" t="str">
        <v>699,1 × 319,55</v>
      </c>
      <c r="P45" s="17" t="str">
        <v>—</v>
      </c>
    </row>
    <row r="46">
      <c r="A46" s="16" t="str">
        <v>Cocina</v>
      </c>
      <c r="B46" s="16" t="str">
        <v>P040</v>
      </c>
      <c r="C46" s="16" t="str">
        <v>S1 Alacena 19,5</v>
      </c>
      <c r="D46" s="17" t="str">
        <v>Techo</v>
      </c>
      <c r="E46" s="16" t="str">
        <v>Melamina Cartagena RH 15</v>
      </c>
      <c r="F46" s="16" t="n">
        <v>1</v>
      </c>
      <c r="G46" s="16" t="n">
        <v>165</v>
      </c>
      <c r="H46" s="16" t="n">
        <v>320</v>
      </c>
      <c r="I46" s="16" t="str">
        <v>F</v>
      </c>
      <c r="J46" s="16" t="str">
        <v>—</v>
      </c>
      <c r="K46" s="16" t="str">
        <v>—</v>
      </c>
      <c r="L46" s="16" t="str">
        <v>—</v>
      </c>
      <c r="M46" s="16" t="str">
        <v>Normal</v>
      </c>
      <c r="N46" s="16" t="str">
        <v>165 × 320</v>
      </c>
      <c r="O46" s="16" t="str">
        <v>165 × 319,55</v>
      </c>
      <c r="P46" s="17" t="str">
        <v>—</v>
      </c>
    </row>
    <row r="47">
      <c r="A47" s="16" t="str">
        <v>Cocina</v>
      </c>
      <c r="B47" s="16" t="str">
        <v>P041</v>
      </c>
      <c r="C47" s="16" t="str">
        <v>S1 Alacena 19,5</v>
      </c>
      <c r="D47" s="17" t="str">
        <v>Piso</v>
      </c>
      <c r="E47" s="16" t="str">
        <v>Melamina Cartagena RH 15</v>
      </c>
      <c r="F47" s="16" t="n">
        <v>1</v>
      </c>
      <c r="G47" s="16" t="n">
        <v>165</v>
      </c>
      <c r="H47" s="16" t="n">
        <v>320</v>
      </c>
      <c r="I47" s="16" t="str">
        <v>F</v>
      </c>
      <c r="J47" s="16" t="str">
        <v>—</v>
      </c>
      <c r="K47" s="16" t="str">
        <v>—</v>
      </c>
      <c r="L47" s="16" t="str">
        <v>—</v>
      </c>
      <c r="M47" s="16" t="str">
        <v>Normal</v>
      </c>
      <c r="N47" s="16" t="str">
        <v>165 × 320</v>
      </c>
      <c r="O47" s="16" t="str">
        <v>165 × 319,55</v>
      </c>
      <c r="P47" s="17" t="str">
        <v>—</v>
      </c>
    </row>
    <row r="48">
      <c r="A48" s="16" t="str">
        <v>Cocina</v>
      </c>
      <c r="B48" s="16" t="str">
        <v>P042</v>
      </c>
      <c r="C48" s="16" t="str">
        <v>S1 Alacena 19,5</v>
      </c>
      <c r="D48" s="17" t="str">
        <v>Fondo</v>
      </c>
      <c r="E48" s="16" t="str">
        <v>Fondo melamina 6</v>
      </c>
      <c r="F48" s="16" t="n">
        <v>1</v>
      </c>
      <c r="G48" s="16" t="n">
        <v>191</v>
      </c>
      <c r="H48" s="16" t="n">
        <v>696</v>
      </c>
      <c r="I48" s="16" t="str">
        <v>—</v>
      </c>
      <c r="J48" s="16" t="str">
        <v>—</v>
      </c>
      <c r="K48" s="16" t="str">
        <v>—</v>
      </c>
      <c r="L48" s="16" t="str">
        <v>—</v>
      </c>
      <c r="M48" s="16" t="str">
        <v>Sin canto</v>
      </c>
      <c r="N48" s="16" t="str">
        <v>191 × 696</v>
      </c>
      <c r="O48" s="16" t="str">
        <v>191 × 696</v>
      </c>
      <c r="P48" s="17" t="str">
        <v>—</v>
      </c>
    </row>
    <row r="49">
      <c r="A49" s="16" t="str">
        <v>Cocina</v>
      </c>
      <c r="B49" s="16" t="str">
        <v>P043</v>
      </c>
      <c r="C49" s="16" t="str">
        <v>S1 Alacena 19,5</v>
      </c>
      <c r="D49" s="17" t="str">
        <v>Entrepaño regulable</v>
      </c>
      <c r="E49" s="16" t="str">
        <v>Melamina Cartagena RH 15</v>
      </c>
      <c r="F49" s="16" t="n">
        <v>1</v>
      </c>
      <c r="G49" s="16" t="n">
        <v>163</v>
      </c>
      <c r="H49" s="16" t="n">
        <v>300</v>
      </c>
      <c r="I49" s="16" t="str">
        <v>F</v>
      </c>
      <c r="J49" s="16" t="str">
        <v>—</v>
      </c>
      <c r="K49" s="16" t="str">
        <v>—</v>
      </c>
      <c r="L49" s="16" t="str">
        <v>—</v>
      </c>
      <c r="M49" s="16" t="str">
        <v>Normal</v>
      </c>
      <c r="N49" s="16" t="str">
        <v>163 × 300</v>
      </c>
      <c r="O49" s="16" t="str">
        <v>163 × 299,55</v>
      </c>
      <c r="P49" s="17" t="str">
        <v>—</v>
      </c>
    </row>
    <row r="50">
      <c r="A50" s="16" t="str">
        <v>Cocina</v>
      </c>
      <c r="B50" s="16" t="str">
        <v>P044</v>
      </c>
      <c r="C50" s="16" t="str">
        <v>S1 Alacena 19,5</v>
      </c>
      <c r="D50" s="17" t="str">
        <v>Puerta</v>
      </c>
      <c r="E50" s="16" t="str">
        <v>Melamina Cartagena RH 15</v>
      </c>
      <c r="F50" s="16" t="n">
        <v>1</v>
      </c>
      <c r="G50" s="16" t="n">
        <v>717</v>
      </c>
      <c r="H50" s="16" t="n">
        <v>192</v>
      </c>
      <c r="I50" s="16" t="str">
        <v>R</v>
      </c>
      <c r="J50" s="16" t="str">
        <v>R</v>
      </c>
      <c r="K50" s="16" t="str">
        <v>R</v>
      </c>
      <c r="L50" s="16" t="str">
        <v>R</v>
      </c>
      <c r="M50" s="16" t="str">
        <v>Normal</v>
      </c>
      <c r="N50" s="16" t="str">
        <v>717 × 192</v>
      </c>
      <c r="O50" s="16" t="str">
        <v>713 × 188</v>
      </c>
      <c r="P50" s="17" t="str">
        <v>—</v>
      </c>
    </row>
    <row r="51">
      <c r="A51" s="16" t="str">
        <v>Cocina</v>
      </c>
      <c r="B51" s="16" t="str">
        <v>P045</v>
      </c>
      <c r="C51" s="16" t="str">
        <v>S2 Gabinete ducto 60</v>
      </c>
      <c r="D51" s="17" t="str">
        <v>Lateral</v>
      </c>
      <c r="E51" s="16" t="str">
        <v>Melamina Cartagena RH 15</v>
      </c>
      <c r="F51" s="16" t="n">
        <v>2</v>
      </c>
      <c r="G51" s="16" t="n">
        <v>350</v>
      </c>
      <c r="H51" s="16" t="n">
        <v>320</v>
      </c>
      <c r="I51" s="16" t="str">
        <v>F</v>
      </c>
      <c r="J51" s="16" t="str">
        <v>—</v>
      </c>
      <c r="K51" s="16" t="str">
        <v>F</v>
      </c>
      <c r="L51" s="16" t="str">
        <v>F</v>
      </c>
      <c r="M51" s="16" t="str">
        <v>Normal</v>
      </c>
      <c r="N51" s="16" t="str">
        <v>350 × 320</v>
      </c>
      <c r="O51" s="16" t="str">
        <v>349,1 × 319,55</v>
      </c>
      <c r="P51" s="17" t="str">
        <v>—</v>
      </c>
    </row>
    <row r="52" ht="28.799999237060547">
      <c r="A52" s="16" t="str">
        <v>Cocina</v>
      </c>
      <c r="B52" s="16" t="str">
        <v>P046</v>
      </c>
      <c r="C52" s="16" t="str">
        <v>S2 Gabinete ducto 60</v>
      </c>
      <c r="D52" s="17" t="str">
        <v>Techo (perforar solo si el ducto sale hacia arriba; definir con manual)</v>
      </c>
      <c r="E52" s="16" t="str">
        <v>Melamina Cartagena RH 15</v>
      </c>
      <c r="F52" s="16" t="n">
        <v>1</v>
      </c>
      <c r="G52" s="16" t="n">
        <v>570</v>
      </c>
      <c r="H52" s="16" t="n">
        <v>320</v>
      </c>
      <c r="I52" s="16" t="str">
        <v>F</v>
      </c>
      <c r="J52" s="16" t="str">
        <v>—</v>
      </c>
      <c r="K52" s="16" t="str">
        <v>—</v>
      </c>
      <c r="L52" s="16" t="str">
        <v>—</v>
      </c>
      <c r="M52" s="16" t="str">
        <v>Normal</v>
      </c>
      <c r="N52" s="16" t="str">
        <v>570 × 320</v>
      </c>
      <c r="O52" s="16" t="str">
        <v>570 × 319,55</v>
      </c>
      <c r="P52" s="17" t="str">
        <v>Perforación del ducto en obra, según manual de la campana.</v>
      </c>
    </row>
    <row r="53" ht="43.20000076293945">
      <c r="A53" s="16" t="str">
        <v>Cocina</v>
      </c>
      <c r="B53" s="16" t="str">
        <v>P047</v>
      </c>
      <c r="C53" s="16" t="str">
        <v>S2 Gabinete ducto 60</v>
      </c>
      <c r="D53" s="17" t="str">
        <v>Piso elevado 40 mm para agarre inferior; perforar para ducto (diámetro y posición según manual de campana)</v>
      </c>
      <c r="E53" s="16" t="str">
        <v>Melamina Cartagena RH 15</v>
      </c>
      <c r="F53" s="16" t="n">
        <v>1</v>
      </c>
      <c r="G53" s="16" t="n">
        <v>570</v>
      </c>
      <c r="H53" s="16" t="n">
        <v>320</v>
      </c>
      <c r="I53" s="16" t="str">
        <v>F</v>
      </c>
      <c r="J53" s="16" t="str">
        <v>—</v>
      </c>
      <c r="K53" s="16" t="str">
        <v>—</v>
      </c>
      <c r="L53" s="16" t="str">
        <v>—</v>
      </c>
      <c r="M53" s="16" t="str">
        <v>Normal</v>
      </c>
      <c r="N53" s="16" t="str">
        <v>570 × 320</v>
      </c>
      <c r="O53" s="16" t="str">
        <v>570 × 319,55</v>
      </c>
      <c r="P53" s="17" t="str">
        <v>Perforación del ducto en obra, según manual de la campana.</v>
      </c>
    </row>
    <row r="54">
      <c r="A54" s="16" t="str">
        <v>Cocina</v>
      </c>
      <c r="B54" s="16" t="str">
        <v>P048</v>
      </c>
      <c r="C54" s="16" t="str">
        <v>S2 Gabinete ducto 60</v>
      </c>
      <c r="D54" s="17" t="str">
        <v>Fondo</v>
      </c>
      <c r="E54" s="16" t="str">
        <v>Fondo melamina 6</v>
      </c>
      <c r="F54" s="16" t="n">
        <v>1</v>
      </c>
      <c r="G54" s="16" t="n">
        <v>596</v>
      </c>
      <c r="H54" s="16" t="n">
        <v>346</v>
      </c>
      <c r="I54" s="16" t="str">
        <v>—</v>
      </c>
      <c r="J54" s="16" t="str">
        <v>—</v>
      </c>
      <c r="K54" s="16" t="str">
        <v>—</v>
      </c>
      <c r="L54" s="16" t="str">
        <v>—</v>
      </c>
      <c r="M54" s="16" t="str">
        <v>Sin canto</v>
      </c>
      <c r="N54" s="16" t="str">
        <v>596 × 346</v>
      </c>
      <c r="O54" s="16" t="str">
        <v>596 × 346</v>
      </c>
      <c r="P54" s="17" t="str">
        <v>—</v>
      </c>
    </row>
    <row r="55">
      <c r="A55" s="16" t="str">
        <v>Cocina</v>
      </c>
      <c r="B55" s="16" t="str">
        <v>P049</v>
      </c>
      <c r="C55" s="16" t="str">
        <v>S2 Gabinete ducto 60</v>
      </c>
      <c r="D55" s="17" t="str">
        <v>Puerta abatible superior</v>
      </c>
      <c r="E55" s="16" t="str">
        <v>Melamina Cartagena RH 15</v>
      </c>
      <c r="F55" s="16" t="n">
        <v>1</v>
      </c>
      <c r="G55" s="16" t="n">
        <v>347</v>
      </c>
      <c r="H55" s="16" t="n">
        <v>597</v>
      </c>
      <c r="I55" s="16" t="str">
        <v>R</v>
      </c>
      <c r="J55" s="16" t="str">
        <v>R</v>
      </c>
      <c r="K55" s="16" t="str">
        <v>R</v>
      </c>
      <c r="L55" s="16" t="str">
        <v>R</v>
      </c>
      <c r="M55" s="16" t="str">
        <v>Normal</v>
      </c>
      <c r="N55" s="16" t="str">
        <v>347 × 597</v>
      </c>
      <c r="O55" s="16" t="str">
        <v>343 × 593</v>
      </c>
      <c r="P55" s="17" t="str">
        <v>—</v>
      </c>
    </row>
    <row r="56" ht="43.20000076293945">
      <c r="A56" s="16" t="str">
        <v>Cocina</v>
      </c>
      <c r="B56" s="16" t="str">
        <v>P071</v>
      </c>
      <c r="C56" s="16" t="str">
        <v>S2 Gabinete ducto 60</v>
      </c>
      <c r="D56" s="17" t="str">
        <v>Faja retranqueada de agarre sobre campana</v>
      </c>
      <c r="E56" s="16" t="str">
        <v>Melamina Cartagena RH 15</v>
      </c>
      <c r="F56" s="16" t="n">
        <v>1</v>
      </c>
      <c r="G56" s="16" t="n">
        <v>570</v>
      </c>
      <c r="H56" s="16" t="n">
        <v>60</v>
      </c>
      <c r="I56" s="16" t="str">
        <v>F</v>
      </c>
      <c r="J56" s="16" t="str">
        <v>F</v>
      </c>
      <c r="K56" s="16" t="str">
        <v>F</v>
      </c>
      <c r="L56" s="16" t="str">
        <v>F</v>
      </c>
      <c r="M56" s="16" t="str">
        <v>Pequeña</v>
      </c>
      <c r="N56" s="16" t="str">
        <v>570 × 60</v>
      </c>
      <c r="O56" s="16" t="str">
        <v>569,1 × 59,1</v>
      </c>
      <c r="P56" s="17" t="str">
        <v>Si no la cantean: cortar a 569.1 × 59.1 y cantear en el armado. P071: flexible 0,45 mm en los cuatro bordes. Confirmar cabida en canteadora; si la rechaza, cantear en taller con el descuento correspondiente.</v>
      </c>
    </row>
    <row r="57">
      <c r="A57" s="16" t="str">
        <v>Cocina</v>
      </c>
      <c r="B57" s="16" t="str">
        <v>P050</v>
      </c>
      <c r="C57" s="16" t="str">
        <v>S3 Alacena 65,5</v>
      </c>
      <c r="D57" s="17" t="str">
        <v>Lateral</v>
      </c>
      <c r="E57" s="16" t="str">
        <v>Melamina Cartagena RH 15</v>
      </c>
      <c r="F57" s="16" t="n">
        <v>2</v>
      </c>
      <c r="G57" s="16" t="n">
        <v>700</v>
      </c>
      <c r="H57" s="16" t="n">
        <v>320</v>
      </c>
      <c r="I57" s="16" t="str">
        <v>F</v>
      </c>
      <c r="J57" s="16" t="str">
        <v>—</v>
      </c>
      <c r="K57" s="16" t="str">
        <v>F</v>
      </c>
      <c r="L57" s="16" t="str">
        <v>F</v>
      </c>
      <c r="M57" s="16" t="str">
        <v>Normal</v>
      </c>
      <c r="N57" s="16" t="str">
        <v>700 × 320</v>
      </c>
      <c r="O57" s="16" t="str">
        <v>699,1 × 319,55</v>
      </c>
      <c r="P57" s="17" t="str">
        <v>—</v>
      </c>
    </row>
    <row r="58">
      <c r="A58" s="16" t="str">
        <v>Cocina</v>
      </c>
      <c r="B58" s="16" t="str">
        <v>P051</v>
      </c>
      <c r="C58" s="16" t="str">
        <v>S3 Alacena 65,5</v>
      </c>
      <c r="D58" s="17" t="str">
        <v>Techo</v>
      </c>
      <c r="E58" s="16" t="str">
        <v>Melamina Cartagena RH 15</v>
      </c>
      <c r="F58" s="16" t="n">
        <v>1</v>
      </c>
      <c r="G58" s="16" t="n">
        <v>625</v>
      </c>
      <c r="H58" s="16" t="n">
        <v>320</v>
      </c>
      <c r="I58" s="16" t="str">
        <v>F</v>
      </c>
      <c r="J58" s="16" t="str">
        <v>—</v>
      </c>
      <c r="K58" s="16" t="str">
        <v>—</v>
      </c>
      <c r="L58" s="16" t="str">
        <v>—</v>
      </c>
      <c r="M58" s="16" t="str">
        <v>Normal</v>
      </c>
      <c r="N58" s="16" t="str">
        <v>625 × 320</v>
      </c>
      <c r="O58" s="16" t="str">
        <v>625 × 319,55</v>
      </c>
      <c r="P58" s="17" t="str">
        <v>—</v>
      </c>
    </row>
    <row r="59">
      <c r="A59" s="16" t="str">
        <v>Cocina</v>
      </c>
      <c r="B59" s="16" t="str">
        <v>P052</v>
      </c>
      <c r="C59" s="16" t="str">
        <v>S3 Alacena 65,5</v>
      </c>
      <c r="D59" s="17" t="str">
        <v>Piso</v>
      </c>
      <c r="E59" s="16" t="str">
        <v>Melamina Cartagena RH 15</v>
      </c>
      <c r="F59" s="16" t="n">
        <v>1</v>
      </c>
      <c r="G59" s="16" t="n">
        <v>625</v>
      </c>
      <c r="H59" s="16" t="n">
        <v>320</v>
      </c>
      <c r="I59" s="16" t="str">
        <v>F</v>
      </c>
      <c r="J59" s="16" t="str">
        <v>—</v>
      </c>
      <c r="K59" s="16" t="str">
        <v>—</v>
      </c>
      <c r="L59" s="16" t="str">
        <v>—</v>
      </c>
      <c r="M59" s="16" t="str">
        <v>Normal</v>
      </c>
      <c r="N59" s="16" t="str">
        <v>625 × 320</v>
      </c>
      <c r="O59" s="16" t="str">
        <v>625 × 319,55</v>
      </c>
      <c r="P59" s="17" t="str">
        <v>—</v>
      </c>
    </row>
    <row r="60">
      <c r="A60" s="16" t="str">
        <v>Cocina</v>
      </c>
      <c r="B60" s="16" t="str">
        <v>P053</v>
      </c>
      <c r="C60" s="16" t="str">
        <v>S3 Alacena 65,5</v>
      </c>
      <c r="D60" s="17" t="str">
        <v>Fondo</v>
      </c>
      <c r="E60" s="16" t="str">
        <v>Fondo melamina 6</v>
      </c>
      <c r="F60" s="16" t="n">
        <v>1</v>
      </c>
      <c r="G60" s="16" t="n">
        <v>651</v>
      </c>
      <c r="H60" s="16" t="n">
        <v>696</v>
      </c>
      <c r="I60" s="16" t="str">
        <v>—</v>
      </c>
      <c r="J60" s="16" t="str">
        <v>—</v>
      </c>
      <c r="K60" s="16" t="str">
        <v>—</v>
      </c>
      <c r="L60" s="16" t="str">
        <v>—</v>
      </c>
      <c r="M60" s="16" t="str">
        <v>Sin canto</v>
      </c>
      <c r="N60" s="16" t="str">
        <v>651 × 696</v>
      </c>
      <c r="O60" s="16" t="str">
        <v>651 × 696</v>
      </c>
      <c r="P60" s="17" t="str">
        <v>—</v>
      </c>
    </row>
    <row r="61">
      <c r="A61" s="16" t="str">
        <v>Cocina</v>
      </c>
      <c r="B61" s="16" t="str">
        <v>P054</v>
      </c>
      <c r="C61" s="16" t="str">
        <v>S3 Alacena 65,5</v>
      </c>
      <c r="D61" s="17" t="str">
        <v>División vertical</v>
      </c>
      <c r="E61" s="16" t="str">
        <v>Melamina Cartagena RH 15</v>
      </c>
      <c r="F61" s="16" t="n">
        <v>1</v>
      </c>
      <c r="G61" s="16" t="n">
        <v>670</v>
      </c>
      <c r="H61" s="16" t="n">
        <v>320</v>
      </c>
      <c r="I61" s="16" t="str">
        <v>F</v>
      </c>
      <c r="J61" s="16" t="str">
        <v>—</v>
      </c>
      <c r="K61" s="16" t="str">
        <v>—</v>
      </c>
      <c r="L61" s="16" t="str">
        <v>—</v>
      </c>
      <c r="M61" s="16" t="str">
        <v>Normal</v>
      </c>
      <c r="N61" s="16" t="str">
        <v>670 × 320</v>
      </c>
      <c r="O61" s="16" t="str">
        <v>670 × 319,55</v>
      </c>
      <c r="P61" s="17" t="str">
        <v>—</v>
      </c>
    </row>
    <row r="62">
      <c r="A62" s="16" t="str">
        <v>Cocina</v>
      </c>
      <c r="B62" s="16" t="str">
        <v>P055</v>
      </c>
      <c r="C62" s="16" t="str">
        <v>S3 Alacena 65,5</v>
      </c>
      <c r="D62" s="17" t="str">
        <v>Entrepaño regulable</v>
      </c>
      <c r="E62" s="16" t="str">
        <v>Melamina Cartagena RH 15</v>
      </c>
      <c r="F62" s="16" t="n">
        <v>2</v>
      </c>
      <c r="G62" s="16" t="n">
        <v>303</v>
      </c>
      <c r="H62" s="16" t="n">
        <v>300</v>
      </c>
      <c r="I62" s="16" t="str">
        <v>F</v>
      </c>
      <c r="J62" s="16" t="str">
        <v>—</v>
      </c>
      <c r="K62" s="16" t="str">
        <v>—</v>
      </c>
      <c r="L62" s="16" t="str">
        <v>—</v>
      </c>
      <c r="M62" s="16" t="str">
        <v>Normal</v>
      </c>
      <c r="N62" s="16" t="str">
        <v>303 × 300</v>
      </c>
      <c r="O62" s="16" t="str">
        <v>303 × 299,55</v>
      </c>
      <c r="P62" s="17" t="str">
        <v>—</v>
      </c>
    </row>
    <row r="63">
      <c r="A63" s="16" t="str">
        <v>Cocina</v>
      </c>
      <c r="B63" s="16" t="str">
        <v>P056</v>
      </c>
      <c r="C63" s="16" t="str">
        <v>S3 Alacena 65,5</v>
      </c>
      <c r="D63" s="17" t="str">
        <v>Puerta izquierda</v>
      </c>
      <c r="E63" s="16" t="str">
        <v>Melamina Cartagena RH 15</v>
      </c>
      <c r="F63" s="16" t="n">
        <v>1</v>
      </c>
      <c r="G63" s="16" t="n">
        <v>717</v>
      </c>
      <c r="H63" s="16" t="n">
        <v>324.5</v>
      </c>
      <c r="I63" s="16" t="str">
        <v>R</v>
      </c>
      <c r="J63" s="16" t="str">
        <v>R</v>
      </c>
      <c r="K63" s="16" t="str">
        <v>R</v>
      </c>
      <c r="L63" s="16" t="str">
        <v>R</v>
      </c>
      <c r="M63" s="16" t="str">
        <v>Normal</v>
      </c>
      <c r="N63" s="16" t="str">
        <v>717 × 324.5</v>
      </c>
      <c r="O63" s="16" t="str">
        <v>713 × 320,5</v>
      </c>
      <c r="P63" s="17" t="str">
        <v>—</v>
      </c>
    </row>
    <row r="64">
      <c r="A64" s="16" t="str">
        <v>Cocina</v>
      </c>
      <c r="B64" s="16" t="str">
        <v>P057</v>
      </c>
      <c r="C64" s="16" t="str">
        <v>S3 Alacena 65,5</v>
      </c>
      <c r="D64" s="17" t="str">
        <v>Puerta derecha</v>
      </c>
      <c r="E64" s="16" t="str">
        <v>Melamina Cartagena RH 15</v>
      </c>
      <c r="F64" s="16" t="n">
        <v>1</v>
      </c>
      <c r="G64" s="16" t="n">
        <v>717</v>
      </c>
      <c r="H64" s="16" t="n">
        <v>324.5</v>
      </c>
      <c r="I64" s="16" t="str">
        <v>R</v>
      </c>
      <c r="J64" s="16" t="str">
        <v>R</v>
      </c>
      <c r="K64" s="16" t="str">
        <v>R</v>
      </c>
      <c r="L64" s="16" t="str">
        <v>R</v>
      </c>
      <c r="M64" s="16" t="str">
        <v>Normal</v>
      </c>
      <c r="N64" s="16" t="str">
        <v>717 × 324.5</v>
      </c>
      <c r="O64" s="16" t="str">
        <v>713 × 320,5</v>
      </c>
      <c r="P64" s="17" t="str">
        <v>—</v>
      </c>
    </row>
    <row r="65">
      <c r="A65" s="16" t="str">
        <v>Cocina</v>
      </c>
      <c r="B65" s="16" t="str">
        <v>P058</v>
      </c>
      <c r="C65" s="16" t="str">
        <v>S4 Platero 71,5</v>
      </c>
      <c r="D65" s="17" t="str">
        <v>Lateral</v>
      </c>
      <c r="E65" s="16" t="str">
        <v>Melamina Cartagena RH 15</v>
      </c>
      <c r="F65" s="16" t="n">
        <v>2</v>
      </c>
      <c r="G65" s="16" t="n">
        <v>700</v>
      </c>
      <c r="H65" s="16" t="n">
        <v>320</v>
      </c>
      <c r="I65" s="16" t="str">
        <v>F</v>
      </c>
      <c r="J65" s="16" t="str">
        <v>—</v>
      </c>
      <c r="K65" s="16" t="str">
        <v>F</v>
      </c>
      <c r="L65" s="16" t="str">
        <v>F</v>
      </c>
      <c r="M65" s="16" t="str">
        <v>Normal</v>
      </c>
      <c r="N65" s="16" t="str">
        <v>700 × 320</v>
      </c>
      <c r="O65" s="16" t="str">
        <v>699,1 × 319,55</v>
      </c>
      <c r="P65" s="17" t="str">
        <v>—</v>
      </c>
    </row>
    <row r="66">
      <c r="A66" s="16" t="str">
        <v>Cocina</v>
      </c>
      <c r="B66" s="16" t="str">
        <v>P059</v>
      </c>
      <c r="C66" s="16" t="str">
        <v>S4 Platero 71,5</v>
      </c>
      <c r="D66" s="17" t="str">
        <v>Techo</v>
      </c>
      <c r="E66" s="16" t="str">
        <v>Melamina Cartagena RH 15</v>
      </c>
      <c r="F66" s="16" t="n">
        <v>1</v>
      </c>
      <c r="G66" s="16" t="n">
        <v>685</v>
      </c>
      <c r="H66" s="16" t="n">
        <v>320</v>
      </c>
      <c r="I66" s="16" t="str">
        <v>F</v>
      </c>
      <c r="J66" s="16" t="str">
        <v>—</v>
      </c>
      <c r="K66" s="16" t="str">
        <v>—</v>
      </c>
      <c r="L66" s="16" t="str">
        <v>—</v>
      </c>
      <c r="M66" s="16" t="str">
        <v>Normal</v>
      </c>
      <c r="N66" s="16" t="str">
        <v>685 × 320</v>
      </c>
      <c r="O66" s="16" t="str">
        <v>685 × 319,55</v>
      </c>
      <c r="P66" s="17" t="str">
        <v>—</v>
      </c>
    </row>
    <row r="67">
      <c r="A67" s="16" t="str">
        <v>Cocina</v>
      </c>
      <c r="B67" s="16" t="str">
        <v>P060</v>
      </c>
      <c r="C67" s="16" t="str">
        <v>S4 Platero 71,5</v>
      </c>
      <c r="D67" s="17" t="str">
        <v>Listón inferior delantero</v>
      </c>
      <c r="E67" s="16" t="str">
        <v>Melamina Cartagena RH 15</v>
      </c>
      <c r="F67" s="16" t="n">
        <v>1</v>
      </c>
      <c r="G67" s="16" t="n">
        <v>685</v>
      </c>
      <c r="H67" s="16" t="n">
        <v>60</v>
      </c>
      <c r="I67" s="16" t="str">
        <v>F</v>
      </c>
      <c r="J67" s="16" t="str">
        <v>F</v>
      </c>
      <c r="K67" s="16" t="str">
        <v>F</v>
      </c>
      <c r="L67" s="16" t="str">
        <v>F</v>
      </c>
      <c r="M67" s="16" t="str">
        <v>Pequeña</v>
      </c>
      <c r="N67" s="16" t="str">
        <v>685 × 60</v>
      </c>
      <c r="O67" s="16" t="str">
        <v>684,1 × 59,1</v>
      </c>
      <c r="P67" s="17" t="str">
        <v>Si no la cantean: cortar a 684.1 × 59.1 y cantear en el armado.</v>
      </c>
    </row>
    <row r="68">
      <c r="A68" s="16" t="str">
        <v>Cocina</v>
      </c>
      <c r="B68" s="16" t="str">
        <v>P061</v>
      </c>
      <c r="C68" s="16" t="str">
        <v>S4 Platero 71,5</v>
      </c>
      <c r="D68" s="17" t="str">
        <v>Listón inferior trasero</v>
      </c>
      <c r="E68" s="16" t="str">
        <v>Melamina Cartagena RH 15</v>
      </c>
      <c r="F68" s="16" t="n">
        <v>1</v>
      </c>
      <c r="G68" s="16" t="n">
        <v>685</v>
      </c>
      <c r="H68" s="16" t="n">
        <v>80</v>
      </c>
      <c r="I68" s="16" t="str">
        <v>F</v>
      </c>
      <c r="J68" s="16" t="str">
        <v>F</v>
      </c>
      <c r="K68" s="16" t="str">
        <v>F</v>
      </c>
      <c r="L68" s="16" t="str">
        <v>F</v>
      </c>
      <c r="M68" s="16" t="str">
        <v>Pequeña</v>
      </c>
      <c r="N68" s="16" t="str">
        <v>685 × 80</v>
      </c>
      <c r="O68" s="16" t="str">
        <v>684,1 × 79,1</v>
      </c>
      <c r="P68" s="17" t="str">
        <v>Si no la cantean: cortar a 684.1 × 79.1 y cantear en el armado.</v>
      </c>
    </row>
    <row r="69">
      <c r="A69" s="16" t="str">
        <v>Cocina</v>
      </c>
      <c r="B69" s="16" t="str">
        <v>P062</v>
      </c>
      <c r="C69" s="16" t="str">
        <v>S4 Platero 71,5</v>
      </c>
      <c r="D69" s="17" t="str">
        <v>Fondo</v>
      </c>
      <c r="E69" s="16" t="str">
        <v>Fondo melamina 6</v>
      </c>
      <c r="F69" s="16" t="n">
        <v>1</v>
      </c>
      <c r="G69" s="16" t="n">
        <v>711</v>
      </c>
      <c r="H69" s="16" t="n">
        <v>696</v>
      </c>
      <c r="I69" s="16" t="str">
        <v>—</v>
      </c>
      <c r="J69" s="16" t="str">
        <v>—</v>
      </c>
      <c r="K69" s="16" t="str">
        <v>—</v>
      </c>
      <c r="L69" s="16" t="str">
        <v>—</v>
      </c>
      <c r="M69" s="16" t="str">
        <v>Sin canto</v>
      </c>
      <c r="N69" s="16" t="str">
        <v>711 × 696</v>
      </c>
      <c r="O69" s="16" t="str">
        <v>711 × 696</v>
      </c>
      <c r="P69" s="17" t="str">
        <v>—</v>
      </c>
    </row>
    <row r="70">
      <c r="A70" s="16" t="str">
        <v>Cocina</v>
      </c>
      <c r="B70" s="16" t="str">
        <v>P063</v>
      </c>
      <c r="C70" s="16" t="str">
        <v>S4 Platero 71,5</v>
      </c>
      <c r="D70" s="17" t="str">
        <v>Puerta izquierda</v>
      </c>
      <c r="E70" s="16" t="str">
        <v>Melamina Cartagena RH 15</v>
      </c>
      <c r="F70" s="16" t="n">
        <v>1</v>
      </c>
      <c r="G70" s="16" t="n">
        <v>717</v>
      </c>
      <c r="H70" s="16" t="n">
        <v>354.5</v>
      </c>
      <c r="I70" s="16" t="str">
        <v>R</v>
      </c>
      <c r="J70" s="16" t="str">
        <v>R</v>
      </c>
      <c r="K70" s="16" t="str">
        <v>R</v>
      </c>
      <c r="L70" s="16" t="str">
        <v>R</v>
      </c>
      <c r="M70" s="16" t="str">
        <v>Normal</v>
      </c>
      <c r="N70" s="16" t="str">
        <v>717 × 354.5</v>
      </c>
      <c r="O70" s="16" t="str">
        <v>713 × 350,5</v>
      </c>
      <c r="P70" s="17" t="str">
        <v>—</v>
      </c>
    </row>
    <row r="71">
      <c r="A71" s="16" t="str">
        <v>Cocina</v>
      </c>
      <c r="B71" s="16" t="str">
        <v>P064</v>
      </c>
      <c r="C71" s="16" t="str">
        <v>S4 Platero 71,5</v>
      </c>
      <c r="D71" s="17" t="str">
        <v>Puerta derecha</v>
      </c>
      <c r="E71" s="16" t="str">
        <v>Melamina Cartagena RH 15</v>
      </c>
      <c r="F71" s="16" t="n">
        <v>1</v>
      </c>
      <c r="G71" s="16" t="n">
        <v>717</v>
      </c>
      <c r="H71" s="16" t="n">
        <v>354.5</v>
      </c>
      <c r="I71" s="16" t="str">
        <v>R</v>
      </c>
      <c r="J71" s="16" t="str">
        <v>R</v>
      </c>
      <c r="K71" s="16" t="str">
        <v>R</v>
      </c>
      <c r="L71" s="16" t="str">
        <v>R</v>
      </c>
      <c r="M71" s="16" t="str">
        <v>Normal</v>
      </c>
      <c r="N71" s="16" t="str">
        <v>717 × 354.5</v>
      </c>
      <c r="O71" s="16" t="str">
        <v>713 × 350,5</v>
      </c>
      <c r="P71" s="17" t="str">
        <v>—</v>
      </c>
    </row>
    <row r="72">
      <c r="A72" s="16" t="str">
        <v>Cocina</v>
      </c>
      <c r="B72" s="16" t="str">
        <v>P065</v>
      </c>
      <c r="C72" s="16" t="str">
        <v>S5 Alacena 40</v>
      </c>
      <c r="D72" s="17" t="str">
        <v>Lateral</v>
      </c>
      <c r="E72" s="16" t="str">
        <v>Melamina Cartagena RH 15</v>
      </c>
      <c r="F72" s="16" t="n">
        <v>2</v>
      </c>
      <c r="G72" s="16" t="n">
        <v>700</v>
      </c>
      <c r="H72" s="16" t="n">
        <v>320</v>
      </c>
      <c r="I72" s="16" t="str">
        <v>F</v>
      </c>
      <c r="J72" s="16" t="str">
        <v>—</v>
      </c>
      <c r="K72" s="16" t="str">
        <v>F</v>
      </c>
      <c r="L72" s="16" t="str">
        <v>F</v>
      </c>
      <c r="M72" s="16" t="str">
        <v>Normal</v>
      </c>
      <c r="N72" s="16" t="str">
        <v>700 × 320</v>
      </c>
      <c r="O72" s="16" t="str">
        <v>699,1 × 319,55</v>
      </c>
      <c r="P72" s="17" t="str">
        <v>—</v>
      </c>
    </row>
    <row r="73">
      <c r="A73" s="16" t="str">
        <v>Cocina</v>
      </c>
      <c r="B73" s="16" t="str">
        <v>P066</v>
      </c>
      <c r="C73" s="16" t="str">
        <v>S5 Alacena 40</v>
      </c>
      <c r="D73" s="17" t="str">
        <v>Techo</v>
      </c>
      <c r="E73" s="16" t="str">
        <v>Melamina Cartagena RH 15</v>
      </c>
      <c r="F73" s="16" t="n">
        <v>1</v>
      </c>
      <c r="G73" s="16" t="n">
        <v>370</v>
      </c>
      <c r="H73" s="16" t="n">
        <v>320</v>
      </c>
      <c r="I73" s="16" t="str">
        <v>F</v>
      </c>
      <c r="J73" s="16" t="str">
        <v>—</v>
      </c>
      <c r="K73" s="16" t="str">
        <v>—</v>
      </c>
      <c r="L73" s="16" t="str">
        <v>—</v>
      </c>
      <c r="M73" s="16" t="str">
        <v>Normal</v>
      </c>
      <c r="N73" s="16" t="str">
        <v>370 × 320</v>
      </c>
      <c r="O73" s="16" t="str">
        <v>370 × 319,55</v>
      </c>
      <c r="P73" s="17" t="str">
        <v>—</v>
      </c>
    </row>
    <row r="74">
      <c r="A74" s="16" t="str">
        <v>Cocina</v>
      </c>
      <c r="B74" s="16" t="str">
        <v>P067</v>
      </c>
      <c r="C74" s="16" t="str">
        <v>S5 Alacena 40</v>
      </c>
      <c r="D74" s="17" t="str">
        <v>Piso</v>
      </c>
      <c r="E74" s="16" t="str">
        <v>Melamina Cartagena RH 15</v>
      </c>
      <c r="F74" s="16" t="n">
        <v>1</v>
      </c>
      <c r="G74" s="16" t="n">
        <v>370</v>
      </c>
      <c r="H74" s="16" t="n">
        <v>320</v>
      </c>
      <c r="I74" s="16" t="str">
        <v>F</v>
      </c>
      <c r="J74" s="16" t="str">
        <v>—</v>
      </c>
      <c r="K74" s="16" t="str">
        <v>—</v>
      </c>
      <c r="L74" s="16" t="str">
        <v>—</v>
      </c>
      <c r="M74" s="16" t="str">
        <v>Normal</v>
      </c>
      <c r="N74" s="16" t="str">
        <v>370 × 320</v>
      </c>
      <c r="O74" s="16" t="str">
        <v>370 × 319,55</v>
      </c>
      <c r="P74" s="17" t="str">
        <v>—</v>
      </c>
    </row>
    <row r="75">
      <c r="A75" s="16" t="str">
        <v>Cocina</v>
      </c>
      <c r="B75" s="16" t="str">
        <v>P068</v>
      </c>
      <c r="C75" s="16" t="str">
        <v>S5 Alacena 40</v>
      </c>
      <c r="D75" s="17" t="str">
        <v>Fondo</v>
      </c>
      <c r="E75" s="16" t="str">
        <v>Fondo melamina 6</v>
      </c>
      <c r="F75" s="16" t="n">
        <v>1</v>
      </c>
      <c r="G75" s="16" t="n">
        <v>396</v>
      </c>
      <c r="H75" s="16" t="n">
        <v>696</v>
      </c>
      <c r="I75" s="16" t="str">
        <v>—</v>
      </c>
      <c r="J75" s="16" t="str">
        <v>—</v>
      </c>
      <c r="K75" s="16" t="str">
        <v>—</v>
      </c>
      <c r="L75" s="16" t="str">
        <v>—</v>
      </c>
      <c r="M75" s="16" t="str">
        <v>Sin canto</v>
      </c>
      <c r="N75" s="16" t="str">
        <v>396 × 696</v>
      </c>
      <c r="O75" s="16" t="str">
        <v>396 × 696</v>
      </c>
      <c r="P75" s="17" t="str">
        <v>—</v>
      </c>
    </row>
    <row r="76">
      <c r="A76" s="16" t="str">
        <v>Cocina</v>
      </c>
      <c r="B76" s="16" t="str">
        <v>P069</v>
      </c>
      <c r="C76" s="16" t="str">
        <v>S5 Alacena 40</v>
      </c>
      <c r="D76" s="17" t="str">
        <v>Entrepaño regulable</v>
      </c>
      <c r="E76" s="16" t="str">
        <v>Melamina Cartagena RH 15</v>
      </c>
      <c r="F76" s="16" t="n">
        <v>1</v>
      </c>
      <c r="G76" s="16" t="n">
        <v>368</v>
      </c>
      <c r="H76" s="16" t="n">
        <v>300</v>
      </c>
      <c r="I76" s="16" t="str">
        <v>F</v>
      </c>
      <c r="J76" s="16" t="str">
        <v>—</v>
      </c>
      <c r="K76" s="16" t="str">
        <v>—</v>
      </c>
      <c r="L76" s="16" t="str">
        <v>—</v>
      </c>
      <c r="M76" s="16" t="str">
        <v>Normal</v>
      </c>
      <c r="N76" s="16" t="str">
        <v>368 × 300</v>
      </c>
      <c r="O76" s="16" t="str">
        <v>368 × 299,55</v>
      </c>
      <c r="P76" s="17" t="str">
        <v>—</v>
      </c>
    </row>
    <row r="77">
      <c r="A77" s="16" t="str">
        <v>Cocina</v>
      </c>
      <c r="B77" s="16" t="str">
        <v>P070</v>
      </c>
      <c r="C77" s="16" t="str">
        <v>S5 Alacena 40</v>
      </c>
      <c r="D77" s="17" t="str">
        <v>Puerta</v>
      </c>
      <c r="E77" s="16" t="str">
        <v>Melamina Cartagena RH 15</v>
      </c>
      <c r="F77" s="16" t="n">
        <v>1</v>
      </c>
      <c r="G77" s="16" t="n">
        <v>717</v>
      </c>
      <c r="H77" s="16" t="n">
        <v>397</v>
      </c>
      <c r="I77" s="16" t="str">
        <v>R</v>
      </c>
      <c r="J77" s="16" t="str">
        <v>R</v>
      </c>
      <c r="K77" s="16" t="str">
        <v>R</v>
      </c>
      <c r="L77" s="16" t="str">
        <v>R</v>
      </c>
      <c r="M77" s="16" t="str">
        <v>Normal</v>
      </c>
      <c r="N77" s="16" t="str">
        <v>717 × 397</v>
      </c>
      <c r="O77" s="16" t="str">
        <v>713 × 393</v>
      </c>
      <c r="P77" s="17" t="str">
        <v>—</v>
      </c>
    </row>
    <row r="78">
      <c r="A78" s="16" t="str">
        <v>Clóset</v>
      </c>
      <c r="B78" s="16" t="str">
        <v>C3-001</v>
      </c>
      <c r="C78" s="16" t="str">
        <v>EST</v>
      </c>
      <c r="D78" s="17" t="str">
        <v>Lateral exterior</v>
      </c>
      <c r="E78" s="16" t="str">
        <v>RH15 Cartagena 15 mm</v>
      </c>
      <c r="F78" s="16" t="n">
        <v>2</v>
      </c>
      <c r="G78" s="16" t="n">
        <v>2280</v>
      </c>
      <c r="H78" s="16" t="n">
        <v>560</v>
      </c>
      <c r="I78" s="16" t="str">
        <v>F</v>
      </c>
      <c r="J78" s="16" t="str">
        <v>—</v>
      </c>
      <c r="K78" s="16" t="str">
        <v>F</v>
      </c>
      <c r="L78" s="16" t="str">
        <v>F</v>
      </c>
      <c r="M78" s="16" t="str">
        <v>Normal</v>
      </c>
      <c r="N78" s="16" t="str">
        <v>2280 × 560</v>
      </c>
      <c r="O78" s="16" t="str">
        <v>2279,1 × 559,55</v>
      </c>
      <c r="P78" s="17" t="str">
        <v>Rebaje superior para el listón de pino 4 × 4 en taller.</v>
      </c>
    </row>
    <row r="79">
      <c r="A79" s="16" t="str">
        <v>Clóset</v>
      </c>
      <c r="B79" s="16" t="str">
        <v>C3-002</v>
      </c>
      <c r="C79" s="16" t="str">
        <v>EST</v>
      </c>
      <c r="D79" s="17" t="str">
        <v>Divisor central</v>
      </c>
      <c r="E79" s="16" t="str">
        <v>RH15 Cartagena 15 mm</v>
      </c>
      <c r="F79" s="16" t="n">
        <v>1</v>
      </c>
      <c r="G79" s="16" t="n">
        <v>2280</v>
      </c>
      <c r="H79" s="16" t="n">
        <v>490</v>
      </c>
      <c r="I79" s="16" t="str">
        <v>F</v>
      </c>
      <c r="J79" s="16" t="str">
        <v>—</v>
      </c>
      <c r="K79" s="16" t="str">
        <v>F</v>
      </c>
      <c r="L79" s="16" t="str">
        <v>—</v>
      </c>
      <c r="M79" s="16" t="str">
        <v>Normal</v>
      </c>
      <c r="N79" s="16" t="str">
        <v>2280 × 490</v>
      </c>
      <c r="O79" s="16" t="str">
        <v>2279,55 × 489,55</v>
      </c>
      <c r="P79" s="17" t="str">
        <v>—</v>
      </c>
    </row>
    <row r="80">
      <c r="A80" s="16" t="str">
        <v>Clóset</v>
      </c>
      <c r="B80" s="16" t="str">
        <v>C3-003</v>
      </c>
      <c r="C80" s="16" t="str">
        <v>B1</v>
      </c>
      <c r="D80" s="17" t="str">
        <v>Piso sobre base</v>
      </c>
      <c r="E80" s="16" t="str">
        <v>RH15 Cartagena 15 mm</v>
      </c>
      <c r="F80" s="16" t="n">
        <v>1</v>
      </c>
      <c r="G80" s="16" t="n">
        <v>830</v>
      </c>
      <c r="H80" s="16" t="n">
        <v>560</v>
      </c>
      <c r="I80" s="16" t="str">
        <v>F</v>
      </c>
      <c r="J80" s="16" t="str">
        <v>—</v>
      </c>
      <c r="K80" s="16" t="str">
        <v>F</v>
      </c>
      <c r="L80" s="16" t="str">
        <v>—</v>
      </c>
      <c r="M80" s="16" t="str">
        <v>Normal</v>
      </c>
      <c r="N80" s="16" t="str">
        <v>830 × 560</v>
      </c>
      <c r="O80" s="16" t="str">
        <v>829,55 × 559,55</v>
      </c>
      <c r="P80" s="17" t="str">
        <v>—</v>
      </c>
    </row>
    <row r="81">
      <c r="A81" s="16" t="str">
        <v>Clóset</v>
      </c>
      <c r="B81" s="16" t="str">
        <v>C3-004</v>
      </c>
      <c r="C81" s="16" t="str">
        <v>B1</v>
      </c>
      <c r="D81" s="17" t="str">
        <v>Tapa superior</v>
      </c>
      <c r="E81" s="16" t="str">
        <v>RH15 Cartagena 15 mm</v>
      </c>
      <c r="F81" s="16" t="n">
        <v>1</v>
      </c>
      <c r="G81" s="16" t="n">
        <v>830</v>
      </c>
      <c r="H81" s="16" t="n">
        <v>505</v>
      </c>
      <c r="I81" s="16" t="str">
        <v>F</v>
      </c>
      <c r="J81" s="16" t="str">
        <v>—</v>
      </c>
      <c r="K81" s="16" t="str">
        <v>—</v>
      </c>
      <c r="L81" s="16" t="str">
        <v>—</v>
      </c>
      <c r="M81" s="16" t="str">
        <v>Normal</v>
      </c>
      <c r="N81" s="16" t="str">
        <v>830 × 505</v>
      </c>
      <c r="O81" s="16" t="str">
        <v>830 × 504,55</v>
      </c>
      <c r="P81" s="17" t="str">
        <v>—</v>
      </c>
    </row>
    <row r="82">
      <c r="A82" s="16" t="str">
        <v>Clóset</v>
      </c>
      <c r="B82" s="16" t="str">
        <v>C3-005</v>
      </c>
      <c r="C82" s="16" t="str">
        <v>B1</v>
      </c>
      <c r="D82" s="17" t="str">
        <v>Fondo RH15</v>
      </c>
      <c r="E82" s="16" t="str">
        <v>RH15 Cartagena 15 mm</v>
      </c>
      <c r="F82" s="16" t="n">
        <v>1</v>
      </c>
      <c r="G82" s="16" t="n">
        <v>2250</v>
      </c>
      <c r="H82" s="16" t="n">
        <v>830</v>
      </c>
      <c r="I82" s="16" t="str">
        <v>—</v>
      </c>
      <c r="J82" s="16" t="str">
        <v>—</v>
      </c>
      <c r="K82" s="16" t="str">
        <v>—</v>
      </c>
      <c r="L82" s="16" t="str">
        <v>—</v>
      </c>
      <c r="M82" s="16" t="str">
        <v>Sin canto</v>
      </c>
      <c r="N82" s="16" t="str">
        <v>2250 × 830</v>
      </c>
      <c r="O82" s="16" t="str">
        <v>2250 × 830</v>
      </c>
      <c r="P82" s="17" t="str">
        <v>—</v>
      </c>
    </row>
    <row r="83">
      <c r="A83" s="16" t="str">
        <v>Clóset</v>
      </c>
      <c r="B83" s="16" t="str">
        <v>C3-006</v>
      </c>
      <c r="C83" s="16" t="str">
        <v>B1</v>
      </c>
      <c r="D83" s="17" t="str">
        <v>Piso de maletero</v>
      </c>
      <c r="E83" s="16" t="str">
        <v>RH15 Cartagena 15 mm</v>
      </c>
      <c r="F83" s="16" t="n">
        <v>1</v>
      </c>
      <c r="G83" s="16" t="n">
        <v>830</v>
      </c>
      <c r="H83" s="16" t="n">
        <v>475</v>
      </c>
      <c r="I83" s="16" t="str">
        <v>F</v>
      </c>
      <c r="J83" s="16" t="str">
        <v>—</v>
      </c>
      <c r="K83" s="16" t="str">
        <v>—</v>
      </c>
      <c r="L83" s="16" t="str">
        <v>—</v>
      </c>
      <c r="M83" s="16" t="str">
        <v>Normal</v>
      </c>
      <c r="N83" s="16" t="str">
        <v>830 × 475</v>
      </c>
      <c r="O83" s="16" t="str">
        <v>830 × 474,55</v>
      </c>
      <c r="P83" s="17" t="str">
        <v>—</v>
      </c>
    </row>
    <row r="84">
      <c r="A84" s="16" t="str">
        <v>Clóset</v>
      </c>
      <c r="B84" s="16" t="str">
        <v>C3-007</v>
      </c>
      <c r="C84" s="16" t="str">
        <v>B1</v>
      </c>
      <c r="D84" s="17" t="str">
        <v>Refuerzo frontal de maletero</v>
      </c>
      <c r="E84" s="16" t="str">
        <v>RH15 Cartagena 15 mm</v>
      </c>
      <c r="F84" s="16" t="n">
        <v>1</v>
      </c>
      <c r="G84" s="16" t="n">
        <v>830</v>
      </c>
      <c r="H84" s="16" t="n">
        <v>80</v>
      </c>
      <c r="I84" s="16" t="str">
        <v>F</v>
      </c>
      <c r="J84" s="16" t="str">
        <v>—</v>
      </c>
      <c r="K84" s="16" t="str">
        <v>—</v>
      </c>
      <c r="L84" s="16" t="str">
        <v>—</v>
      </c>
      <c r="M84" s="16" t="str">
        <v>Pequeña</v>
      </c>
      <c r="N84" s="16" t="str">
        <v>830 × 80</v>
      </c>
      <c r="O84" s="16" t="str">
        <v>830 × 79,55</v>
      </c>
      <c r="P84" s="17" t="str">
        <v>Si no la cantean: cortar a 830 × 79.55 y cantear en el armado.</v>
      </c>
    </row>
    <row r="85">
      <c r="A85" s="16" t="str">
        <v>Clóset</v>
      </c>
      <c r="B85" s="16" t="str">
        <v>C3-008</v>
      </c>
      <c r="C85" s="16" t="str">
        <v>B1</v>
      </c>
      <c r="D85" s="17" t="str">
        <v>Refuerzo trasero de maletero</v>
      </c>
      <c r="E85" s="16" t="str">
        <v>RH15 Cartagena 15 mm</v>
      </c>
      <c r="F85" s="16" t="n">
        <v>1</v>
      </c>
      <c r="G85" s="16" t="n">
        <v>830</v>
      </c>
      <c r="H85" s="16" t="n">
        <v>100</v>
      </c>
      <c r="I85" s="16" t="str">
        <v>F</v>
      </c>
      <c r="J85" s="16" t="str">
        <v>—</v>
      </c>
      <c r="K85" s="16" t="str">
        <v>—</v>
      </c>
      <c r="L85" s="16" t="str">
        <v>—</v>
      </c>
      <c r="M85" s="16" t="str">
        <v>Pequeña</v>
      </c>
      <c r="N85" s="16" t="str">
        <v>830 × 100</v>
      </c>
      <c r="O85" s="16" t="str">
        <v>830 × 99,55</v>
      </c>
      <c r="P85" s="17" t="str">
        <v>Si no la cantean: cortar a 830 × 99.55 y cantear en el armado.</v>
      </c>
    </row>
    <row r="86">
      <c r="A86" s="16" t="str">
        <v>Clóset</v>
      </c>
      <c r="B86" s="16" t="str">
        <v>C3-009</v>
      </c>
      <c r="C86" s="16" t="str">
        <v>B2</v>
      </c>
      <c r="D86" s="17" t="str">
        <v>Piso sobre base</v>
      </c>
      <c r="E86" s="16" t="str">
        <v>RH15 Cartagena 15 mm</v>
      </c>
      <c r="F86" s="16" t="n">
        <v>1</v>
      </c>
      <c r="G86" s="16" t="n">
        <v>1075</v>
      </c>
      <c r="H86" s="16" t="n">
        <v>560</v>
      </c>
      <c r="I86" s="16" t="str">
        <v>F</v>
      </c>
      <c r="J86" s="16" t="str">
        <v>—</v>
      </c>
      <c r="K86" s="16" t="str">
        <v>F</v>
      </c>
      <c r="L86" s="16" t="str">
        <v>—</v>
      </c>
      <c r="M86" s="16" t="str">
        <v>Normal</v>
      </c>
      <c r="N86" s="16" t="str">
        <v>1075 × 560</v>
      </c>
      <c r="O86" s="16" t="str">
        <v>1074,55 × 559,55</v>
      </c>
      <c r="P86" s="17" t="str">
        <v>—</v>
      </c>
    </row>
    <row r="87">
      <c r="A87" s="16" t="str">
        <v>Clóset</v>
      </c>
      <c r="B87" s="16" t="str">
        <v>C3-010</v>
      </c>
      <c r="C87" s="16" t="str">
        <v>B2</v>
      </c>
      <c r="D87" s="17" t="str">
        <v>Tapa superior</v>
      </c>
      <c r="E87" s="16" t="str">
        <v>RH15 Cartagena 15 mm</v>
      </c>
      <c r="F87" s="16" t="n">
        <v>1</v>
      </c>
      <c r="G87" s="16" t="n">
        <v>1075</v>
      </c>
      <c r="H87" s="16" t="n">
        <v>505</v>
      </c>
      <c r="I87" s="16" t="str">
        <v>F</v>
      </c>
      <c r="J87" s="16" t="str">
        <v>—</v>
      </c>
      <c r="K87" s="16" t="str">
        <v>—</v>
      </c>
      <c r="L87" s="16" t="str">
        <v>—</v>
      </c>
      <c r="M87" s="16" t="str">
        <v>Normal</v>
      </c>
      <c r="N87" s="16" t="str">
        <v>1075 × 505</v>
      </c>
      <c r="O87" s="16" t="str">
        <v>1075 × 504,55</v>
      </c>
      <c r="P87" s="17" t="str">
        <v>—</v>
      </c>
    </row>
    <row r="88">
      <c r="A88" s="16" t="str">
        <v>Clóset</v>
      </c>
      <c r="B88" s="16" t="str">
        <v>C3-011</v>
      </c>
      <c r="C88" s="16" t="str">
        <v>B2</v>
      </c>
      <c r="D88" s="17" t="str">
        <v>Fondo RH15</v>
      </c>
      <c r="E88" s="16" t="str">
        <v>RH15 Cartagena 15 mm</v>
      </c>
      <c r="F88" s="16" t="n">
        <v>1</v>
      </c>
      <c r="G88" s="16" t="n">
        <v>2250</v>
      </c>
      <c r="H88" s="16" t="n">
        <v>1075</v>
      </c>
      <c r="I88" s="16" t="str">
        <v>—</v>
      </c>
      <c r="J88" s="16" t="str">
        <v>—</v>
      </c>
      <c r="K88" s="16" t="str">
        <v>—</v>
      </c>
      <c r="L88" s="16" t="str">
        <v>—</v>
      </c>
      <c r="M88" s="16" t="str">
        <v>Sin canto</v>
      </c>
      <c r="N88" s="16" t="str">
        <v>2250 × 1075</v>
      </c>
      <c r="O88" s="16" t="str">
        <v>2250 × 1075</v>
      </c>
      <c r="P88" s="17" t="str">
        <v>—</v>
      </c>
    </row>
    <row r="89">
      <c r="A89" s="16" t="str">
        <v>Clóset</v>
      </c>
      <c r="B89" s="16" t="str">
        <v>C3-012</v>
      </c>
      <c r="C89" s="16" t="str">
        <v>B2</v>
      </c>
      <c r="D89" s="17" t="str">
        <v>Piso de maletero</v>
      </c>
      <c r="E89" s="16" t="str">
        <v>RH15 Cartagena 15 mm</v>
      </c>
      <c r="F89" s="16" t="n">
        <v>1</v>
      </c>
      <c r="G89" s="16" t="n">
        <v>1075</v>
      </c>
      <c r="H89" s="16" t="n">
        <v>475</v>
      </c>
      <c r="I89" s="16" t="str">
        <v>F</v>
      </c>
      <c r="J89" s="16" t="str">
        <v>—</v>
      </c>
      <c r="K89" s="16" t="str">
        <v>—</v>
      </c>
      <c r="L89" s="16" t="str">
        <v>—</v>
      </c>
      <c r="M89" s="16" t="str">
        <v>Normal</v>
      </c>
      <c r="N89" s="16" t="str">
        <v>1075 × 475</v>
      </c>
      <c r="O89" s="16" t="str">
        <v>1075 × 474,55</v>
      </c>
      <c r="P89" s="17" t="str">
        <v>—</v>
      </c>
    </row>
    <row r="90">
      <c r="A90" s="16" t="str">
        <v>Clóset</v>
      </c>
      <c r="B90" s="16" t="str">
        <v>C3-013</v>
      </c>
      <c r="C90" s="16" t="str">
        <v>B2</v>
      </c>
      <c r="D90" s="17" t="str">
        <v>Refuerzo frontal de maletero</v>
      </c>
      <c r="E90" s="16" t="str">
        <v>RH15 Cartagena 15 mm</v>
      </c>
      <c r="F90" s="16" t="n">
        <v>1</v>
      </c>
      <c r="G90" s="16" t="n">
        <v>1075</v>
      </c>
      <c r="H90" s="16" t="n">
        <v>80</v>
      </c>
      <c r="I90" s="16" t="str">
        <v>F</v>
      </c>
      <c r="J90" s="16" t="str">
        <v>—</v>
      </c>
      <c r="K90" s="16" t="str">
        <v>—</v>
      </c>
      <c r="L90" s="16" t="str">
        <v>—</v>
      </c>
      <c r="M90" s="16" t="str">
        <v>Pequeña</v>
      </c>
      <c r="N90" s="16" t="str">
        <v>1075 × 80</v>
      </c>
      <c r="O90" s="16" t="str">
        <v>1075 × 79,55</v>
      </c>
      <c r="P90" s="17" t="str">
        <v>Si no la cantean: cortar a 1075 × 79.55 y cantear en el armado.</v>
      </c>
    </row>
    <row r="91">
      <c r="A91" s="16" t="str">
        <v>Clóset</v>
      </c>
      <c r="B91" s="16" t="str">
        <v>C3-014</v>
      </c>
      <c r="C91" s="16" t="str">
        <v>B2</v>
      </c>
      <c r="D91" s="17" t="str">
        <v>Refuerzo trasero de maletero</v>
      </c>
      <c r="E91" s="16" t="str">
        <v>RH15 Cartagena 15 mm</v>
      </c>
      <c r="F91" s="16" t="n">
        <v>1</v>
      </c>
      <c r="G91" s="16" t="n">
        <v>1075</v>
      </c>
      <c r="H91" s="16" t="n">
        <v>100</v>
      </c>
      <c r="I91" s="16" t="str">
        <v>F</v>
      </c>
      <c r="J91" s="16" t="str">
        <v>—</v>
      </c>
      <c r="K91" s="16" t="str">
        <v>—</v>
      </c>
      <c r="L91" s="16" t="str">
        <v>—</v>
      </c>
      <c r="M91" s="16" t="str">
        <v>Pequeña</v>
      </c>
      <c r="N91" s="16" t="str">
        <v>1075 × 100</v>
      </c>
      <c r="O91" s="16" t="str">
        <v>1075 × 99,55</v>
      </c>
      <c r="P91" s="17" t="str">
        <v>Si no la cantean: cortar a 1075 × 99.55 y cantear en el armado.</v>
      </c>
    </row>
    <row r="92">
      <c r="A92" s="16" t="str">
        <v>Clóset</v>
      </c>
      <c r="B92" s="16" t="str">
        <v>C3-015</v>
      </c>
      <c r="C92" s="16" t="str">
        <v>B1</v>
      </c>
      <c r="D92" s="17" t="str">
        <v>Frente de cajón</v>
      </c>
      <c r="E92" s="16" t="str">
        <v>RH15 Cartagena 15 mm</v>
      </c>
      <c r="F92" s="16" t="n">
        <v>3</v>
      </c>
      <c r="G92" s="16" t="n">
        <v>824</v>
      </c>
      <c r="H92" s="16" t="n">
        <v>210</v>
      </c>
      <c r="I92" s="16" t="str">
        <v>R</v>
      </c>
      <c r="J92" s="16" t="str">
        <v>R</v>
      </c>
      <c r="K92" s="16" t="str">
        <v>R</v>
      </c>
      <c r="L92" s="16" t="str">
        <v>R</v>
      </c>
      <c r="M92" s="16" t="str">
        <v>Normal</v>
      </c>
      <c r="N92" s="16" t="str">
        <v>824 × 210</v>
      </c>
      <c r="O92" s="16" t="str">
        <v>820 × 206</v>
      </c>
      <c r="P92" s="17" t="str">
        <v>Veta horizontal: frente de 824 de ancho, queda detrás de las hojas.</v>
      </c>
    </row>
    <row r="93">
      <c r="A93" s="16" t="str">
        <v>Clóset</v>
      </c>
      <c r="B93" s="16" t="str">
        <v>C3-016</v>
      </c>
      <c r="C93" s="16" t="str">
        <v>B1</v>
      </c>
      <c r="D93" s="17" t="str">
        <v>Costado de cajón</v>
      </c>
      <c r="E93" s="16" t="str">
        <v>RH15 Cartagena 15 mm</v>
      </c>
      <c r="F93" s="16" t="n">
        <v>6</v>
      </c>
      <c r="G93" s="16" t="n">
        <v>450</v>
      </c>
      <c r="H93" s="16" t="n">
        <v>155</v>
      </c>
      <c r="I93" s="16" t="str">
        <v>F</v>
      </c>
      <c r="J93" s="16" t="str">
        <v>—</v>
      </c>
      <c r="K93" s="16" t="str">
        <v>F</v>
      </c>
      <c r="L93" s="16" t="str">
        <v>—</v>
      </c>
      <c r="M93" s="16" t="str">
        <v>Normal</v>
      </c>
      <c r="N93" s="16" t="str">
        <v>450 × 155</v>
      </c>
      <c r="O93" s="16" t="str">
        <v>449,55 × 154,55</v>
      </c>
      <c r="P93" s="17" t="str">
        <v>—</v>
      </c>
    </row>
    <row r="94">
      <c r="A94" s="16" t="str">
        <v>Clóset</v>
      </c>
      <c r="B94" s="16" t="str">
        <v>C3-017</v>
      </c>
      <c r="C94" s="16" t="str">
        <v>B1</v>
      </c>
      <c r="D94" s="17" t="str">
        <v>Base aplicada de cajón</v>
      </c>
      <c r="E94" s="16" t="str">
        <v>RH15 Cartagena 15 mm</v>
      </c>
      <c r="F94" s="16" t="n">
        <v>3</v>
      </c>
      <c r="G94" s="16" t="n">
        <v>803</v>
      </c>
      <c r="H94" s="16" t="n">
        <v>450</v>
      </c>
      <c r="I94" s="16" t="str">
        <v>F</v>
      </c>
      <c r="J94" s="16" t="str">
        <v>—</v>
      </c>
      <c r="K94" s="16" t="str">
        <v>F</v>
      </c>
      <c r="L94" s="16" t="str">
        <v>F</v>
      </c>
      <c r="M94" s="16" t="str">
        <v>Normal</v>
      </c>
      <c r="N94" s="16" t="str">
        <v>803 × 450</v>
      </c>
      <c r="O94" s="16" t="str">
        <v>802,1 × 449,55</v>
      </c>
      <c r="P94" s="17" t="str">
        <v>—</v>
      </c>
    </row>
    <row r="95">
      <c r="A95" s="16" t="str">
        <v>Clóset</v>
      </c>
      <c r="B95" s="16" t="str">
        <v>C3-018</v>
      </c>
      <c r="C95" s="16" t="str">
        <v>B1</v>
      </c>
      <c r="D95" s="17" t="str">
        <v>Frente / trasero interior de cajón</v>
      </c>
      <c r="E95" s="16" t="str">
        <v>RH15 Cartagena 15 mm</v>
      </c>
      <c r="F95" s="16" t="n">
        <v>6</v>
      </c>
      <c r="G95" s="16" t="n">
        <v>773</v>
      </c>
      <c r="H95" s="16" t="n">
        <v>155</v>
      </c>
      <c r="I95" s="16" t="str">
        <v>F</v>
      </c>
      <c r="J95" s="16" t="str">
        <v>—</v>
      </c>
      <c r="K95" s="16" t="str">
        <v>—</v>
      </c>
      <c r="L95" s="16" t="str">
        <v>—</v>
      </c>
      <c r="M95" s="16" t="str">
        <v>Normal</v>
      </c>
      <c r="N95" s="16" t="str">
        <v>773 × 155</v>
      </c>
      <c r="O95" s="16" t="str">
        <v>773 × 154,55</v>
      </c>
      <c r="P95" s="17" t="str">
        <v>—</v>
      </c>
    </row>
    <row r="96">
      <c r="A96" s="16" t="str">
        <v>Clóset</v>
      </c>
      <c r="B96" s="16" t="str">
        <v>C3-019</v>
      </c>
      <c r="C96" s="16" t="str">
        <v>B1</v>
      </c>
      <c r="D96" s="17" t="str">
        <v>Refuerzo bajo base de cajón</v>
      </c>
      <c r="E96" s="16" t="str">
        <v>RH15 Cartagena 15 mm</v>
      </c>
      <c r="F96" s="16" t="n">
        <v>3</v>
      </c>
      <c r="G96" s="16" t="n">
        <v>803</v>
      </c>
      <c r="H96" s="16" t="n">
        <v>40</v>
      </c>
      <c r="I96" s="16" t="str">
        <v>F</v>
      </c>
      <c r="J96" s="16" t="str">
        <v>—</v>
      </c>
      <c r="K96" s="16" t="str">
        <v>F</v>
      </c>
      <c r="L96" s="16" t="str">
        <v>F</v>
      </c>
      <c r="M96" s="16" t="str">
        <v>Pequeña</v>
      </c>
      <c r="N96" s="16" t="str">
        <v>803 × 40</v>
      </c>
      <c r="O96" s="16" t="str">
        <v>802,1 × 39,55</v>
      </c>
      <c r="P96" s="17" t="str">
        <v>Si no la cantean: cortar a 802.1 × 39.55 y cantear en el armado.</v>
      </c>
    </row>
    <row r="97">
      <c r="A97" s="16" t="str">
        <v>Clóset</v>
      </c>
      <c r="B97" s="16" t="str">
        <v>C3-020</v>
      </c>
      <c r="C97" s="16" t="str">
        <v>BASE</v>
      </c>
      <c r="D97" s="17" t="str">
        <v>Zócalo frontal</v>
      </c>
      <c r="E97" s="16" t="str">
        <v>RH15 Cartagena 15 mm</v>
      </c>
      <c r="F97" s="16" t="n">
        <v>1</v>
      </c>
      <c r="G97" s="16" t="n">
        <v>1950</v>
      </c>
      <c r="H97" s="16" t="n">
        <v>92</v>
      </c>
      <c r="I97" s="16" t="str">
        <v>F</v>
      </c>
      <c r="J97" s="16" t="str">
        <v>F</v>
      </c>
      <c r="K97" s="16" t="str">
        <v>F</v>
      </c>
      <c r="L97" s="16" t="str">
        <v>F</v>
      </c>
      <c r="M97" s="16" t="str">
        <v>Pequeña</v>
      </c>
      <c r="N97" s="16" t="str">
        <v>1950 × 92</v>
      </c>
      <c r="O97" s="16" t="str">
        <v>1949,1 × 91,1</v>
      </c>
      <c r="P97" s="17" t="str">
        <v>Si no la cantean: cortar a 1949.1 × 91.1 y cantear en el armado.</v>
      </c>
    </row>
    <row r="98">
      <c r="A98" s="16" t="str">
        <v>Clóset</v>
      </c>
      <c r="B98" s="16" t="str">
        <v>C3-021</v>
      </c>
      <c r="C98" s="16" t="str">
        <v>BASE</v>
      </c>
      <c r="D98" s="17" t="str">
        <v>Travesaño trasero de base</v>
      </c>
      <c r="E98" s="16" t="str">
        <v>RH15 Cartagena 15 mm</v>
      </c>
      <c r="F98" s="16" t="n">
        <v>1</v>
      </c>
      <c r="G98" s="16" t="n">
        <v>1950</v>
      </c>
      <c r="H98" s="16" t="n">
        <v>80</v>
      </c>
      <c r="I98" s="16" t="str">
        <v>F</v>
      </c>
      <c r="J98" s="16" t="str">
        <v>F</v>
      </c>
      <c r="K98" s="16" t="str">
        <v>F</v>
      </c>
      <c r="L98" s="16" t="str">
        <v>F</v>
      </c>
      <c r="M98" s="16" t="str">
        <v>Pequeña</v>
      </c>
      <c r="N98" s="16" t="str">
        <v>1950 × 80</v>
      </c>
      <c r="O98" s="16" t="str">
        <v>1949,1 × 79,1</v>
      </c>
      <c r="P98" s="17" t="str">
        <v>Si no la cantean: cortar a 1949.1 × 79.1 y cantear en el armado.</v>
      </c>
    </row>
    <row r="99">
      <c r="A99" s="16" t="str">
        <v>Clóset</v>
      </c>
      <c r="B99" s="16" t="str">
        <v>C3-022</v>
      </c>
      <c r="C99" s="16" t="str">
        <v>BASE</v>
      </c>
      <c r="D99" s="17" t="str">
        <v>Travesaño de base</v>
      </c>
      <c r="E99" s="16" t="str">
        <v>RH15 Cartagena 15 mm</v>
      </c>
      <c r="F99" s="16" t="n">
        <v>3</v>
      </c>
      <c r="G99" s="16" t="n">
        <v>480</v>
      </c>
      <c r="H99" s="16" t="n">
        <v>80</v>
      </c>
      <c r="I99" s="16" t="str">
        <v>F</v>
      </c>
      <c r="J99" s="16" t="str">
        <v>F</v>
      </c>
      <c r="K99" s="16" t="str">
        <v>F</v>
      </c>
      <c r="L99" s="16" t="str">
        <v>F</v>
      </c>
      <c r="M99" s="16" t="str">
        <v>Pequeña</v>
      </c>
      <c r="N99" s="16" t="str">
        <v>480 × 80</v>
      </c>
      <c r="O99" s="16" t="str">
        <v>479,1 × 79,1</v>
      </c>
      <c r="P99" s="17" t="str">
        <v>Si no la cantean: cortar a 479.1 × 79.1 y cantear en el armado.</v>
      </c>
    </row>
    <row r="100" ht="57.599998474121094">
      <c r="A100" s="16" t="str">
        <v>Clóset</v>
      </c>
      <c r="B100" s="16" t="str">
        <v>C3-023</v>
      </c>
      <c r="C100" s="16" t="str">
        <v>PUERTAS</v>
      </c>
      <c r="D100" s="17" t="str">
        <v>Hoja corrediza RH15</v>
      </c>
      <c r="E100" s="16" t="str">
        <v>RH15 Cartagena 15 mm</v>
      </c>
      <c r="F100" s="16" t="n">
        <v>2</v>
      </c>
      <c r="G100" s="16" t="n">
        <v>2195</v>
      </c>
      <c r="H100" s="16" t="n">
        <v>975</v>
      </c>
      <c r="I100" s="16" t="str">
        <v>R</v>
      </c>
      <c r="J100" s="16" t="str">
        <v>R</v>
      </c>
      <c r="K100" s="16" t="str">
        <v>R</v>
      </c>
      <c r="L100" s="16" t="str">
        <v>R</v>
      </c>
      <c r="M100" s="16" t="str">
        <v>Normal</v>
      </c>
      <c r="N100" s="16" t="str">
        <v>2175 × 975</v>
      </c>
      <c r="O100" s="16" t="str">
        <v>2191 × 971</v>
      </c>
      <c r="P100" s="17" t="str">
        <v>Pedida 20 mm más alta (2195 en vez de 2175): en el armado, con el riel y los carros puestos, recortar el borde superior —tapado por la solapa— hasta que la guía inferior sujete la hoja. Nunca debe quedar corta.</v>
      </c>
    </row>
    <row r="101">
      <c r="A101" s="16" t="str">
        <v>Clóset</v>
      </c>
      <c r="B101" s="16" t="str">
        <v>C3-024</v>
      </c>
      <c r="C101" s="16" t="str">
        <v>EST</v>
      </c>
      <c r="D101" s="17" t="str">
        <v>Solapa frontal</v>
      </c>
      <c r="E101" s="16" t="str">
        <v>RH15 Cartagena 15 mm</v>
      </c>
      <c r="F101" s="16" t="n">
        <v>1</v>
      </c>
      <c r="G101" s="16" t="n">
        <v>1950</v>
      </c>
      <c r="H101" s="16" t="n">
        <v>120</v>
      </c>
      <c r="I101" s="16" t="str">
        <v>F</v>
      </c>
      <c r="J101" s="16" t="str">
        <v>F</v>
      </c>
      <c r="K101" s="16" t="str">
        <v>F</v>
      </c>
      <c r="L101" s="16" t="str">
        <v>F</v>
      </c>
      <c r="M101" s="16" t="str">
        <v>Normal</v>
      </c>
      <c r="N101" s="16" t="str">
        <v>1950 × 120</v>
      </c>
      <c r="O101" s="16" t="str">
        <v>1949,1 × 119,1</v>
      </c>
      <c r="P101" s="17" t="str">
        <v>—</v>
      </c>
    </row>
    <row r="102" ht="28.799999237060547">
      <c r="A102" s="16" t="str">
        <v>Baño</v>
      </c>
      <c r="B102" s="16" t="str">
        <v>B01</v>
      </c>
      <c r="C102" s="16" t="str">
        <v>BAJO</v>
      </c>
      <c r="D102" s="17" t="str">
        <v>Lateral</v>
      </c>
      <c r="E102" s="16" t="str">
        <v>RH15 Cartagena</v>
      </c>
      <c r="F102" s="16" t="n">
        <v>2</v>
      </c>
      <c r="G102" s="16" t="n">
        <v>470</v>
      </c>
      <c r="H102" s="16" t="n">
        <v>450</v>
      </c>
      <c r="I102" s="16" t="str">
        <v>F</v>
      </c>
      <c r="J102" s="16" t="str">
        <v>F</v>
      </c>
      <c r="K102" s="16" t="str">
        <v>F</v>
      </c>
      <c r="L102" s="16" t="str">
        <v>F</v>
      </c>
      <c r="M102" s="16" t="str">
        <v>Normal</v>
      </c>
      <c r="N102" s="16" t="str">
        <v>470 × 450</v>
      </c>
      <c r="O102" s="16" t="str">
        <v>469,1 × 449,1</v>
      </c>
      <c r="P102" s="17" t="str">
        <v>Zona húmeda: proteger todos los bordes y sellar perforaciones; dimensiones terminadas. Canto flexible 0,45 mm en todo el perímetro; mantener sellados recortes y perforaciones.</v>
      </c>
    </row>
    <row r="103" ht="28.799999237060547">
      <c r="A103" s="16" t="str">
        <v>Baño</v>
      </c>
      <c r="B103" s="16" t="str">
        <v>B02</v>
      </c>
      <c r="C103" s="16" t="str">
        <v>BAJO</v>
      </c>
      <c r="D103" s="17" t="str">
        <v>Piso</v>
      </c>
      <c r="E103" s="16" t="str">
        <v>RH15 Cartagena</v>
      </c>
      <c r="F103" s="16" t="n">
        <v>1</v>
      </c>
      <c r="G103" s="16" t="n">
        <v>490</v>
      </c>
      <c r="H103" s="16" t="n">
        <v>450</v>
      </c>
      <c r="I103" s="16" t="str">
        <v>F</v>
      </c>
      <c r="J103" s="16" t="str">
        <v>F</v>
      </c>
      <c r="K103" s="16" t="str">
        <v>F</v>
      </c>
      <c r="L103" s="16" t="str">
        <v>F</v>
      </c>
      <c r="M103" s="16" t="str">
        <v>Normal</v>
      </c>
      <c r="N103" s="16" t="str">
        <v>490 × 450</v>
      </c>
      <c r="O103" s="16" t="str">
        <v>489,1 × 449,1</v>
      </c>
      <c r="P103" s="17" t="str">
        <v>Zona húmeda: proteger todos los bordes y sellar perforaciones; dimensiones terminadas. Canto flexible 0,45 mm en todo el perímetro; mantener sellados recortes y perforaciones.</v>
      </c>
    </row>
    <row r="104" ht="57.599998474121094">
      <c r="A104" s="16" t="str">
        <v>Baño</v>
      </c>
      <c r="B104" s="16" t="str">
        <v>B03</v>
      </c>
      <c r="C104" s="16" t="str">
        <v>BAJO</v>
      </c>
      <c r="D104" s="17" t="str">
        <v>Entrepaño retranqueado con reserva de sifón</v>
      </c>
      <c r="E104" s="16" t="str">
        <v>RH15 Cartagena</v>
      </c>
      <c r="F104" s="16" t="n">
        <v>1</v>
      </c>
      <c r="G104" s="16" t="n">
        <v>490</v>
      </c>
      <c r="H104" s="16" t="n">
        <v>405</v>
      </c>
      <c r="I104" s="16" t="str">
        <v>F</v>
      </c>
      <c r="J104" s="16" t="str">
        <v>F</v>
      </c>
      <c r="K104" s="16" t="str">
        <v>F</v>
      </c>
      <c r="L104" s="16" t="str">
        <v>F</v>
      </c>
      <c r="M104" s="16" t="str">
        <v>Normal</v>
      </c>
      <c r="N104" s="16" t="str">
        <v>490 × 405</v>
      </c>
      <c r="O104" s="16" t="str">
        <v>489,1 × 404,1</v>
      </c>
      <c r="P104" s="17" t="str">
        <v>Zona húmeda: proteger todos los bordes y sellar perforaciones; dimensiones terminadas. Nicho libre de 150 mm bajo granito. Recorte trasero ilustrativo 100 × 270 mm, centrado; no mecanizar sin sifón real. Retranqueo frontal de 30 mm para agarre. Canto flexible 0,45 mm en todo el perímetro; mantener sellados recortes y perforaciones.</v>
      </c>
    </row>
    <row r="105" ht="57.599998474121094">
      <c r="A105" s="16" t="str">
        <v>Baño</v>
      </c>
      <c r="B105" s="16" t="str">
        <v>B04</v>
      </c>
      <c r="C105" s="16" t="str">
        <v>BAJO</v>
      </c>
      <c r="D105" s="17" t="str">
        <v>Travesaño trasero superior lateral</v>
      </c>
      <c r="E105" s="16" t="str">
        <v>RH15 Cartagena</v>
      </c>
      <c r="F105" s="16" t="n">
        <v>2</v>
      </c>
      <c r="G105" s="16" t="n">
        <v>195</v>
      </c>
      <c r="H105" s="16" t="n">
        <v>80</v>
      </c>
      <c r="I105" s="16" t="str">
        <v>F</v>
      </c>
      <c r="J105" s="16" t="str">
        <v>F</v>
      </c>
      <c r="K105" s="16" t="str">
        <v>F</v>
      </c>
      <c r="L105" s="16" t="str">
        <v>F</v>
      </c>
      <c r="M105" s="16" t="str">
        <v>Pequeña</v>
      </c>
      <c r="N105" s="16" t="str">
        <v>195 × 80</v>
      </c>
      <c r="O105" s="16" t="str">
        <v>194,1 × 79,1</v>
      </c>
      <c r="P105" s="17" t="str">
        <v>Si no la cantean: cortar a 194.1 × 79.1 y cantear en taller. Zona húmeda: proteger todos los bordes y sellar perforaciones; dimensiones terminadas. De canto, interrumpido en el centro para tuberías; no es un colgador certificado. Canto flexible 0,45 mm en todo el perímetro; mantener sellados recortes y perforaciones.</v>
      </c>
    </row>
    <row r="106" ht="57.599998474121094">
      <c r="A106" s="16" t="str">
        <v>Baño</v>
      </c>
      <c r="B106" s="16" t="str">
        <v>B05</v>
      </c>
      <c r="C106" s="16" t="str">
        <v>BAJO</v>
      </c>
      <c r="D106" s="17" t="str">
        <v>Travesaño trasero inferior</v>
      </c>
      <c r="E106" s="16" t="str">
        <v>RH15 Cartagena</v>
      </c>
      <c r="F106" s="16" t="n">
        <v>1</v>
      </c>
      <c r="G106" s="16" t="n">
        <v>490</v>
      </c>
      <c r="H106" s="16" t="n">
        <v>80</v>
      </c>
      <c r="I106" s="16" t="str">
        <v>F</v>
      </c>
      <c r="J106" s="16" t="str">
        <v>F</v>
      </c>
      <c r="K106" s="16" t="str">
        <v>F</v>
      </c>
      <c r="L106" s="16" t="str">
        <v>F</v>
      </c>
      <c r="M106" s="16" t="str">
        <v>Pequeña</v>
      </c>
      <c r="N106" s="16" t="str">
        <v>490 × 80</v>
      </c>
      <c r="O106" s="16" t="str">
        <v>489,1 × 79,1</v>
      </c>
      <c r="P106" s="17" t="str">
        <v>Si no la cantean: cortar a 489.1 × 79.1 y cantear en taller. Zona húmeda: proteger todos los bordes y sellar perforaciones; dimensiones terminadas. Define rigidez posterior; anclajes y uniones por dimensionar. Canto flexible 0,45 mm en todo el perímetro; mantener sellados recortes y perforaciones.</v>
      </c>
    </row>
    <row r="107" ht="100.80000305175781">
      <c r="A107" s="16" t="str">
        <v>Baño</v>
      </c>
      <c r="B107" s="16" t="str">
        <v>B06</v>
      </c>
      <c r="C107" s="16" t="str">
        <v>BAJO</v>
      </c>
      <c r="D107" s="17" t="str">
        <v>Panel común para dos puertas: corte diagonal en armado</v>
      </c>
      <c r="E107" s="16" t="str">
        <v>RH15 Cartagena</v>
      </c>
      <c r="F107" s="16" t="n">
        <v>1</v>
      </c>
      <c r="G107" s="16" t="n">
        <v>299</v>
      </c>
      <c r="H107" s="16" t="n">
        <v>517</v>
      </c>
      <c r="I107" s="16" t="str">
        <v>R</v>
      </c>
      <c r="J107" s="16" t="str">
        <v>R</v>
      </c>
      <c r="K107" s="16" t="str">
        <v>R</v>
      </c>
      <c r="L107" s="16" t="str">
        <v>R</v>
      </c>
      <c r="M107" s="16" t="str">
        <v>Normal</v>
      </c>
      <c r="N107" s="16" t="str">
        <v>299 × 517</v>
      </c>
      <c r="O107" s="16" t="str">
        <v>295 × 513</v>
      </c>
      <c r="P107" s="17" t="str">
        <v>Una sola pieza rectangular terminada 517 × 299 mm (veta vertical). Pedirla entera, con canto 2 mm en el perímetro; NO dividir en tienda. En el armado, corte central a 75° de la horizontal (provisional entre 70 y 80°) con el disco Diablo de 1,5 mm (corte de 0,059") y canto flexible 0,45 mm en los dos bordes nuevos. Holgura entre puertas tras cantear ≈0,6 mm: probablemente insuficiente (ver Pendientes). La medida de lista es del panel común, no de cada tapa.</v>
      </c>
    </row>
    <row r="108" ht="43.20000076293945">
      <c r="A108" s="16" t="str">
        <v>Baño</v>
      </c>
      <c r="B108" s="16" t="str">
        <v>S01</v>
      </c>
      <c r="C108" s="16" t="str">
        <v>ESPEJO</v>
      </c>
      <c r="D108" s="17" t="str">
        <v>Lateral gabinete superior</v>
      </c>
      <c r="E108" s="16" t="str">
        <v>RH15 Cartagena</v>
      </c>
      <c r="F108" s="16" t="n">
        <v>2</v>
      </c>
      <c r="G108" s="16" t="n">
        <v>500</v>
      </c>
      <c r="H108" s="16" t="n">
        <v>105</v>
      </c>
      <c r="I108" s="16" t="str">
        <v>F</v>
      </c>
      <c r="J108" s="16" t="str">
        <v>F</v>
      </c>
      <c r="K108" s="16" t="str">
        <v>F</v>
      </c>
      <c r="L108" s="16" t="str">
        <v>F</v>
      </c>
      <c r="M108" s="16" t="str">
        <v>Normal</v>
      </c>
      <c r="N108" s="16" t="str">
        <v>500 × 105</v>
      </c>
      <c r="O108" s="16" t="str">
        <v>499,1 × 104,1</v>
      </c>
      <c r="P108" s="17" t="str">
        <v>Zona húmeda: proteger todos los bordes y sellar perforaciones; dimensiones terminadas. Fondo total 130 mm con panel 6 mm, holgura frontal 1 mm, tapa RH15 y espejo 3 mm. Canto flexible 0,45 mm en todo el perímetro; mantener sellados recortes y perforaciones.</v>
      </c>
    </row>
    <row r="109" ht="28.799999237060547">
      <c r="A109" s="16" t="str">
        <v>Baño</v>
      </c>
      <c r="B109" s="16" t="str">
        <v>S02</v>
      </c>
      <c r="C109" s="16" t="str">
        <v>ESPEJO</v>
      </c>
      <c r="D109" s="17" t="str">
        <v>Piso y techo gabinete superior</v>
      </c>
      <c r="E109" s="16" t="str">
        <v>RH15 Cartagena</v>
      </c>
      <c r="F109" s="16" t="n">
        <v>2</v>
      </c>
      <c r="G109" s="16" t="n">
        <v>420</v>
      </c>
      <c r="H109" s="16" t="n">
        <v>105</v>
      </c>
      <c r="I109" s="16" t="str">
        <v>F</v>
      </c>
      <c r="J109" s="16" t="str">
        <v>F</v>
      </c>
      <c r="K109" s="16" t="str">
        <v>F</v>
      </c>
      <c r="L109" s="16" t="str">
        <v>F</v>
      </c>
      <c r="M109" s="16" t="str">
        <v>Normal</v>
      </c>
      <c r="N109" s="16" t="str">
        <v>420 × 105</v>
      </c>
      <c r="O109" s="16" t="str">
        <v>419,1 × 104,1</v>
      </c>
      <c r="P109" s="17" t="str">
        <v>Zona húmeda: proteger todos los bordes y sellar perforaciones; dimensiones terminadas. Canto flexible 0,45 mm en todo el perímetro; mantener sellados recortes y perforaciones.</v>
      </c>
    </row>
    <row r="110" ht="43.20000076293945">
      <c r="A110" s="16" t="str">
        <v>Baño</v>
      </c>
      <c r="B110" s="16" t="str">
        <v>S03</v>
      </c>
      <c r="C110" s="16" t="str">
        <v>ESPEJO</v>
      </c>
      <c r="D110" s="17" t="str">
        <v>División vertical</v>
      </c>
      <c r="E110" s="16" t="str">
        <v>RH15 Cartagena</v>
      </c>
      <c r="F110" s="16" t="n">
        <v>1</v>
      </c>
      <c r="G110" s="16" t="n">
        <v>470</v>
      </c>
      <c r="H110" s="16" t="n">
        <v>105</v>
      </c>
      <c r="I110" s="16" t="str">
        <v>F</v>
      </c>
      <c r="J110" s="16" t="str">
        <v>F</v>
      </c>
      <c r="K110" s="16" t="str">
        <v>F</v>
      </c>
      <c r="L110" s="16" t="str">
        <v>F</v>
      </c>
      <c r="M110" s="16" t="str">
        <v>Normal</v>
      </c>
      <c r="N110" s="16" t="str">
        <v>470 × 105</v>
      </c>
      <c r="O110" s="16" t="str">
        <v>469,1 × 104,1</v>
      </c>
      <c r="P110" s="17" t="str">
        <v>Zona húmeda: proteger todos los bordes y sellar perforaciones; dimensiones terminadas. Interior cerrado 290 mm; columna derecha abierta 115 mm. Canto flexible 0,45 mm en todo el perímetro; mantener sellados recortes y perforaciones.</v>
      </c>
    </row>
    <row r="111" ht="43.20000076293945">
      <c r="A111" s="16" t="str">
        <v>Baño</v>
      </c>
      <c r="B111" s="16" t="str">
        <v>S04</v>
      </c>
      <c r="C111" s="16" t="str">
        <v>ESPEJO</v>
      </c>
      <c r="D111" s="17" t="str">
        <v>Entrepaño interior izquierdo</v>
      </c>
      <c r="E111" s="16" t="str">
        <v>RH15 Cartagena</v>
      </c>
      <c r="F111" s="16" t="n">
        <v>2</v>
      </c>
      <c r="G111" s="16" t="n">
        <v>290</v>
      </c>
      <c r="H111" s="16" t="n">
        <v>100</v>
      </c>
      <c r="I111" s="16" t="str">
        <v>F</v>
      </c>
      <c r="J111" s="16" t="str">
        <v>F</v>
      </c>
      <c r="K111" s="16" t="str">
        <v>F</v>
      </c>
      <c r="L111" s="16" t="str">
        <v>F</v>
      </c>
      <c r="M111" s="16" t="str">
        <v>Pequeña</v>
      </c>
      <c r="N111" s="16" t="str">
        <v>290 × 100</v>
      </c>
      <c r="O111" s="16" t="str">
        <v>289,1 × 99,1</v>
      </c>
      <c r="P111" s="17" t="str">
        <v>Si no la cantean: cortar a 289.1 × 99.1 y cantear en taller. Zona húmeda: proteger todos los bordes y sellar perforaciones; dimensiones terminadas. Dos entrepaños fijos como la referencia. Canto flexible 0,45 mm en todo el perímetro; mantener sellados recortes y perforaciones.</v>
      </c>
    </row>
    <row r="112" ht="43.20000076293945">
      <c r="A112" s="16" t="str">
        <v>Baño</v>
      </c>
      <c r="B112" s="16" t="str">
        <v>S05</v>
      </c>
      <c r="C112" s="16" t="str">
        <v>ESPEJO</v>
      </c>
      <c r="D112" s="17" t="str">
        <v>Entrepaño columna abierta derecha</v>
      </c>
      <c r="E112" s="16" t="str">
        <v>RH15 Cartagena</v>
      </c>
      <c r="F112" s="16" t="n">
        <v>1</v>
      </c>
      <c r="G112" s="16" t="n">
        <v>115</v>
      </c>
      <c r="H112" s="16" t="n">
        <v>100</v>
      </c>
      <c r="I112" s="16" t="str">
        <v>F</v>
      </c>
      <c r="J112" s="16" t="str">
        <v>F</v>
      </c>
      <c r="K112" s="16" t="str">
        <v>F</v>
      </c>
      <c r="L112" s="16" t="str">
        <v>F</v>
      </c>
      <c r="M112" s="16" t="str">
        <v>Pequeña</v>
      </c>
      <c r="N112" s="16" t="str">
        <v>115 × 100</v>
      </c>
      <c r="O112" s="16" t="str">
        <v>114,1 × 99,1</v>
      </c>
      <c r="P112" s="17" t="str">
        <v>Si no la cantean: cortar a 114.1 × 99.1 y cantear en taller. Zona húmeda: proteger todos los bordes y sellar perforaciones; dimensiones terminadas. Canto flexible 0,45 mm en todo el perímetro; mantener sellados recortes y perforaciones.</v>
      </c>
    </row>
    <row r="113" ht="43.20000076293945">
      <c r="A113" s="16" t="str">
        <v>Baño</v>
      </c>
      <c r="B113" s="16" t="str">
        <v>S06</v>
      </c>
      <c r="C113" s="16" t="str">
        <v>ESPEJO</v>
      </c>
      <c r="D113" s="17" t="str">
        <v>Tapa RH15 portadora del espejo</v>
      </c>
      <c r="E113" s="16" t="str">
        <v>RH15 Cartagena</v>
      </c>
      <c r="F113" s="16" t="n">
        <v>1</v>
      </c>
      <c r="G113" s="16" t="n">
        <v>500</v>
      </c>
      <c r="H113" s="16" t="n">
        <v>320</v>
      </c>
      <c r="I113" s="16" t="str">
        <v>F</v>
      </c>
      <c r="J113" s="16" t="str">
        <v>F</v>
      </c>
      <c r="K113" s="16" t="str">
        <v>F</v>
      </c>
      <c r="L113" s="16" t="str">
        <v>F</v>
      </c>
      <c r="M113" s="16" t="str">
        <v>Normal</v>
      </c>
      <c r="N113" s="16" t="str">
        <v>500 × 320</v>
      </c>
      <c r="O113" s="16" t="str">
        <v>499,1 × 319,1</v>
      </c>
      <c r="P113" s="17" t="str">
        <v>Medida exterior de referencia 320 × 500; espejo pegado en cara exterior. Dos bisagras candidatas, peso conjunto aproximado 2,8 kg sin herrajes. Validar holguras, cazoletas y adhesivo compatible con espejo. Canto flexible 0,45 mm en todo el perímetro; mantener sellados recortes y perforaciones.</v>
      </c>
    </row>
    <row r="114" ht="43.20000076293945">
      <c r="A114" s="16" t="str">
        <v>Baño</v>
      </c>
      <c r="B114" s="16" t="str">
        <v>F01</v>
      </c>
      <c r="C114" s="16" t="str">
        <v>ESPEJO</v>
      </c>
      <c r="D114" s="17" t="str">
        <v>Fondo blanco de 6 mm</v>
      </c>
      <c r="E114" s="16" t="str">
        <v>Fondo melamina blanco RH6</v>
      </c>
      <c r="F114" s="16" t="n">
        <v>1</v>
      </c>
      <c r="G114" s="16" t="n">
        <v>496</v>
      </c>
      <c r="H114" s="16" t="n">
        <v>446</v>
      </c>
      <c r="I114" s="16" t="str">
        <v>F</v>
      </c>
      <c r="J114" s="16" t="str">
        <v>F</v>
      </c>
      <c r="K114" s="16" t="str">
        <v>F</v>
      </c>
      <c r="L114" s="16" t="str">
        <v>F</v>
      </c>
      <c r="M114" s="16" t="str">
        <v>Normal</v>
      </c>
      <c r="N114" s="16" t="str">
        <v>496 × 446</v>
      </c>
      <c r="O114" s="16" t="str">
        <v>495,1 × 445,1</v>
      </c>
      <c r="P114" s="17" t="str">
        <v>Fondo aplicado por detrás, retranqueado 2 mm de los bordes. Reutilización de sobrantes de cocina solo se comprobará en la optimización conjunta final. No soporta el anclaje del gabinete. Canto flexible 0,45 mm en todo el perímetro; mantener sellados recortes y perforaciones.</v>
      </c>
    </row>
  </sheetData>
  <autoFilter ref="A6:P114"/>
  <pageMargins left="0.7" right="0.7" top="0.75" bottom="0.75" header="0.3" footer="0.3"/>
</worksheet>
</file>

<file path=xl/worksheets/sheet3.xml><?xml version="1.0" encoding="utf-8"?>
<x:worksheet xmlns:x="http://schemas.openxmlformats.org/spreadsheetml/2006/main">
  <x:sheetFormatPr baseColWidth="10" defaultColWidth="8.88671875" defaultRowHeight="14.399999618530273"/>
  <x:cols>
    <x:col min="1" max="1" width="12" customWidth="1"/>
    <x:col min="2" max="2" width="8" customWidth="1"/>
    <x:col min="3" max="3" width="11" customWidth="1"/>
    <x:col min="4" max="4" width="120" customWidth="1"/>
  </x:cols>
  <x:sheetData>
    <x:row r="2" ht="18">
      <x:c r="A2" s="10" t="str">
        <x:v>Encaje conjunto en láminas · propuesta de factibilidad</x:v>
      </x:c>
    </x:row>
    <x:row r="3">
      <x:c r="A3" s="11" t="str">
        <x:v>Cortes pasantes, sin rotar por la veta, refilado 10 mm por lado y sierra 4 mm. El plano de corte definitivo lo define la seccionadora del proveedor.</x:v>
      </x:c>
    </x:row>
    <x:row r="6">
      <x:c r="A6" s="12" t="str">
        <x:v>Material</x:v>
      </x:c>
      <x:c r="B6" s="12" t="str">
        <x:v>Lámina</x:v>
      </x:c>
      <x:c r="C6" s="12" t="str">
        <x:v>Ocupación</x:v>
      </x:c>
      <x:c r="D6" s="12" t="str">
        <x:v>Piezas</x:v>
      </x:c>
    </x:row>
    <x:row r="7">
      <x:c r="A7" s="13" t="str">
        <x:v>RH15</x:v>
      </x:c>
      <x:c r="B7" s="13" t="n">
        <x:v>1</x:v>
      </x:c>
      <x:c r="C7" s="18" t="n">
        <x:v>0.969</x:v>
      </x:c>
      <x:c r="D7" s="17" t="str">
        <x:v>Clóset C3-011, Clóset C3-023, Cocina P016, Cocina P011, Cocina P002, Cocina P019, Cocina P019, Cocina P018, Cocina P003, Cocina P003</x:v>
      </x:c>
    </x:row>
    <x:row r="8" ht="28.799999237060547">
      <x:c r="A8" s="13" t="str">
        <x:v>RH15</x:v>
      </x:c>
      <x:c r="B8" s="13" t="n">
        <x:v>2</x:v>
      </x:c>
      <x:c r="C8" s="18" t="n">
        <x:v>0.886</x:v>
      </x:c>
      <x:c r="D8" s="17" t="str">
        <x:v>Clóset C3-023, Clóset C3-009, Clóset C3-010, Clóset C3-012, Clóset C3-006, Clóset C3-020, Cocina P040, Cocina P041, Cocina P043, Clóset C3-019, Baño B04, Baño S05</x:v>
      </x:c>
    </x:row>
    <x:row r="9">
      <x:c r="A9" s="13" t="str">
        <x:v>RH15</x:v>
      </x:c>
      <x:c r="B9" s="13" t="n">
        <x:v>3</x:v>
      </x:c>
      <x:c r="C9" s="18" t="n">
        <x:v>0.89</x:v>
      </x:c>
      <x:c r="D9" s="17" t="str">
        <x:v>Clóset C3-005, Cocina P037, Clóset C3-003, Cocina P001, Cocina P001, Cocina P024, Baño B02, Clóset C3-021, Baño S03, Baño B04</x:v>
      </x:c>
    </x:row>
    <x:row r="10">
      <x:c r="A10" s="13" t="str">
        <x:v>RH15</x:v>
      </x:c>
      <x:c r="B10" s="13" t="n">
        <x:v>4</x:v>
      </x:c>
      <x:c r="C10" s="18" t="n">
        <x:v>0.895</x:v>
      </x:c>
      <x:c r="D10" s="17" t="str">
        <x:v>Clóset C3-001, Clóset C3-001, Cocina P006, Cocina P006, Cocina P013, Cocina P070, Cocina P063, Cocina P064</x:v>
      </x:c>
    </x:row>
    <x:row r="11">
      <x:c r="A11" s="13" t="str">
        <x:v>RH15</x:v>
      </x:c>
      <x:c r="B11" s="13" t="n">
        <x:v>5</x:v>
      </x:c>
      <x:c r="C11" s="18" t="n">
        <x:v>0.885</x:v>
      </x:c>
      <x:c r="D11" s="17" t="str">
        <x:v>Clóset C3-002, Cocina P012, Cocina P012, Cocina P023, Cocina P023, Clóset C3-017, Clóset C3-017, Cocina P022, Cocina P029, Baño B01</x:v>
      </x:c>
    </x:row>
    <x:row r="12" ht="43.20000076293945">
      <x:c r="A12" s="13" t="str">
        <x:v>RH15</x:v>
      </x:c>
      <x:c r="B12" s="13" t="n">
        <x:v>6</x:v>
      </x:c>
      <x:c r="C12" s="18" t="n">
        <x:v>0.909</x:v>
      </x:c>
      <x:c r="D12" s="17" t="str">
        <x:v>Cocina P030, Cocina P030, Clóset C3-004, Clóset C3-017, Cocina P017, Cocina P009, Cocina P027, Cocina P028, Clóset C3-024, Cocina P056, Cocina P057, Cocina P039, Cocina P039, Cocina P038, Cocina P066, Clóset C3-014, Clóset C3-013, Clóset C3-007, Baño S02, Cocina P060, Baño B05, Clóset C3-019, Clóset C3-019, Baño S04, Baño S04</x:v>
      </x:c>
    </x:row>
    <x:row r="13" ht="43.20000076293945">
      <x:c r="A13" s="13" t="str">
        <x:v>RH15</x:v>
      </x:c>
      <x:c r="B13" s="13" t="n">
        <x:v>7</x:v>
      </x:c>
      <x:c r="C13" s="18" t="n">
        <x:v>0.897</x:v>
      </x:c>
      <x:c r="D13" s="17" t="str">
        <x:v>Cocina P007, Cocina P050, Cocina P050, Cocina P058, Cocina P058, Cocina P065, Cocina P065, Cocina P059, Cocina P031, Cocina P054, Baño B01, Cocina P051, Cocina P052, Clóset C3-015, Clóset C3-015, Clóset C3-015, Cocina P044, Cocina P005, Cocina P038, Cocina P067, Cocina P045, Cocina P055, Cocina P055, Clóset C3-008, Cocina P025, Cocina P025, Cocina P014, Cocina P014, Cocina P061</x:v>
      </x:c>
    </x:row>
    <x:row r="14" ht="57.599998474121094">
      <x:c r="A14" s="13" t="str">
        <x:v>RH15</x:v>
      </x:c>
      <x:c r="B14" s="13" t="n">
        <x:v>8</x:v>
      </x:c>
      <x:c r="C14" s="18" t="n">
        <x:v>0.731</x:v>
      </x:c>
      <x:c r="D14" s="17" t="str">
        <x:v>Cocina P049, Cocina P034, Baño B03, Cocina P046, Cocina P047, Cocina P020, Cocina P021, Baño S06, Cocina P035, Baño B06, Clóset C3-018, Clóset C3-018, Clóset C3-018, Clóset C3-018, Clóset C3-018, Clóset C3-018, Cocina P036, Cocina P045, Cocina P069, Clóset C3-016, Clóset C3-016, Clóset C3-016, Clóset C3-016, Clóset C3-016, Clóset C3-016, Cocina P008, Baño S01, Baño S01, Cocina P010, Baño S02, Cocina P018, Clóset C3-022, Clóset C3-022, Clóset C3-022, Cocina P032, Cocina P032, Cocina P071</x:v>
      </x:c>
    </x:row>
    <x:row r="15">
      <x:c r="A15" s="13" t="str">
        <x:v>Fondo RH6</x:v>
      </x:c>
      <x:c r="B15" s="13" t="n">
        <x:v>1</x:v>
      </x:c>
      <x:c r="C15" s="18" t="n">
        <x:v>0.639</x:v>
      </x:c>
      <x:c r="D15" s="17" t="str">
        <x:v>Cocina P026, Cocina P015, Cocina P062, Cocina P053, Cocina P033, Cocina P068, Baño F01, Cocina P048, Cocina P004, Cocina P042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8671875" defaultRowHeight="14.399999618530273"/>
  <x:cols>
    <x:col min="1" max="1" width="18" customWidth="1"/>
    <x:col min="2" max="2" width="22" customWidth="1"/>
    <x:col min="3" max="3" width="14" customWidth="1"/>
    <x:col min="4" max="4" width="10" customWidth="1"/>
  </x:cols>
  <x:sheetData>
    <x:row r="2" ht="18">
      <x:c r="A2" s="10" t="str">
        <x:v>Canto conjunto</x:v>
      </x:c>
    </x:row>
    <x:row r="3">
      <x:c r="A3" s="11" t="str">
        <x:v>Metros netos de cada despiece; compra con 5 cm por borde y 10 % de margen.</x:v>
      </x:c>
    </x:row>
    <x:row r="6">
      <x:c r="A6" s="12" t="str">
        <x:v>Tipo</x:v>
      </x:c>
      <x:c r="B6" s="12" t="str">
        <x:v>Mueble</x:v>
      </x:c>
      <x:c r="C6" s="12" t="str">
        <x:v>Metros netos</x:v>
      </x:c>
      <x:c r="D6" s="12" t="str">
        <x:v>Bordes</x:v>
      </x:c>
    </x:row>
    <x:row r="7">
      <x:c r="A7" s="13" t="str">
        <x:v>Rígido 2 mm</x:v>
      </x:c>
      <x:c r="B7" s="13" t="str">
        <x:v>Cocina</x:v>
      </x:c>
      <x:c r="C7" s="13" t="n">
        <x:v>30.137</x:v>
      </x:c>
      <x:c r="D7" s="13" t="n">
        <x:v>62</x:v>
      </x:c>
    </x:row>
    <x:row r="8">
      <x:c r="A8" s="13" t="str">
        <x:v>Rígido 2 mm</x:v>
      </x:c>
      <x:c r="B8" s="13" t="str">
        <x:v>Clóset</x:v>
      </x:c>
      <x:c r="C8" s="13" t="n">
        <x:v>18.804</x:v>
      </x:c>
      <x:c r="D8" s="13" t="n">
        <x:v>20</x:v>
      </x:c>
    </x:row>
    <x:row r="9">
      <x:c r="A9" s="13" t="str">
        <x:v>Rígido 2 mm</x:v>
      </x:c>
      <x:c r="B9" s="13" t="str">
        <x:v>Baño</x:v>
      </x:c>
      <x:c r="C9" s="13" t="n">
        <x:v>1.632</x:v>
      </x:c>
      <x:c r="D9" s="13" t="n">
        <x:v>4</x:v>
      </x:c>
    </x:row>
    <x:row r="10">
      <x:c r="A10" s="14" t="str">
        <x:v>Rígido 2 mm</x:v>
      </x:c>
      <x:c r="B10" s="14" t="str">
        <x:v>Total · comprar 61 m</x:v>
      </x:c>
      <x:c r="C10" s="14" t="n">
        <x:v>50.573</x:v>
      </x:c>
      <x:c r="D10" s="14" t="n">
        <x:v>86</x:v>
      </x:c>
    </x:row>
    <x:row r="12">
      <x:c r="A12" s="13" t="str">
        <x:v>Flexible 0,45 mm</x:v>
      </x:c>
      <x:c r="B12" s="13" t="str">
        <x:v>Cocina</x:v>
      </x:c>
      <x:c r="C12" s="13" t="n">
        <x:v>68.018</x:v>
      </x:c>
      <x:c r="D12" s="13" t="n">
        <x:v>150</x:v>
      </x:c>
    </x:row>
    <x:row r="13">
      <x:c r="A13" s="13" t="str">
        <x:v>Flexible 0,45 mm</x:v>
      </x:c>
      <x:c r="B13" s="13" t="str">
        <x:v>Clóset</x:v>
      </x:c>
      <x:c r="C13" s="13" t="n">
        <x:v>51.885</x:v>
      </x:c>
      <x:c r="D13" s="13" t="n">
        <x:v>80</x:v>
      </x:c>
    </x:row>
    <x:row r="14">
      <x:c r="A14" s="13" t="str">
        <x:v>Flexible 0,45 mm</x:v>
      </x:c>
      <x:c r="B14" s="13" t="str">
        <x:v>Baño</x:v>
      </x:c>
      <x:c r="C14" s="13" t="n">
        <x:v>21.393</x:v>
      </x:c>
      <x:c r="D14" s="13" t="n">
        <x:v>70</x:v>
      </x:c>
    </x:row>
    <x:row r="15">
      <x:c r="A15" s="14" t="str">
        <x:v>Flexible 0,45 mm</x:v>
      </x:c>
      <x:c r="B15" s="14" t="str">
        <x:v>Total · comprar 172 m</x:v>
      </x:c>
      <x:c r="C15" s="14" t="n">
        <x:v>141.296</x:v>
      </x:c>
      <x:c r="D15" s="14" t="n">
        <x:v>300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8.88671875" defaultRowHeight="14.399999618530273"/>
  <x:cols>
    <x:col min="1" max="1" width="20" customWidth="1"/>
    <x:col min="2" max="2" width="46" customWidth="1"/>
    <x:col min="3" max="3" width="20" customWidth="1"/>
    <x:col min="4" max="4" width="7" customWidth="1"/>
    <x:col min="5" max="5" width="9" customWidth="1"/>
    <x:col min="6" max="6" width="14" customWidth="1"/>
    <x:col min="7" max="7" width="15" customWidth="1"/>
    <x:col min="8" max="8" width="80" customWidth="1"/>
  </x:cols>
  <x:sheetData>
    <x:row r="2" ht="18">
      <x:c r="A2" s="10" t="str">
        <x:v>Compras consolidadas</x:v>
      </x:c>
    </x:row>
    <x:row r="3">
      <x:c r="A3" s="11" t="str">
        <x:v>Precios de referencia de los Excel de cada mueble. «cotizar» = sin precio; no equivale a cero.</x:v>
      </x:c>
    </x:row>
    <x:row r="9" ht="28.799999237060547">
      <x:c r="A9" s="12" t="str">
        <x:v>Grupo</x:v>
      </x:c>
      <x:c r="B9" s="12" t="str">
        <x:v>Ítem</x:v>
      </x:c>
      <x:c r="C9" s="12" t="str">
        <x:v>Mueble</x:v>
      </x:c>
      <x:c r="D9" s="12" t="str">
        <x:v>Cant.</x:v>
      </x:c>
      <x:c r="E9" s="12" t="str">
        <x:v>Unidad</x:v>
      </x:c>
      <x:c r="F9" s="12" t="str">
        <x:v>Precio unitario (COP)</x:v>
      </x:c>
      <x:c r="G9" s="12" t="str">
        <x:v>Subtotal (COP)</x:v>
      </x:c>
      <x:c r="H9" s="12" t="str">
        <x:v>Nota</x:v>
      </x:c>
    </x:row>
    <x:row r="10" ht="28.799999237060547">
      <x:c r="A10" s="13" t="str">
        <x:v>Tableros y cantos</x:v>
      </x:c>
      <x:c r="B10" s="13" t="str">
        <x:v>Tablero melamina Cartagena RH15 · 2440 × 2150</x:v>
      </x:c>
      <x:c r="C10" s="13" t="str">
        <x:v>Cocina, clóset y baño</x:v>
      </x:c>
      <x:c r="D10" s="13" t="n">
        <x:v>8</x:v>
      </x:c>
      <x:c r="E10" s="13" t="str">
        <x:v>lámina</x:v>
      </x:c>
      <x:c r="F10" s="19" t="n">
        <x:v>365872</x:v>
      </x:c>
      <x:c r="G10" s="19" t="n">
        <x:f t="shared" ref="G10:G41" si="0">IF(AND(ISNUMBER(D10),ISNUMBER(F10)),D10*F10,"Por cotizar")</x:f>
        <x:v>2926976</x:v>
      </x:c>
      <x:c r="H10" s="17" t="str">
        <x:v>Encaje conjunto de las piezas RH15 de los tres muebles en 8 láminas (hoja Láminas). Por separado serían 10.</x:v>
      </x:c>
    </x:row>
    <x:row r="11">
      <x:c r="A11" s="13" t="str">
        <x:v>Tableros y cantos</x:v>
      </x:c>
      <x:c r="B11" s="13" t="str">
        <x:v>Fondo melamina blanco RH6 · 2440 × 2150</x:v>
      </x:c>
      <x:c r="C11" s="13" t="str">
        <x:v>Cocina y baño</x:v>
      </x:c>
      <x:c r="D11" s="13" t="n">
        <x:v>1</x:v>
      </x:c>
      <x:c r="E11" s="13" t="str">
        <x:v>lámina</x:v>
      </x:c>
      <x:c r="F11" s="19" t="n">
        <x:v>212534</x:v>
      </x:c>
      <x:c r="G11" s="19" t="n">
        <x:f t="shared" si="0">IF(AND(ISNUMBER(D11),ISNUMBER(F11)),D11*F11,"Por cotizar")</x:f>
        <x:v>212534</x:v>
      </x:c>
      <x:c r="H11" s="17" t="str">
        <x:v>Los 9 fondos de la cocina y el fondo del gabinete del baño caben en una lámina.</x:v>
      </x:c>
    </x:row>
    <x:row r="12">
      <x:c r="A12" s="13" t="str">
        <x:v>Tableros y cantos</x:v>
      </x:c>
      <x:c r="B12" s="13" t="str">
        <x:v>Canto rígido Cartagena 19 × 2 mm · rollo 100 m</x:v>
      </x:c>
      <x:c r="C12" s="13" t="str">
        <x:v>Cocina, clóset y baño</x:v>
      </x:c>
      <x:c r="D12" s="13" t="n">
        <x:v>1</x:v>
      </x:c>
      <x:c r="E12" s="13" t="str">
        <x:v>rollo</x:v>
      </x:c>
      <x:c r="F12" s="19" t="n">
        <x:v>531600</x:v>
      </x:c>
      <x:c r="G12" s="19" t="n">
        <x:f t="shared" si="0">IF(AND(ISNUMBER(D12),ISNUMBER(F12)),D12*F12,"Por cotizar")</x:f>
        <x:v>531600</x:v>
      </x:c>
      <x:c r="H12" s="17" t="str">
        <x:v>Necesario 61 m: 50,6 m netos + 5 cm por borde (86 bordes) + 10 %.</x:v>
      </x:c>
    </x:row>
    <x:row r="13">
      <x:c r="A13" s="13" t="str">
        <x:v>Tableros y cantos</x:v>
      </x:c>
      <x:c r="B13" s="13" t="str">
        <x:v>Canto rígido Cartagena 19 × 2 mm · metros sueltos</x:v>
      </x:c>
      <x:c r="C13" s="13" t="str">
        <x:v>Cocina, clóset y baño</x:v>
      </x:c>
      <x:c r="D13" s="13" t="n">
        <x:v>0</x:v>
      </x:c>
      <x:c r="E13" s="13" t="str">
        <x:v>m</x:v>
      </x:c>
      <x:c r="F13" s="19" t="str">
        <x:v>cotizar</x:v>
      </x:c>
      <x:c r="G13" s="19" t="str">
        <x:f t="shared" si="0">IF(AND(ISNUMBER(D13),ISNUMBER(F13)),D13*F13,"Por cotizar")</x:f>
        <x:v>Por cotizar</x:v>
      </x:c>
      <x:c r="H13" s="17" t="str">
        <x:v>Complemento del rollo de 100 m; se compra suelto en la sucursal.</x:v>
      </x:c>
    </x:row>
    <x:row r="14" ht="28.799999237060547">
      <x:c r="A14" s="13" t="str">
        <x:v>Tableros y cantos</x:v>
      </x:c>
      <x:c r="B14" s="13" t="str">
        <x:v>Canto flexible Cartagena 19 × 0,45 mm · rollo 200 m</x:v>
      </x:c>
      <x:c r="C14" s="13" t="str">
        <x:v>Cocina, clóset y baño</x:v>
      </x:c>
      <x:c r="D14" s="13" t="n">
        <x:v>1</x:v>
      </x:c>
      <x:c r="E14" s="13" t="str">
        <x:v>rollo</x:v>
      </x:c>
      <x:c r="F14" s="19" t="n">
        <x:v>285600</x:v>
      </x:c>
      <x:c r="G14" s="19" t="n">
        <x:f t="shared" si="0">IF(AND(ISNUMBER(D14),ISNUMBER(F14)),D14*F14,"Por cotizar")</x:f>
        <x:v>285600</x:v>
      </x:c>
      <x:c r="H14" s="17" t="str">
        <x:v>Necesario 172 m: 141,3 m netos + 5 cm por borde (300 bordes) + 10 %. Sobran unos 28 m para cantear en el armado las piezas pequeñas que no acepte la máquina.</x:v>
      </x:c>
    </x:row>
    <x:row r="15" ht="28.799999237060547">
      <x:c r="A15" s="13" t="str">
        <x:v>Herrajes</x:v>
      </x:c>
      <x:c r="B15" s="13" t="str">
        <x:v>Perfil gola superior × 3 m</x:v>
      </x:c>
      <x:c r="C15" s="13" t="str">
        <x:v>Cocina</x:v>
      </x:c>
      <x:c r="D15" s="13" t="n">
        <x:v>1</x:v>
      </x:c>
      <x:c r="E15" s="13" t="str"/>
      <x:c r="F15" s="19" t="n">
        <x:v>41215</x:v>
      </x:c>
      <x:c r="G15" s="19" t="n">
        <x:f t="shared" si="0">IF(AND(ISNUMBER(D15),ISNUMBER(F15)),D15*F15,"Por cotizar")</x:f>
        <x:v>41215</x:v>
      </x:c>
      <x:c r="H15" s="17" t="str">
        <x:v>Tramos B1 180 + B3/B5/B4 1770 = 1950 mm; interrumpido en el horno. Los rebajes en laterales y travesaños se hacen en el armado, según el borde del mesón (ver Pendientes).</x:v>
      </x:c>
    </x:row>
    <x:row r="16">
      <x:c r="A16" s="13" t="str">
        <x:v>Herrajes</x:v>
      </x:c>
      <x:c r="B16" s="13" t="str">
        <x:v>Perfil gola media × 3 m</x:v>
      </x:c>
      <x:c r="C16" s="13" t="str">
        <x:v>Cocina</x:v>
      </x:c>
      <x:c r="D16" s="13" t="n">
        <x:v>1</x:v>
      </x:c>
      <x:c r="E16" s="13" t="str"/>
      <x:c r="F16" s="19" t="n">
        <x:v>51014</x:v>
      </x:c>
      <x:c r="G16" s="19" t="n">
        <x:f t="shared" si="0">IF(AND(ISNUMBER(D16),ISNUMBER(F16)),D16*F16,"Por cotizar")</x:f>
        <x:v>51014</x:v>
      </x:c>
      <x:c r="H16" s="17" t="str">
        <x:v>Tramos B3 670 + B4 400 = 1070 mm. Una barra de 3 m; remates y mecanizados por validar.</x:v>
      </x:c>
    </x:row>
    <x:row r="17" ht="28.799999237060547">
      <x:c r="A17" s="13" t="str">
        <x:v>Herrajes</x:v>
      </x:c>
      <x:c r="B17" s="13" t="str">
        <x:v>Riel Bonuit HRE550-55N · negro · 550 mm · cierre lento 30 kg · par</x:v>
      </x:c>
      <x:c r="C17" s="13" t="str">
        <x:v>Cocina</x:v>
      </x:c>
      <x:c r="D17" s="13" t="n">
        <x:v>1</x:v>
      </x:c>
      <x:c r="E17" s="13" t="str"/>
      <x:c r="F17" s="19" t="n">
        <x:v>47034</x:v>
      </x:c>
      <x:c r="G17" s="19" t="n">
        <x:f t="shared" si="0">IF(AND(ISNUMBER(D17),ISNUMBER(F17)),D17*F17,"Por cotizar")</x:f>
        <x:v>47034</x:v>
      </x:c>
      <x:c r="H17" s="17" t="str">
        <x:v>Solo cajón cubiertero B3. Vano 640 − 27 = caja 613; interior 583 × 520. Precio previo 47.034 COP/par. B4 lleva plataforma RH sin paredes encima y otro par HRE126-55.</x:v>
      </x:c>
    </x:row>
    <x:row r="18" ht="43.20000076293945">
      <x:c r="A18" s="13" t="str">
        <x:v>Herrajes</x:v>
      </x:c>
      <x:c r="B18" s="13" t="str">
        <x:v>Platero HSO566-03G · nominal 700 mm · herraje 680 × 245</x:v>
      </x:c>
      <x:c r="C18" s="13" t="str">
        <x:v>Cocina</x:v>
      </x:c>
      <x:c r="D18" s="13" t="n">
        <x:v>1</x:v>
      </x:c>
      <x:c r="E18" s="13" t="str"/>
      <x:c r="F18" s="19" t="n">
        <x:v>63539</x:v>
      </x:c>
      <x:c r="G18" s="19" t="n">
        <x:f t="shared" si="0">IF(AND(ISNUMBER(D18),ISNUMBER(F18)),D18*F18,"Por cotizar")</x:f>
        <x:v>63539</x:v>
      </x:c>
      <x:c r="H18" s="17" t="str">
        <x:v>HSO566-03G gris antracita: precio conservado $63.539. Ficha transcrita por usuario: 680 × 245, carga máxima 7 kg, acero 201 pintado, cuatro fijaciones Ø10; cotas y profundidad de taladro a verificar con pieza real. Marcar en obra.</x:v>
      </x:c>
    </x:row>
    <x:row r="19">
      <x:c r="A19" s="13" t="str">
        <x:v>Herrajes</x:v>
      </x:c>
      <x:c r="B19" s="13" t="str">
        <x:v>Cubiertero HSC910-40 · 360 × 480 × 50 mm</x:v>
      </x:c>
      <x:c r="C19" s="13" t="str">
        <x:v>Cocina</x:v>
      </x:c>
      <x:c r="D19" s="13" t="n">
        <x:v>1</x:v>
      </x:c>
      <x:c r="E19" s="13" t="str"/>
      <x:c r="F19" s="19" t="n">
        <x:v>38791</x:v>
      </x:c>
      <x:c r="G19" s="19" t="n">
        <x:f t="shared" si="0">IF(AND(ISNUMBER(D19),ISNUMBER(F19)),D19*F19,"Por cotizar")</x:f>
        <x:v>38791</x:v>
      </x:c>
      <x:c r="H19" s="17" t="str">
        <x:v>360 × 480 × 50 en interior B3 de 583 × 520; removible a un lado, sin divisor fijo.</x:v>
      </x:c>
    </x:row>
    <x:row r="20">
      <x:c r="A20" s="13" t="str">
        <x:v>Herrajes</x:v>
      </x:c>
      <x:c r="B20" s="13" t="str">
        <x:v>Pata niveladora para zócalo 100 mm</x:v>
      </x:c>
      <x:c r="C20" s="13" t="str">
        <x:v>Cocina</x:v>
      </x:c>
      <x:c r="D20" s="13" t="n">
        <x:v>24</x:v>
      </x:c>
      <x:c r="E20" s="13" t="str"/>
      <x:c r="F20" s="19" t="n">
        <x:v>2042</x:v>
      </x:c>
      <x:c r="G20" s="19" t="n">
        <x:f t="shared" si="0">IF(AND(ISNUMBER(D20),ISNUMBER(F20)),D20*F20,"Por cotizar")</x:f>
        <x:v>49008</x:v>
      </x:c>
      <x:c r="H20" s="17" t="str">
        <x:v>Cinco módulos bajos: 20 apoyos básicos + 4 refuerzos por distribuir según cargas. Madecentro.</x:v>
      </x:c>
    </x:row>
    <x:row r="21" ht="28.799999237060547">
      <x:c r="A21" s="13" t="str">
        <x:v>Herrajes</x:v>
      </x:c>
      <x:c r="B21" s="13" t="str">
        <x:v>Colgador regulable para gabinete superior (par)</x:v>
      </x:c>
      <x:c r="C21" s="13" t="str">
        <x:v>Cocina</x:v>
      </x:c>
      <x:c r="D21" s="13" t="n">
        <x:v>5</x:v>
      </x:c>
      <x:c r="E21" s="13" t="str"/>
      <x:c r="F21" s="19" t="str">
        <x:v>cotizar</x:v>
      </x:c>
      <x:c r="G21" s="19" t="str">
        <x:f t="shared" si="0">IF(AND(ISNUMBER(D21),ISNUMBER(F21)),D21*F21,"Por cotizar")</x:f>
        <x:v>Por cotizar</x:v>
      </x:c>
      <x:c r="H21" s="17" t="str">
        <x:v>Uno por gabinete superior (S1–S5). Verificar cabida en S1 (luz 165) y riel mural compatible; sin listones a 45° definidos.</x:v>
      </x:c>
    </x:row>
    <x:row r="22" ht="43.20000076293945">
      <x:c r="A22" s="13" t="str">
        <x:v>Herrajes</x:v>
      </x:c>
      <x:c r="B22" s="13" t="str">
        <x:v>Soportes de entrepaño y tornillería</x:v>
      </x:c>
      <x:c r="C22" s="13" t="str">
        <x:v>Cocina</x:v>
      </x:c>
      <x:c r="D22" s="13" t="n">
        <x:v>1</x:v>
      </x:c>
      <x:c r="E22" s="13" t="str"/>
      <x:c r="F22" s="19" t="str">
        <x:v>cotizar</x:v>
      </x:c>
      <x:c r="G22" s="19" t="str">
        <x:f t="shared" si="0">IF(AND(ISNUMBER(D22),ISNUMBER(F22)),D22*F22,"Por cotizar")</x:f>
        <x:v>Por cotizar</x:v>
      </x:c>
      <x:c r="H22" s="17" t="str">
        <x:v>24 soportes de entrepaño (6 entrepaños × 4: S1, dos en S3, S5, B3 y B5). Tornillos de armado 4 × 50 (≈150) y de herrajes 4 × 16 (≈150), cantidad preliminar; no duplicar los 12 que trae cada par de rieles. Fijaciones de fondos y anclajes según muro real.</x:v>
      </x:c>
    </x:row>
    <x:row r="23" ht="72">
      <x:c r="A23" s="13" t="str">
        <x:v>Herrajes</x:v>
      </x:c>
      <x:c r="B23" s="13" t="str">
        <x:v>Condimentero Bonuit HSO317-15R · tres niveles · cierre lento</x:v>
      </x:c>
      <x:c r="C23" s="13" t="str">
        <x:v>Cocina</x:v>
      </x:c>
      <x:c r="D23" s="13" t="n">
        <x:v>1</x:v>
      </x:c>
      <x:c r="E23" s="13" t="str"/>
      <x:c r="F23" s="19" t="n">
        <x:v>122902</x:v>
      </x:c>
      <x:c r="G23" s="19" t="n">
        <x:f t="shared" si="0">IF(AND(ISNUMBER(D23),ISNUMBER(F23)),D23*F23,"Por cotizar")</x:f>
        <x:v>122902</x:v>
      </x:c>
      <x:c r="H23" s="17" t="str">
        <x:v>Precio aportado por usuario 26/10/2026. Módulo nominal 150 × 500 × 600, herraje 100 × 446 × 470; con rieles laterales el conjunto mide 135 mm (medido por el usuario), por eso B1 es de 180 exterior (150 libres). Incluye rieles y enganches; no comprar otro par. https://madecentro.com/products/canasta-condimentero-tres-niveles-gris-antracita-cierre-lento-copia</x:v>
      </x:c>
    </x:row>
    <x:row r="24" ht="57.599998474121094">
      <x:c r="A24" s="13" t="str">
        <x:v>Herrajes</x:v>
      </x:c>
      <x:c r="B24" s="13" t="str">
        <x:v>Basurero Bonuit HSO688-00 · bandeja y 2 recipientes · 12 L</x:v>
      </x:c>
      <x:c r="C24" s="13" t="str">
        <x:v>Cocina</x:v>
      </x:c>
      <x:c r="D24" s="13" t="n">
        <x:v>1</x:v>
      </x:c>
      <x:c r="E24" s="13" t="str"/>
      <x:c r="F24" s="19" t="n">
        <x:v>109700</x:v>
      </x:c>
      <x:c r="G24" s="19" t="n">
        <x:f t="shared" si="0">IF(AND(ISNUMBER(D24),ISNUMBER(F24)),D24*F24,"Por cotizar")</x:f>
        <x:v>109700</x:v>
      </x:c>
      <x:c r="H24" s="17" t="str">
        <x:v>Precio aportado por usuario 26/10/2026. Herraje 485 × 330 × 215, módulo nominal 400. NO incluye sistema extraíble. https://madecentro.com/collections/herrajes-para-cocina/products/hso688-00-basureras-y-estructura-plastica-gris-de-12l-2-basureas-330x485x215mm-para-modulo-de-400</x:v>
      </x:c>
    </x:row>
    <x:row r="25" ht="57.599998474121094">
      <x:c r="A25" s="13" t="str">
        <x:v>Herrajes</x:v>
      </x:c>
      <x:c r="B25" s="13" t="str">
        <x:v>Riel Mobile HRE126-55 · 550 mm · extensión total 38 kg · cierre normal · par</x:v>
      </x:c>
      <x:c r="C25" s="13" t="str">
        <x:v>Cocina</x:v>
      </x:c>
      <x:c r="D25" s="13" t="n">
        <x:v>1</x:v>
      </x:c>
      <x:c r="E25" s="13" t="str"/>
      <x:c r="F25" s="19" t="n">
        <x:v>12560</x:v>
      </x:c>
      <x:c r="G25" s="19" t="n">
        <x:f t="shared" si="0">IF(AND(ISNUMBER(D25),ISNUMBER(F25)),D25*F25,"Por cotizar")</x:f>
        <x:v>12560</x:v>
      </x:c>
      <x:c r="H25" s="17" t="str">
        <x:v>Precio consultado 26/10/2026 para variante 55 cm. Incluye par y 12 tornillos. Montaje lateral VERTICAL en largueros inferiores, no acostado. Descuento de ancho, altura y perforación pendientes de ficha HRE126. https://madecentro.com/products/riel-corredera-para-cajon-de-extension-total-carga-media-38-kg?variant=45720301699302</x:v>
      </x:c>
    </x:row>
    <x:row r="26" ht="28.799999237060547">
      <x:c r="A26" s="13" t="str">
        <x:v>Herrajes</x:v>
      </x:c>
      <x:c r="B26" s="13" t="str">
        <x:v>Riel mural y fijaciones compatibles con colgadores superiores</x:v>
      </x:c>
      <x:c r="C26" s="13" t="str">
        <x:v>Cocina</x:v>
      </x:c>
      <x:c r="D26" s="13" t="n">
        <x:v>1</x:v>
      </x:c>
      <x:c r="E26" s="13" t="str"/>
      <x:c r="F26" s="19" t="str">
        <x:v>cotizar</x:v>
      </x:c>
      <x:c r="G26" s="19" t="str">
        <x:f t="shared" si="0">IF(AND(ISNUMBER(D26),ISNUMBER(F26)),D26*F26,"Por cotizar")</x:f>
        <x:v>Por cotizar</x:v>
      </x:c>
      <x:c r="H26" s="17" t="str">
        <x:v>Sistema para 5 gabinetes; S1 luz 165. Dimensionar anclajes según farol/muro real, carga y fabricante. No hay suspensión de bajos a 45°.</x:v>
      </x:c>
    </x:row>
    <x:row r="27" ht="57.599998474121094">
      <x:c r="A27" s="13" t="str">
        <x:v>Herrajes</x:v>
      </x:c>
      <x:c r="B27" s="13" t="str">
        <x:v>Brazo neumático Bonuit HEC060-03 · 60 N · gris (unidad)</x:v>
      </x:c>
      <x:c r="C27" s="13" t="str">
        <x:v>Cocina</x:v>
      </x:c>
      <x:c r="D27" s="13" t="n">
        <x:v>2</x:v>
      </x:c>
      <x:c r="E27" s="13" t="str"/>
      <x:c r="F27" s="19" t="n">
        <x:v>9126</x:v>
      </x:c>
      <x:c r="G27" s="19" t="n">
        <x:f t="shared" si="0">IF(AND(ISNUMBER(D27),ISNUMBER(F27)),D27*F27,"Por cotizar")</x:f>
        <x:v>18252</x:v>
      </x:c>
      <x:c r="H27" s="17" t="str">
        <x:v>2 por módulo de 600; 9.126 COP/unidad aportados por usuario 26/10/2026. Incluye platinas y tornillos; requiere bisagras (dos superiores ya previstas, sin duplicarlas). Fuerza y montaje a validar con peso real de puerta; 2,07 kg es aproximación del usuario. https://madecentro.com/products/hec060-03-brazo-neumatico-cierre-lento-60n</x:v>
      </x:c>
    </x:row>
    <x:row r="28" ht="57.599998474121094">
      <x:c r="A28" s="13" t="str">
        <x:v>Herrajes</x:v>
      </x:c>
      <x:c r="B28" s="13" t="str">
        <x:v>Fijaciones de gola con tornillo · previsión compatible</x:v>
      </x:c>
      <x:c r="C28" s="13" t="str">
        <x:v>Cocina</x:v>
      </x:c>
      <x:c r="D28" s="13" t="n">
        <x:v>10</x:v>
      </x:c>
      <x:c r="E28" s="13" t="str"/>
      <x:c r="F28" s="19" t="n">
        <x:v>2998</x:v>
      </x:c>
      <x:c r="G28" s="19" t="n">
        <x:f t="shared" si="0">IF(AND(ISNUMBER(D28),ISNUMBER(F28)),D28*F28,"Por cotizar")</x:f>
        <x:v>29980</x:v>
      </x:c>
      <x:c r="H28" s="17" t="str">
        <x:v>8 extremos de cuatro tramos + 2 apoyos intermedios en superior de 1770 mm. Previsión de diseño, no separación certificada. Precio de referencia Mobile: confirmar compatibilidad con gola comprada antes de comprar/mecanizar. https://madecentro.com/products/escuadra-para-perfil-gola-peralm63-64</x:v>
      </x:c>
    </x:row>
    <x:row r="29" ht="28.799999237060547">
      <x:c r="A29" s="13" t="str">
        <x:v>Herrajes</x:v>
      </x:c>
      <x:c r="B29" s="13" t="str">
        <x:v>HRE320-45 · Riel lateral 450 mm</x:v>
      </x:c>
      <x:c r="C29" s="13" t="str">
        <x:v>Clóset</x:v>
      </x:c>
      <x:c r="D29" s="13" t="n">
        <x:v>3</x:v>
      </x:c>
      <x:c r="E29" s="13" t="str">
        <x:v>par</x:v>
      </x:c>
      <x:c r="F29" s="19" t="n">
        <x:v>11287</x:v>
      </x:c>
      <x:c r="G29" s="19" t="n">
        <x:f t="shared" si="0">IF(AND(ISNUMBER(D29),ISNUMBER(F29)),D29*F29,"Por cotizar")</x:f>
        <x:v>33861</x:v>
      </x:c>
      <x:c r="H29" s="17" t="str">
        <x:v>Vano 830 − 27 = caja 803 × 450. Los 45 kg nominales del par no certifican la caja ni la carga útil. Incluye 12 tornillos de 12 mm por par. Confirmar uniones.</x:v>
      </x:c>
    </x:row>
    <x:row r="30" ht="57.599998474121094">
      <x:c r="A30" s="13" t="str">
        <x:v>Herrajes</x:v>
      </x:c>
      <x:c r="B30" s="13" t="str">
        <x:v>FSCPCM20 · Kit Peralma para dos hojas</x:v>
      </x:c>
      <x:c r="C30" s="13" t="str">
        <x:v>Clóset</x:v>
      </x:c>
      <x:c r="D30" s="13" t="n">
        <x:v>1</x:v>
      </x:c>
      <x:c r="E30" s="13" t="str">
        <x:v>kit</x:v>
      </x:c>
      <x:c r="F30" s="19" t="n">
        <x:v>12730</x:v>
      </x:c>
      <x:c r="G30" s="19" t="n">
        <x:f t="shared" si="0">IF(AND(ISNUMBER(D30),ISNUMBER(F30)),D30*F30,"Por cotizar")</x:f>
        <x:v>12730</x:v>
      </x:c>
      <x:c r="H30" s="17" t="str">
        <x:v>Kit publicado: 4 rodamientos, 1 guía, 1 tope y tornillos. Identificar si coinciden con la guía y el amortiguador descritos por el usuario, antes de añadir accesorios. Cada hoja RH pesa 21,3 kg sin herrajes (10,05 kg/m², dato de Madecentro); el kit indica 30 kg: preguntar si es por hoja o por kit de dos.</x:v>
      </x:c>
    </x:row>
    <x:row r="31" ht="57.599998474121094">
      <x:c r="A31" s="13" t="str">
        <x:v>Herrajes</x:v>
      </x:c>
      <x:c r="B31" s="13" t="str">
        <x:v>PERALMA50B · 2 m · Riel colgante superior para 2 hojas</x:v>
      </x:c>
      <x:c r="C31" s="13" t="str">
        <x:v>Clóset</x:v>
      </x:c>
      <x:c r="D31" s="13" t="n">
        <x:v>1</x:v>
      </x:c>
      <x:c r="E31" s="13" t="str">
        <x:v>barra</x:v>
      </x:c>
      <x:c r="F31" s="19" t="n">
        <x:v>33278</x:v>
      </x:c>
      <x:c r="G31" s="19" t="n">
        <x:f t="shared" si="0">IF(AND(ISNUMBER(D31),ISNUMBER(F31)),D31*F31,"Por cotizar")</x:f>
        <x:v>33278</x:v>
      </x:c>
      <x:c r="H31" s="17" t="str">
        <x:v>Barra 2 m para recorrido 1920 mm. Referencia real: zona de 70 mm de fondo, hojas entre 500 y 550 mm, cuerpo hasta 560. El riel se atornilla al listón de pino del bastidor (no a la tapa). Guía inferior sin apoyo de peso; no hay riel inferior de carga. Confirmar sección y taladros del sistema.</x:v>
      </x:c>
    </x:row>
    <x:row r="32" ht="43.20000076293945">
      <x:c r="A32" s="13" t="str">
        <x:v>Herrajes</x:v>
      </x:c>
      <x:c r="B32" s="13" t="str">
        <x:v>HMA310-02 · Manija tubular CC96 mm</x:v>
      </x:c>
      <x:c r="C32" s="13" t="str">
        <x:v>Clóset</x:v>
      </x:c>
      <x:c r="D32" s="13" t="n">
        <x:v>2</x:v>
      </x:c>
      <x:c r="E32" s="13" t="str">
        <x:v>unidad</x:v>
      </x:c>
      <x:c r="F32" s="19" t="n">
        <x:v>2743</x:v>
      </x:c>
      <x:c r="G32" s="19" t="n">
        <x:f t="shared" si="0">IF(AND(ISNUMBER(D32),ISNUMBER(F32)),D32*F32,"Por cotizar")</x:f>
        <x:v>5486</x:v>
      </x:c>
      <x:c r="H32" s="17" t="str">
        <x:v>Una manija vertical en el extremo exterior de cada hoja.35 mm de saliente: fondo máximo 585 mm. Dos centros 96 mm; largo representado 119 mm. Las manijas no sustituyen una certificación de rigidez del tablero.</x:v>
      </x:c>
    </x:row>
    <x:row r="33" ht="43.20000076293945">
      <x:c r="A33" s="13" t="str">
        <x:v>Herrajes</x:v>
      </x:c>
      <x:c r="B33" s="13" t="str">
        <x:v>Tope plástico amortiguado</x:v>
      </x:c>
      <x:c r="C33" s="13" t="str">
        <x:v>Clóset</x:v>
      </x:c>
      <x:c r="E33" s="13" t="str">
        <x:v>conjunto</x:v>
      </x:c>
      <x:c r="F33" s="9"/>
      <x:c r="G33" s="19" t="str">
        <x:f t="shared" si="0">IF(AND(ISNUMBER(D33),ISNUMBER(F33)),D33*F33,"Por cotizar")</x:f>
        <x:v>Por cotizar</x:v>
      </x:c>
      <x:c r="H33" s="17" t="str">
        <x:v>Detrás de la hoja exterior, conserva 50 mm de desfase y evita invertir el orden de hojas. Cota de pérdida de recorrido aportada por el usuario. Verificar si viene en el kit; no duplicar compra. La guía inferior tampoco se compra dos veces.</x:v>
      </x:c>
    </x:row>
    <x:row r="34" ht="28.799999237060547">
      <x:c r="A34" s="13" t="str">
        <x:v>Herrajes</x:v>
      </x:c>
      <x:c r="B34" s="13" t="str">
        <x:v>Barras para colgar</x:v>
      </x:c>
      <x:c r="C34" s="13" t="str">
        <x:v>Clóset</x:v>
      </x:c>
      <x:c r="D34" s="13" t="n">
        <x:v>3</x:v>
      </x:c>
      <x:c r="E34" s="13" t="str">
        <x:v>tramo</x:v>
      </x:c>
      <x:c r="F34" s="9"/>
      <x:c r="G34" s="19" t="str">
        <x:f t="shared" si="0">IF(AND(ISNUMBER(D34),ISNUMBER(F34)),D34*F34,"Por cotizar")</x:f>
        <x:v>Por cotizar</x:v>
      </x:c>
      <x:c r="H34" s="17" t="str">
        <x:v>Una ilustrada 810 mm y dos 1055 mm. Barra baja derecha desmontable. Medidas de corte reales según soportes elegidos.</x:v>
      </x:c>
    </x:row>
    <x:row r="35">
      <x:c r="A35" s="13" t="str">
        <x:v>Herrajes</x:v>
      </x:c>
      <x:c r="B35" s="13" t="str">
        <x:v>Soportes de barra</x:v>
      </x:c>
      <x:c r="C35" s="13" t="str">
        <x:v>Clóset</x:v>
      </x:c>
      <x:c r="D35" s="13" t="n">
        <x:v>6</x:v>
      </x:c>
      <x:c r="E35" s="13" t="str">
        <x:v>unidad</x:v>
      </x:c>
      <x:c r="F35" s="9"/>
      <x:c r="G35" s="19" t="str">
        <x:f t="shared" si="0">IF(AND(ISNUMBER(D35),ISNUMBER(F35)),D35*F35,"Por cotizar")</x:f>
        <x:v>Por cotizar</x:v>
      </x:c>
      <x:c r="H35" s="17" t="str">
        <x:v>Dos por barra. Fijación y carga para RH15 por confirmar.</x:v>
      </x:c>
    </x:row>
    <x:row r="36" ht="28.799999237060547">
      <x:c r="A36" s="13" t="str">
        <x:v>Herrajes</x:v>
      </x:c>
      <x:c r="B36" s="13" t="str">
        <x:v>Apoyos de base</x:v>
      </x:c>
      <x:c r="C36" s="13" t="str">
        <x:v>Clóset</x:v>
      </x:c>
      <x:c r="D36" s="13" t="n">
        <x:v>6</x:v>
      </x:c>
      <x:c r="E36" s="13" t="str">
        <x:v>unidad</x:v>
      </x:c>
      <x:c r="F36" s="9"/>
      <x:c r="G36" s="19" t="str">
        <x:f t="shared" si="0">IF(AND(ISNUMBER(D36),ISNUMBER(F36)),D36*F36,"Por cotizar")</x:f>
        <x:v>Por cotizar</x:v>
      </x:c>
      <x:c r="H36" s="17" t="str">
        <x:v>Dos bajo cada lateral/divisor. El modelo dibuja 20 mm de apoyo y base total 100 mm; producto y regulación por elegir.</x:v>
      </x:c>
    </x:row>
    <x:row r="37" ht="43.20000076293945">
      <x:c r="A37" s="13" t="str">
        <x:v>Herrajes</x:v>
      </x:c>
      <x:c r="B37" s="13" t="str">
        <x:v>Uniones y anclajes</x:v>
      </x:c>
      <x:c r="C37" s="13" t="str">
        <x:v>Clóset</x:v>
      </x:c>
      <x:c r="D37" s="13" t="n">
        <x:v>1</x:v>
      </x:c>
      <x:c r="E37" s="13" t="str">
        <x:v>lote</x:v>
      </x:c>
      <x:c r="F37" s="9"/>
      <x:c r="G37" s="19" t="str">
        <x:f t="shared" si="0">IF(AND(ISNUMBER(D37),ISNUMBER(F37)),D37*F37,"Por cotizar")</x:f>
        <x:v>Por cotizar</x:v>
      </x:c>
      <x:c r="H37" s="17" t="str">
        <x:v>Incluye fijación de fondos, estructura y refuerzos de RH; el bastidor del riel se lista aparte. El extremo derecho queda libre: no puede anclarse al muro lateral derecho. Definir anclaje posterior y lateral izquierdo según muro.</x:v>
      </x:c>
    </x:row>
    <x:row r="38" ht="72">
      <x:c r="A38" s="13" t="str">
        <x:v>Herrajes</x:v>
      </x:c>
      <x:c r="B38" s="13" t="str">
        <x:v>Listón 4×4 cm · bastidor del riel</x:v>
      </x:c>
      <x:c r="C38" s="13" t="str">
        <x:v>Clóset</x:v>
      </x:c>
      <x:c r="D38" s="13" t="n">
        <x:v>1</x:v>
      </x:c>
      <x:c r="E38" s="13" t="str">
        <x:v>listón</x:v>
      </x:c>
      <x:c r="F38" s="9"/>
      <x:c r="G38" s="19" t="str">
        <x:f t="shared" si="0">IF(AND(ISNUMBER(D38),ISNUMBER(F38)),D38*F38,"Por cotizar")</x:f>
        <x:v>Por cotizar</x:v>
      </x:c>
      <x:c r="H38" s="17" t="str">
        <x:v>Listón de pino de 4×4 cm que va de lateral a lateral: 1920 mm libres más el encaje en cada lateral (máx. 7 mm por lado). Pedir de 2,0 m o más, recto, seco y sin nudos grandes; sobra para 2 tacos de 15 mm. Va encajonado y atornillado a los laterales; el riel (50 mm) se atornilla a su cara inferior y sobresale ~5 mm por lado. El clóset real usa 7×3 cm; se cambió a 4×4 por disponibilidad. Confirmar rebaje y tornillos con el instalador.</x:v>
      </x:c>
    </x:row>
    <x:row r="39" ht="28.799999237060547">
      <x:c r="A39" s="13" t="str">
        <x:v>Herrajes</x:v>
      </x:c>
      <x:c r="B39" s="13" t="str">
        <x:v>Tornillos del bastidor y del riel</x:v>
      </x:c>
      <x:c r="C39" s="13" t="str">
        <x:v>Clóset</x:v>
      </x:c>
      <x:c r="D39" s="13" t="n">
        <x:v>1</x:v>
      </x:c>
      <x:c r="E39" s="13" t="str">
        <x:v>lote</x:v>
      </x:c>
      <x:c r="F39" s="9"/>
      <x:c r="G39" s="19" t="str">
        <x:f t="shared" si="0">IF(AND(ISNUMBER(D39),ISNUMBER(F39)),D39*F39,"Por cotizar")</x:f>
        <x:v>Por cotizar</x:v>
      </x:c>
      <x:c r="H39" s="17" t="str">
        <x:v>Tornillos para madera y aglomerado en cada extremo del listón y para el riel; el kit del sistema puede traer los suyos. Escuadras solo si el rebaje en los laterales queda corto.</x:v>
      </x:c>
    </x:row>
    <x:row r="40">
      <x:c r="A40" s="13" t="str">
        <x:v>Herrajes</x:v>
      </x:c>
      <x:c r="B40" s="13" t="str">
        <x:v>Soportes de granito/mueble · Soportes estructurales a muro</x:v>
      </x:c>
      <x:c r="C40" s="13" t="str">
        <x:v>Baño</x:v>
      </x:c>
      <x:c r="D40" s="13" t="n">
        <x:v>2</x:v>
      </x:c>
      <x:c r="E40" s="13" t="str">
        <x:v>unidad</x:v>
      </x:c>
      <x:c r="F40" s="9"/>
      <x:c r="G40" s="19" t="str">
        <x:f t="shared" si="0">IF(AND(ISNUMBER(D40),ISNUMBER(F40)),D40*F40,"Por cotizar")</x:f>
        <x:v>Por cotizar</x:v>
      </x:c>
      <x:c r="H40" s="17" t="str">
        <x:v>Capacidad, anclajes y sustrato real; no depende del fondo RH6.</x:v>
      </x:c>
    </x:row>
    <x:row r="41">
      <x:c r="A41" s="13" t="str">
        <x:v>Herrajes</x:v>
      </x:c>
      <x:c r="B41" s="13" t="str">
        <x:v>Fijaciones del espejo · Anclajes gabinete superior</x:v>
      </x:c>
      <x:c r="C41" s="13" t="str">
        <x:v>Baño</x:v>
      </x:c>
      <x:c r="D41" s="13" t="n">
        <x:v>1</x:v>
      </x:c>
      <x:c r="E41" s="13" t="str">
        <x:v>juego</x:v>
      </x:c>
      <x:c r="F41" s="9"/>
      <x:c r="G41" s="19" t="str">
        <x:f t="shared" si="0">IF(AND(ISNUMBER(D41),ISNUMBER(F41)),D41*F41,"Por cotizar")</x:f>
        <x:v>Por cotizar</x:v>
      </x:c>
      <x:c r="H41" s="17" t="str">
        <x:v>Fijar por estructura o herrajes de colgar adecuados.</x:v>
      </x:c>
    </x:row>
    <x:row r="42">
      <x:c r="A42" s="13" t="str">
        <x:v>Herrajes</x:v>
      </x:c>
      <x:c r="B42" s="13" t="str">
        <x:v>Sellado y adhesivo · Diagonal, recortes y espejo</x:v>
      </x:c>
      <x:c r="C42" s="13" t="str">
        <x:v>Baño</x:v>
      </x:c>
      <x:c r="D42" s="13" t="n">
        <x:v>1</x:v>
      </x:c>
      <x:c r="E42" s="13" t="str">
        <x:v>lote</x:v>
      </x:c>
      <x:c r="F42" s="9"/>
      <x:c r="G42" s="19" t="str">
        <x:f t="shared" ref="G42:G60" si="1">IF(AND(ISNUMBER(D42),ISNUMBER(F42)),D42*F42,"Por cotizar")</x:f>
        <x:v>Por cotizar</x:v>
      </x:c>
      <x:c r="H42" s="17" t="str">
        <x:v>Productos compatibles con RH, canto, piedra y espejo según aplicación.</x:v>
      </x:c>
    </x:row>
    <x:row r="43" ht="28.799999237060547">
      <x:c r="A43" s="13" t="str">
        <x:v>Herrajes</x:v>
      </x:c>
      <x:c r="B43" s="13" t="str">
        <x:v>Bisagra parche HBM897-01 · par</x:v>
      </x:c>
      <x:c r="C43" s="13" t="str">
        <x:v>Cocina y baño</x:v>
      </x:c>
      <x:c r="D43" s="13" t="n">
        <x:v>15</x:v>
      </x:c>
      <x:c r="E43" s="13" t="str">
        <x:v>par</x:v>
      </x:c>
      <x:c r="F43" s="19" t="n">
        <x:v>17750</x:v>
      </x:c>
      <x:c r="G43" s="19" t="n">
        <x:f t="shared" si="1">IF(AND(ISNUMBER(D43),ISNUMBER(F43)),D43*F43,"Por cotizar")</x:f>
        <x:v>266250</x:v>
      </x:c>
      <x:c r="H43" s="17" t="str">
        <x:v>Cocina 12 pares (24 bisagras) + baño 3 pares (6 bisagras). Validar peso y cabida en el gabinete del espejo.</x:v>
      </x:c>
    </x:row>
    <x:row r="44" ht="72">
      <x:c r="A44" s="13" t="str">
        <x:v>Mesón, equipos y grifería</x:v>
      </x:c>
      <x:c r="B44" s="13" t="str">
        <x:v>Mesón Crema Marfil 260 × 62 cm · código 519014</x:v>
      </x:c>
      <x:c r="C44" s="13" t="str">
        <x:v>Cocina</x:v>
      </x:c>
      <x:c r="D44" s="13" t="n">
        <x:v>1</x:v>
      </x:c>
      <x:c r="E44" s="13" t="str"/>
      <x:c r="F44" s="19" t="n">
        <x:v>1486300</x:v>
      </x:c>
      <x:c r="G44" s="19" t="n">
        <x:f t="shared" si="1">IF(AND(ISNUMBER(D44),ISNUMBER(F44)),D44*F44,"Por cotizar")</x:f>
        <x:v>1486300</x:v>
      </x:c>
      <x:c r="H44" s="17" t="str">
        <x:v>Placa de 15 mm confirmada por usuario y ficha Homecenter. Precio $1.486.300 conservado. Recortes, material final, apoyos y posible borde engrosado por definir. La ficha mezcla 260/150 cm y granito/cuarzo: confirmar suministro concreto. https://www.homecenter.com.co/homecenter-co/product/519014/meson-granito-natural-crema-marfil-260-cm-x-62-cm/519014/</x:v>
      </x:c>
    </x:row>
    <x:row r="45" ht="86.4000015258789">
      <x:c r="A45" s="13" t="str">
        <x:v>Mesón, equipos y grifería</x:v>
      </x:c>
      <x:c r="B45" s="13" t="str">
        <x:v>Lavaplatos Socoda AS350 satinado · submontar 1 poceta 55 × 43 cm · código 87730</x:v>
      </x:c>
      <x:c r="C45" s="13" t="str">
        <x:v>Cocina</x:v>
      </x:c>
      <x:c r="D45" s="13" t="n">
        <x:v>1</x:v>
      </x:c>
      <x:c r="E45" s="13" t="str"/>
      <x:c r="F45" s="19" t="n">
        <x:v>209900</x:v>
      </x:c>
      <x:c r="G45" s="19" t="n">
        <x:f t="shared" si="1">IF(AND(ISNUMBER(D45),ISNUMBER(F45)),D45*F45,"Por cotizar")</x:f>
        <x:v>209900</x:v>
      </x:c>
      <x:c r="H45" s="17" t="str">
        <x:v>Socoda AS350 satinado, código 87730: $209.900 conservados. 550 × 430 EXTERIORES, profundidad 165 mm. Abertura interior 490 × 370 según ficha descrita por usuario. Submontar: pestaña bajo placa, con anclaje/soporte compatibles. Hueco de corte lo define plantilla Socoda y acabado del borde; 490 × 370 solo referencia 3D. https://www.homecenter.com.co/homecenter-co/product/87730/lavaplatos-de-submontar-1-poceta-55x43-cm-acero-inoxidable-socoda/87730/</x:v>
      </x:c>
    </x:row>
    <x:row r="46" ht="28.799999237060547">
      <x:c r="A46" s="13" t="str">
        <x:v>Mesón, equipos y grifería</x:v>
      </x:c>
      <x:c r="B46" s="13" t="str">
        <x:v>Combo CA3057: campana Tofu negro 60 cm + horno H60EEVAL005 + estufa CCR60-F4P-SBF031</x:v>
      </x:c>
      <x:c r="C46" s="13" t="str">
        <x:v>Cocina</x:v>
      </x:c>
      <x:c r="D46" s="13" t="n">
        <x:v>1</x:v>
      </x:c>
      <x:c r="E46" s="13" t="str"/>
      <x:c r="F46" s="19" t="n">
        <x:v>1864800</x:v>
      </x:c>
      <x:c r="G46" s="19" t="n">
        <x:f t="shared" si="1">IF(AND(ISNUMBER(D46),ISNUMBER(F46)),D46*F46,"Por cotizar")</x:f>
        <x:v>1864800</x:v>
      </x:c>
      <x:c r="H46" s="17" t="str">
        <x:v>Precio aportado por el usuario el 25/10/2026 por el combo completo. Horno mixto 110 V/gas natural; estufa cristal gas natural 60 × 51 cm.</x:v>
      </x:c>
    </x:row>
    <x:row r="47">
      <x:c r="A47" s="13" t="str">
        <x:v>Mesón, equipos y grifería</x:v>
      </x:c>
      <x:c r="B47" s="13" t="str">
        <x:v>Grifería de cocina</x:v>
      </x:c>
      <x:c r="C47" s="13" t="str">
        <x:v>Cocina</x:v>
      </x:c>
      <x:c r="D47" s="13" t="n">
        <x:v>1</x:v>
      </x:c>
      <x:c r="E47" s="13" t="str"/>
      <x:c r="F47" s="19" t="str">
        <x:v>cotizar</x:v>
      </x:c>
      <x:c r="G47" s="19" t="str">
        <x:f t="shared" si="1">IF(AND(ISNUMBER(D47),ISNUMBER(F47)),D47*F47,"Por cotizar")</x:f>
        <x:v>Por cotizar</x:v>
      </x:c>
      <x:c r="H47" s="17" t="str">
        <x:v>Seleccionar modelo y conexiones.</x:v>
      </x:c>
    </x:row>
    <x:row r="48">
      <x:c r="A48" s="13" t="str">
        <x:v>Mesón, equipos y grifería</x:v>
      </x:c>
      <x:c r="B48" s="13" t="str">
        <x:v>Desagüe, canastilla, sifón y acoples</x:v>
      </x:c>
      <x:c r="C48" s="13" t="str">
        <x:v>Cocina</x:v>
      </x:c>
      <x:c r="D48" s="13" t="n">
        <x:v>1</x:v>
      </x:c>
      <x:c r="E48" s="13" t="str"/>
      <x:c r="F48" s="19" t="str">
        <x:v>cotizar</x:v>
      </x:c>
      <x:c r="G48" s="19" t="str">
        <x:f t="shared" si="1">IF(AND(ISNUMBER(D48),ISNUMBER(F48)),D48*F48,"Por cotizar")</x:f>
        <x:v>Por cotizar</x:v>
      </x:c>
      <x:c r="H48" s="17" t="str">
        <x:v>Sifón y llaves deben permitir retirar el entrepaño del B5. No incluye canasta bajo fregadero.</x:v>
      </x:c>
    </x:row>
    <x:row r="49" ht="28.799999237060547">
      <x:c r="A49" s="13" t="str">
        <x:v>Mesón, equipos y grifería</x:v>
      </x:c>
      <x:c r="B49" s="13" t="str">
        <x:v>Ducto y accesorios de campana</x:v>
      </x:c>
      <x:c r="C49" s="13" t="str">
        <x:v>Cocina</x:v>
      </x:c>
      <x:c r="D49" s="13" t="n">
        <x:v>1</x:v>
      </x:c>
      <x:c r="E49" s="13" t="str"/>
      <x:c r="F49" s="19" t="str">
        <x:v>cotizar</x:v>
      </x:c>
      <x:c r="G49" s="19" t="str">
        <x:f t="shared" si="1">IF(AND(ISNUMBER(D49),ISNUMBER(F49)),D49*F49,"Por cotizar")</x:f>
        <x:v>Por cotizar</x:v>
      </x:c>
      <x:c r="H49" s="17" t="str">
        <x:v>Definir según modelo Haceb, diámetro y salida. Perforar el piso P047 (y el techo P046 si sale hacia arriba) según manual.</x:v>
      </x:c>
    </x:row>
    <x:row r="50" ht="28.799999237060547">
      <x:c r="A50" s="13" t="str">
        <x:v>Mesón, equipos y grifería</x:v>
      </x:c>
      <x:c r="B50" s="13" t="str">
        <x:v>Soporte mecánico compatible para lavaplatos de submontar</x:v>
      </x:c>
      <x:c r="C50" s="13" t="str">
        <x:v>Cocina</x:v>
      </x:c>
      <x:c r="D50" s="13" t="n">
        <x:v>1</x:v>
      </x:c>
      <x:c r="E50" s="13" t="str"/>
      <x:c r="F50" s="19" t="str">
        <x:v>cotizar</x:v>
      </x:c>
      <x:c r="G50" s="19" t="str">
        <x:f t="shared" si="1">IF(AND(ISNUMBER(D50),ISNUMBER(F50)),D50*F50,"Por cotizar")</x:f>
        <x:v>Por cotizar</x:v>
      </x:c>
      <x:c r="H50" s="17" t="str">
        <x:v>Definir con Socoda/marmolero para placa 15 mm. Travesaños no sustituyen la validación del soporte de cubeta y agua.</x:v>
      </x:c>
    </x:row>
    <x:row r="51">
      <x:c r="A51" s="13" t="str">
        <x:v>Mesón, equipos y grifería</x:v>
      </x:c>
      <x:c r="B51" s="13" t="str">
        <x:v>Lavamanos de sobreponer · Bowl Ø350 × 140 ilustrativo</x:v>
      </x:c>
      <x:c r="C51" s="13" t="str">
        <x:v>Baño</x:v>
      </x:c>
      <x:c r="D51" s="13" t="n">
        <x:v>1</x:v>
      </x:c>
      <x:c r="E51" s="13" t="str">
        <x:v>unidad</x:v>
      </x:c>
      <x:c r="F51" s="9"/>
      <x:c r="G51" s="19" t="str">
        <x:f t="shared" si="1">IF(AND(ISNUMBER(D51),ISNUMBER(F51)),D51*F51,"Por cotizar")</x:f>
        <x:v>Por cotizar</x:v>
      </x:c>
      <x:c r="H51" s="17" t="str">
        <x:v>No es un modelo comercial seleccionado.</x:v>
      </x:c>
    </x:row>
    <x:row r="52">
      <x:c r="A52" s="13" t="str">
        <x:v>Mesón, equipos y grifería</x:v>
      </x:c>
      <x:c r="B52" s="13" t="str">
        <x:v>Grifería · Mezclador alto ilustrativo</x:v>
      </x:c>
      <x:c r="C52" s="13" t="str">
        <x:v>Baño</x:v>
      </x:c>
      <x:c r="D52" s="13" t="n">
        <x:v>1</x:v>
      </x:c>
      <x:c r="E52" s="13" t="str">
        <x:v>unidad</x:v>
      </x:c>
      <x:c r="F52" s="9"/>
      <x:c r="G52" s="19" t="str">
        <x:f t="shared" si="1">IF(AND(ISNUMBER(D52),ISNUMBER(F52)),D52*F52,"Por cotizar")</x:f>
        <x:v>Por cotizar</x:v>
      </x:c>
      <x:c r="H52" s="17" t="str">
        <x:v>Medir alcance y altura según lavamanos.</x:v>
      </x:c>
    </x:row>
    <x:row r="53">
      <x:c r="A53" s="13" t="str">
        <x:v>Mesón, equipos y grifería</x:v>
      </x:c>
      <x:c r="B53" s="13" t="str">
        <x:v>Desagüe y sifón · Evacuación del lavamanos</x:v>
      </x:c>
      <x:c r="C53" s="13" t="str">
        <x:v>Baño</x:v>
      </x:c>
      <x:c r="D53" s="13" t="n">
        <x:v>1</x:v>
      </x:c>
      <x:c r="E53" s="13" t="str">
        <x:v>juego</x:v>
      </x:c>
      <x:c r="F53" s="9"/>
      <x:c r="G53" s="19" t="str">
        <x:f t="shared" si="1">IF(AND(ISNUMBER(D53),ISNUMBER(F53)),D53*F53,"Por cotizar")</x:f>
        <x:v>Por cotizar</x:v>
      </x:c>
      <x:c r="H53" s="17" t="str">
        <x:v>Recorte de entrepaño solo con sifón y tuberías reales.</x:v>
      </x:c>
    </x:row>
    <x:row r="54">
      <x:c r="A54" s="13" t="str">
        <x:v>Otros proveedores</x:v>
      </x:c>
      <x:c r="B54" s="13" t="str">
        <x:v>Espejo · 320 × 500 × 3 mm provisional</x:v>
      </x:c>
      <x:c r="C54" s="13" t="str">
        <x:v>Baño</x:v>
      </x:c>
      <x:c r="D54" s="13" t="n">
        <x:v>1</x:v>
      </x:c>
      <x:c r="E54" s="13" t="str">
        <x:v>pieza</x:v>
      </x:c>
      <x:c r="F54" s="9"/>
      <x:c r="G54" s="19" t="str">
        <x:f t="shared" si="1">IF(AND(ISNUMBER(D54),ISNUMBER(F54)),D54*F54,"Por cotizar")</x:f>
        <x:v>Por cotizar</x:v>
      </x:c>
      <x:c r="H54" s="17" t="str">
        <x:v>Cantos pulidos; espesor y adhesivo con vidriero.</x:v>
      </x:c>
    </x:row>
    <x:row r="55">
      <x:c r="A55" s="13" t="str">
        <x:v>Otros proveedores</x:v>
      </x:c>
      <x:c r="B55" s="13" t="str">
        <x:v>Retal de granito · 550 × 470 × 20 mm provisional</x:v>
      </x:c>
      <x:c r="C55" s="13" t="str">
        <x:v>Baño</x:v>
      </x:c>
      <x:c r="D55" s="13" t="n">
        <x:v>1</x:v>
      </x:c>
      <x:c r="E55" s="13" t="str">
        <x:v>pieza</x:v>
      </x:c>
      <x:c r="F55" s="9"/>
      <x:c r="G55" s="19" t="str">
        <x:f t="shared" si="1">IF(AND(ISNUMBER(D55),ISNUMBER(F55)),D55*F55,"Por cotizar")</x:f>
        <x:v>Por cotizar</x:v>
      </x:c>
      <x:c r="H55" s="17" t="str">
        <x:v>Vuelos 15 mm a los lados y 5 mm delante; recortes según equipos.</x:v>
      </x:c>
    </x:row>
    <x:row r="56" ht="28.799999237060547">
      <x:c r="A56" s="13" t="str">
        <x:v>Accesorios</x:v>
      </x:c>
      <x:c r="B56" s="13" t="str">
        <x:v>Escurridor sobre mesón (opcional)</x:v>
      </x:c>
      <x:c r="C56" s="13" t="str">
        <x:v>Cocina</x:v>
      </x:c>
      <x:c r="D56" s="13" t="n">
        <x:v>1</x:v>
      </x:c>
      <x:c r="E56" s="13" t="str"/>
      <x:c r="F56" s="19" t="str">
        <x:v>cotizar</x:v>
      </x:c>
      <x:c r="G56" s="19" t="str">
        <x:f t="shared" si="1">IF(AND(ISNUMBER(D56),ISNUMBER(F56)),D56*F56,"Por cotizar")</x:f>
        <x:v>Por cotizar</x:v>
      </x:c>
      <x:c r="H56" s="17" t="str">
        <x:v>Zona derecha de 40 cm; dibujo ilustrativo 375 × 400, confirmar modelo. Escribir 0 solo si ya se tiene y se reutiliza.</x:v>
      </x:c>
    </x:row>
    <x:row r="57" ht="57.599998474121094">
      <x:c r="A57" s="13" t="str">
        <x:v>Servicios</x:v>
      </x:c>
      <x:c r="B57" s="13" t="str">
        <x:v>Cortes y pulido del mesón (lavaplatos y estufa)</x:v>
      </x:c>
      <x:c r="C57" s="13" t="str">
        <x:v>Cocina</x:v>
      </x:c>
      <x:c r="D57" s="13" t="n">
        <x:v>1</x:v>
      </x:c>
      <x:c r="E57" s="13" t="str"/>
      <x:c r="F57" s="19" t="str">
        <x:v>cotizar</x:v>
      </x:c>
      <x:c r="G57" s="19" t="str">
        <x:f t="shared" si="1">IF(AND(ISNUMBER(D57),ISNUMBER(F57)),D57*F57,"Por cotizar")</x:f>
        <x:v>Por cotizar</x:v>
      </x:c>
      <x:c r="H57" s="17" t="str">
        <x:v>Plantillas y recortes en placa 15 mm. Lavaplatos 550 × 430 exterior NO es medida de hueco; referencia 3D 490 × 370, plantilla Socoda y tipo de borde mandan. Profundidad 165. Marmolero define radios, tolerancias, apoyos y anclajes; recorte estufa sigue por manual. Borde engrosado opcional por cotizar.</x:v>
      </x:c>
    </x:row>
    <x:row r="58" ht="28.799999237060547">
      <x:c r="A58" s="13" t="str">
        <x:v>Servicios</x:v>
      </x:c>
      <x:c r="B58" s="13" t="str">
        <x:v>Armado e instalación de muebles y mesón</x:v>
      </x:c>
      <x:c r="C58" s="13" t="str">
        <x:v>Cocina</x:v>
      </x:c>
      <x:c r="D58" s="13" t="n">
        <x:v>1</x:v>
      </x:c>
      <x:c r="E58" s="13" t="str"/>
      <x:c r="F58" s="19" t="str">
        <x:v>cotizar</x:v>
      </x:c>
      <x:c r="G58" s="19" t="str">
        <x:f t="shared" si="1">IF(AND(ISNUMBER(D58),ISNUMBER(F58)),D58*F58,"Por cotizar")</x:f>
        <x:v>Por cotizar</x:v>
      </x:c>
      <x:c r="H58" s="17" t="str">
        <x:v>24 patas: 20 apoyos básicos de cinco módulos + cuatro refuerzos por definir. Anclajes contra desplazamiento, colgadores y soporte del fregadero según muro/cargas.</x:v>
      </x:c>
    </x:row>
    <x:row r="59">
      <x:c r="A59" s="13" t="str">
        <x:v>Servicios</x:v>
      </x:c>
      <x:c r="B59" s="13" t="str">
        <x:v>Transporte y subida de materiales</x:v>
      </x:c>
      <x:c r="C59" s="13" t="str">
        <x:v>Cocina</x:v>
      </x:c>
      <x:c r="D59" s="13" t="n">
        <x:v>1</x:v>
      </x:c>
      <x:c r="E59" s="13" t="str"/>
      <x:c r="F59" s="19" t="str">
        <x:v>cotizar</x:v>
      </x:c>
      <x:c r="G59" s="19" t="str">
        <x:f t="shared" si="1">IF(AND(ISNUMBER(D59),ISNUMBER(F59)),D59*F59,"Por cotizar")</x:f>
        <x:v>Por cotizar</x:v>
      </x:c>
      <x:c r="H59" s="17" t="str">
        <x:v>Ingresar 0 únicamente si se confirma incluido.</x:v>
      </x:c>
    </x:row>
    <x:row r="60" ht="28.799999237060547">
      <x:c r="A60" s="13" t="str">
        <x:v>Servicios</x:v>
      </x:c>
      <x:c r="B60" s="13" t="str">
        <x:v>Corte y canteado · pedido único</x:v>
      </x:c>
      <x:c r="C60" s="13" t="str">
        <x:v>Cocina, clóset y baño</x:v>
      </x:c>
      <x:c r="D60" s="13" t="n">
        <x:v>1</x:v>
      </x:c>
      <x:c r="E60" s="13" t="str">
        <x:v>servicio</x:v>
      </x:c>
      <x:c r="F60" s="19" t="str">
        <x:v>cotizar</x:v>
      </x:c>
      <x:c r="G60" s="19" t="str">
        <x:f t="shared" si="1">IF(AND(ISNUMBER(D60),ISNUMBER(F60)),D60*F60,"Por cotizar")</x:f>
        <x:v>Por cotizar</x:v>
      </x:c>
      <x:c r="H60" s="17" t="str">
        <x:v>Un solo pedido a la sucursal (hoja Pedido de corte). No cortar las piezas marcadas en Bloqueos hasta resolverlas.</x:v>
      </x:c>
    </x:row>
    <x:row r="61">
      <x:c r="B61" s="13" t="str">
        <x:v>Subtotal Tableros y cantos</x:v>
      </x:c>
      <x:c r="G61" s="19" t="n">
        <x:f>SUMIF(A10:A60,"Tableros y cantos",G10:G60)</x:f>
        <x:v>3956710</x:v>
      </x:c>
    </x:row>
    <x:row r="62">
      <x:c r="B62" s="13" t="str">
        <x:v>Subtotal Herrajes</x:v>
      </x:c>
      <x:c r="G62" s="19" t="n">
        <x:f>SUMIF(A10:A60,"Herrajes",G10:G60)</x:f>
        <x:v>935600</x:v>
      </x:c>
    </x:row>
    <x:row r="63">
      <x:c r="B63" s="13" t="str">
        <x:v>Subtotal Mesón, equipos y grifería</x:v>
      </x:c>
      <x:c r="G63" s="19" t="n">
        <x:f>SUMIF(A10:A60,"Mesón, equipos y grifería",G10:G60)</x:f>
        <x:v>3561000</x:v>
      </x:c>
    </x:row>
    <x:row r="64">
      <x:c r="B64" s="13" t="str">
        <x:v>Subtotal Otros proveedores</x:v>
      </x:c>
      <x:c r="G64" s="19" t="n">
        <x:f>SUMIF(A10:A60,"Otros proveedores",G10:G60)</x:f>
        <x:v>0</x:v>
      </x:c>
    </x:row>
    <x:row r="65">
      <x:c r="B65" s="13" t="str">
        <x:v>Subtotal Accesorios</x:v>
      </x:c>
      <x:c r="G65" s="19" t="n">
        <x:f>SUMIF(A10:A60,"Accesorios",G10:G60)</x:f>
        <x:v>0</x:v>
      </x:c>
    </x:row>
    <x:row r="66">
      <x:c r="B66" s="13" t="str">
        <x:v>Subtotal Servicios</x:v>
      </x:c>
      <x:c r="G66" s="19" t="n">
        <x:f>SUMIF(A10:A60,"Servicios",G10:G60)</x:f>
        <x:v>0</x:v>
      </x:c>
    </x:row>
    <x:row r="67">
      <x:c r="B67" s="14" t="str">
        <x:v>TOTAL CON PRECIO CONOCIDO</x:v>
      </x:c>
      <x:c r="G67" s="15" t="n">
        <x:f>SUM(G61:G66)</x:f>
        <x:v>8453310</x:v>
      </x:c>
    </x:row>
    <x:row r="68">
      <x:c r="B68" s="13" t="str">
        <x:v>Partidas sin precio</x:v>
      </x:c>
      <x:c r="G68" s="13" t="n">
        <x:f>COUNTIF(G10:G60,"Por cotizar")</x:f>
        <x:v>28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8.88671875" defaultRowHeight="14.399999618530273"/>
  <x:cols>
    <x:col min="1" max="2" width="10" customWidth="1"/>
    <x:col min="3" max="3" width="40" customWidth="1"/>
    <x:col min="4" max="4" width="100" customWidth="1"/>
  </x:cols>
  <x:sheetData>
    <x:row r="2" ht="18">
      <x:c r="A2" s="10" t="str">
        <x:v>Antes de cortar</x:v>
      </x:c>
    </x:row>
    <x:row r="3">
      <x:c r="A3" s="11" t="str">
        <x:v>Piezas que no deben cortarse hasta resolver lo indicado. Detalle en la hoja Pendientes de cada mueble.</x:v>
      </x:c>
    </x:row>
    <x:row r="6">
      <x:c r="A6" s="12" t="str">
        <x:v>Mueble</x:v>
      </x:c>
      <x:c r="B6" s="12" t="str">
        <x:v>ID</x:v>
      </x:c>
      <x:c r="C6" s="12" t="str">
        <x:v>Pieza</x:v>
      </x:c>
      <x:c r="D6" s="12" t="str">
        <x:v>Qué falta</x:v>
      </x:c>
    </x:row>
    <x:row r="7" ht="28.799999237060547">
      <x:c r="A7" s="17" t="str">
        <x:v>Clóset</x:v>
      </x:c>
      <x:c r="B7" s="17" t="str">
        <x:v>Todo</x:v>
      </x:c>
      <x:c r="C7" s="17" t="str">
        <x:v>Posición del eje de la puerta</x:v>
      </x:c>
      <x:c r="D7" s="17" t="str">
        <x:v>Confirmar en obra que el eje de la puerta de la habitación está a 2880 mm del muro izquierdo: el ancho de 1950 depende de esa cota (2880 − 900 − 10 − 20).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8.88671875" defaultRowHeight="14.399999618530273"/>
  <x:cols>
    <x:col min="1" max="2" width="10" customWidth="1"/>
    <x:col min="3" max="3" width="40" customWidth="1"/>
    <x:col min="4" max="4" width="110" customWidth="1"/>
  </x:cols>
  <x:sheetData>
    <x:row r="2" ht="18">
      <x:c r="A2" s="10" t="str">
        <x:v>Lo que se corta, recorta o rebaja en el armado</x:v>
      </x:c>
    </x:row>
    <x:row r="3">
      <x:c r="A3" s="11" t="str">
        <x:v>Piezas que no se piden (se cortan de un sobrante), piezas pedidas con sobremedida para recortar y mecanizados en obra.</x:v>
      </x:c>
    </x:row>
    <x:row r="6">
      <x:c r="A6" s="12" t="str">
        <x:v>Mueble</x:v>
      </x:c>
      <x:c r="B6" s="12" t="str">
        <x:v>ID</x:v>
      </x:c>
      <x:c r="C6" s="12" t="str">
        <x:v>Pieza</x:v>
      </x:c>
      <x:c r="D6" s="12" t="str">
        <x:v>Qué se hace</x:v>
      </x:c>
    </x:row>
    <x:row r="7">
      <x:c r="A7" s="17" t="str">
        <x:v>Cocina</x:v>
      </x:c>
      <x:c r="B7" s="17" t="str">
        <x:v>P001</x:v>
      </x:c>
      <x:c r="C7" s="17" t="str">
        <x:v>Lateral</x:v>
      </x:c>
      <x:c r="D7" s="17" t="str">
        <x:v>Rebaje para la gola en el armado, cuando se defina el borde del granito; no lo hace el proveedor.</x:v>
      </x:c>
    </x:row>
    <x:row r="8" ht="28.799999237060547">
      <x:c r="A8" s="17" t="str">
        <x:v>Cocina</x:v>
      </x:c>
      <x:c r="B8" s="17" t="str">
        <x:v>P003</x:v>
      </x:c>
      <x:c r="C8" s="17" t="str">
        <x:v>Travesaño horizontal</x:v>
      </x:c>
      <x:c r="D8" s="17" t="str">
        <x:v>Si no la cantean: cortar a 150 × 99.1 y cantear en el armado. Rebaje para la gola en el armado, cuando se defina el borde del granito; no lo hace el proveedor.</x:v>
      </x:c>
    </x:row>
    <x:row r="9">
      <x:c r="A9" s="17" t="str">
        <x:v>Cocina</x:v>
      </x:c>
      <x:c r="B9" s="17" t="str">
        <x:v>P009</x:v>
      </x:c>
      <x:c r="C9" s="17" t="str">
        <x:v>Repisa sobre horno (posición por manual)</x:v>
      </x:c>
      <x:c r="D9" s="17" t="str">
        <x:v>Su altura se fija en el armado según el manual del horno; si pide más ventilación atrás, recortar el borde trasero (sin canto).</x:v>
      </x:c>
    </x:row>
    <x:row r="10" ht="28.799999237060547">
      <x:c r="A10" s="17" t="str">
        <x:v>Cocina</x:v>
      </x:c>
      <x:c r="B10" s="17" t="str">
        <x:v>P011</x:v>
      </x:c>
      <x:c r="C10" s="17" t="str">
        <x:v>Panel fijo bajo estufa (ajustar con equipo)</x:v>
      </x:c>
      <x:c r="D10" s="17" t="str">
        <x:v>Pedida 15 mm más alta (160 en vez de 145): en el armado, recortar el borde superior —oculto bajo el mesón y sin canto— según el horno instalado.</x:v>
      </x:c>
    </x:row>
    <x:row r="11">
      <x:c r="A11" s="17" t="str">
        <x:v>Cocina</x:v>
      </x:c>
      <x:c r="B11" s="17" t="str">
        <x:v>P012</x:v>
      </x:c>
      <x:c r="C11" s="17" t="str">
        <x:v>Lateral</x:v>
      </x:c>
      <x:c r="D11" s="17" t="str">
        <x:v>Rebaje para la gola en el armado, cuando se defina el borde del granito; no lo hace el proveedor.</x:v>
      </x:c>
    </x:row>
    <x:row r="12" ht="28.799999237060547">
      <x:c r="A12" s="17" t="str">
        <x:v>Cocina</x:v>
      </x:c>
      <x:c r="B12" s="17" t="str">
        <x:v>P014</x:v>
      </x:c>
      <x:c r="C12" s="17" t="str">
        <x:v>Travesaño horizontal</x:v>
      </x:c>
      <x:c r="D12" s="17" t="str">
        <x:v>Si no la cantean: cortar a 640 × 99.1 y cantear en el armado. Rebaje para la gola en el armado, cuando se defina el borde del granito; no lo hace el proveedor.</x:v>
      </x:c>
    </x:row>
    <x:row r="13">
      <x:c r="A13" s="17" t="str">
        <x:v>Cocina</x:v>
      </x:c>
      <x:c r="B13" s="17" t="str">
        <x:v>P023</x:v>
      </x:c>
      <x:c r="C13" s="17" t="str">
        <x:v>Lateral</x:v>
      </x:c>
      <x:c r="D13" s="17" t="str">
        <x:v>Rebaje para la gola en el armado, cuando se defina el borde del granito; no lo hace el proveedor.</x:v>
      </x:c>
    </x:row>
    <x:row r="14" ht="28.799999237060547">
      <x:c r="A14" s="17" t="str">
        <x:v>Cocina</x:v>
      </x:c>
      <x:c r="B14" s="17" t="str">
        <x:v>P025</x:v>
      </x:c>
      <x:c r="C14" s="17" t="str">
        <x:v>Travesaño de canto</x:v>
      </x:c>
      <x:c r="D14" s="17" t="str">
        <x:v>Si no la cantean: cortar a 669.1 × 99.1 y cantear en el armado. Rebaje para la gola en el armado, cuando se defina el borde del granito; no lo hace el proveedor.</x:v>
      </x:c>
    </x:row>
    <x:row r="15">
      <x:c r="A15" s="17" t="str">
        <x:v>Cocina</x:v>
      </x:c>
      <x:c r="B15" s="17" t="str">
        <x:v>P029</x:v>
      </x:c>
      <x:c r="C15" s="17" t="str">
        <x:v>Entrepaño desmontable; recortar sifón en obra</x:v>
      </x:c>
      <x:c r="D15" s="17" t="str">
        <x:v>P029: flexible 0,45 mm en los cuatro bordes. Recorte de sifón y tuberías en obra: sellar el corte.</x:v>
      </x:c>
    </x:row>
    <x:row r="16">
      <x:c r="A16" s="17" t="str">
        <x:v>Cocina</x:v>
      </x:c>
      <x:c r="B16" s="17" t="str">
        <x:v>P030</x:v>
      </x:c>
      <x:c r="C16" s="17" t="str">
        <x:v>Lateral</x:v>
      </x:c>
      <x:c r="D16" s="17" t="str">
        <x:v>Rebaje para la gola en el armado, cuando se defina el borde del granito; no lo hace el proveedor.</x:v>
      </x:c>
    </x:row>
    <x:row r="17" ht="28.799999237060547">
      <x:c r="A17" s="17" t="str">
        <x:v>Cocina</x:v>
      </x:c>
      <x:c r="B17" s="17" t="str">
        <x:v>P032</x:v>
      </x:c>
      <x:c r="C17" s="17" t="str">
        <x:v>Travesaño horizontal</x:v>
      </x:c>
      <x:c r="D17" s="17" t="str">
        <x:v>Si no la cantean: cortar a 370 × 99.1 y cantear en el armado. Rebaje para la gola en el armado, cuando se defina el borde del granito; no lo hace el proveedor.</x:v>
      </x:c>
    </x:row>
    <x:row r="18">
      <x:c r="A18" s="17" t="str">
        <x:v>Cocina</x:v>
      </x:c>
      <x:c r="B18" s="17" t="str">
        <x:v>P034</x:v>
      </x:c>
      <x:c r="C18" s="17" t="str">
        <x:v>Entrepaño FIJO separador superior/basurero</x:v>
      </x:c>
      <x:c r="D18" s="17" t="str">
        <x:v>Rebaje para la gola en el armado, cuando se defina el borde del granito; no lo hace el proveedor.</x:v>
      </x:c>
    </x:row>
    <x:row r="19" ht="28.799999237060547">
      <x:c r="A19" s="17" t="str">
        <x:v>Cocina</x:v>
      </x:c>
      <x:c r="B19" s="17" t="str">
        <x:v>P072</x:v>
      </x:c>
      <x:c r="C19" s="17" t="str">
        <x:v>PROVISIONAL plataforma basurero; confirmar ancho por riel</x:v>
      </x:c>
      <x:c r="D19" s="17" t="str">
        <x:v>NO PEDIR: se corta en el armado de un sobrante, con el riel HRE126-55 y la bandeja en mano. Pedir a la sucursal que entregue los sobrantes.</x:v>
      </x:c>
    </x:row>
    <x:row r="20" ht="28.799999237060547">
      <x:c r="A20" s="17" t="str">
        <x:v>Cocina</x:v>
      </x:c>
      <x:c r="B20" s="17" t="str">
        <x:v>P073</x:v>
      </x:c>
      <x:c r="C20" s="17" t="str">
        <x:v>PROVISIONAL larguero bajo plataforma basurero</x:v>
      </x:c>
      <x:c r="D20" s="17" t="str">
        <x:v>Si no la cantean: cortar a 549.1 × 59.1 y cantear en el armado. NO PEDIR: se corta en el armado de un sobrante, con el riel HRE126-55 y la bandeja en mano. Pedir a la sucursal que entregue los sobrantes.</x:v>
      </x:c>
    </x:row>
    <x:row r="21" ht="28.799999237060547">
      <x:c r="A21" s="17" t="str">
        <x:v>Cocina</x:v>
      </x:c>
      <x:c r="B21" s="17" t="str">
        <x:v>P074</x:v>
      </x:c>
      <x:c r="C21" s="17" t="str">
        <x:v>PROVISIONAL travesaño bajo plataforma basurero</x:v>
      </x:c>
      <x:c r="D21" s="17" t="str">
        <x:v>Si no la cantean: cortar a 312.1 × 59.1 y cantear en el armado. NO PEDIR: se corta en el armado de un sobrante, con el riel HRE126-55 y la bandeja en mano. Pedir a la sucursal que entregue los sobrantes.</x:v>
      </x:c>
    </x:row>
    <x:row r="22">
      <x:c r="A22" s="17" t="str">
        <x:v>Clóset</x:v>
      </x:c>
      <x:c r="B22" s="17" t="str">
        <x:v>C3-001</x:v>
      </x:c>
      <x:c r="C22" s="17" t="str">
        <x:v>Lateral exterior</x:v>
      </x:c>
      <x:c r="D22" s="17" t="str">
        <x:v>Rebaje superior para el listón de pino 4 × 4 en taller.</x:v>
      </x:c>
    </x:row>
    <x:row r="23" ht="28.799999237060547">
      <x:c r="A23" s="17" t="str">
        <x:v>Clóset</x:v>
      </x:c>
      <x:c r="B23" s="17" t="str">
        <x:v>C3-023</x:v>
      </x:c>
      <x:c r="C23" s="17" t="str">
        <x:v>Hoja corrediza RH15</x:v>
      </x:c>
      <x:c r="D23" s="17" t="str">
        <x:v>Pedida 20 mm más alta (2195 en vez de 2175): en el armado, con el riel y los carros puestos, recortar el borde superior —tapado por la solapa— hasta que la guía inferior sujete la hoja. Nunca debe quedar corta.</x:v>
      </x:c>
    </x:row>
    <x:row r="24" ht="28.799999237060547">
      <x:c r="A24" s="17" t="str">
        <x:v>Baño</x:v>
      </x:c>
      <x:c r="B24" s="17" t="str">
        <x:v>B03</x:v>
      </x:c>
      <x:c r="C24" s="17" t="str">
        <x:v>Entrepaño retranqueado con reserva de sifón</x:v>
      </x:c>
      <x:c r="D24" s="17" t="str">
        <x:v>Zona húmeda: proteger todos los bordes y sellar perforaciones; dimensiones terminadas. Nicho libre de 150 mm bajo granito. Recorte trasero ilustrativo 100 × 270 mm, centrado; no mecanizar sin sifón real. Retranqueo frontal de 30 mm para agarre. Canto flexible 0,45 mm en todo el perímetro; mantener sellados recortes y perforaciones.</x:v>
      </x:c>
    </x:row>
    <x:row r="25" ht="57.599998474121094">
      <x:c r="A25" s="17" t="str">
        <x:v>Baño</x:v>
      </x:c>
      <x:c r="B25" s="17" t="str">
        <x:v>B06</x:v>
      </x:c>
      <x:c r="C25" s="17" t="str">
        <x:v>Panel común para dos puertas: corte diagonal en armado</x:v>
      </x:c>
      <x:c r="D25" s="17" t="str">
        <x:v>Una sola pieza rectangular terminada 517 × 299 mm (veta vertical). Pedirla entera, con canto 2 mm en el perímetro; NO dividir en tienda. En el armado, corte central a 75° de la horizontal (provisional entre 70 y 80°) con el disco Diablo de 1,5 mm (corte de 0,059") y canto flexible 0,45 mm en los dos bordes nuevos. Holgura entre puertas tras cantear ≈0,6 mm: probablemente insuficiente (ver Pendientes). La medida de lista es del panel común, no de cada tapa.</x:v>
      </x:c>
    </x:row>
  </x:sheetData>
  <x:pageMargins left="0.7" right="0.7" top="0.75" bottom="0.75" header="0.3" footer="0.3"/>
</x:worksheet>
</file>