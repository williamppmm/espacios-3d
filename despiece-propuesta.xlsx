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52b00ae5d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iece" sheetId="1" r:id="Rc56bb8549bab45fb"/>
    <x:sheet xmlns:r="http://schemas.openxmlformats.org/officeDocument/2006/relationships" name="Herrajes" sheetId="2" r:id="R41d0a555cdf64442"/>
    <x:sheet xmlns:r="http://schemas.openxmlformats.org/officeDocument/2006/relationships" name="Compras" sheetId="3" r:id="R5103452c90ff4d56"/>
    <x:sheet xmlns:r="http://schemas.openxmlformats.org/officeDocument/2006/relationships" name="Cantos" sheetId="4" r:id="R89c2ec6b1e594690"/>
    <x:sheet xmlns:r="http://schemas.openxmlformats.org/officeDocument/2006/relationships" name="Revisión" sheetId="5" r:id="Rf13bbf1252bb4d84"/>
    <x:sheet xmlns:r="http://schemas.openxmlformats.org/officeDocument/2006/relationships" name="Distribución" sheetId="6" r:id="Rbdb8f5d114ad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0.000"/>
    <x:numFmt numFmtId="165" formatCode="&quot;$&quot;#,##0;\(&quot;$&quot;#,##0\);&quot;—&quot;"/>
    <x:numFmt numFmtId="166" formatCode="0.0"/>
    <x:numFmt numFmtId="200" formatCode="0"/>
    <x:numFmt numFmtId="201" formatCode="@"/>
    <x:numFmt numFmtId="202" formatCode="0.00"/>
    <x:numFmt numFmtId="203" formatCode="#,##0"/>
    <x:numFmt numFmtId="204" formatCode="&quot;$&quot;#,##0"/>
  </x:numFmts>
  <x:fonts count="13">
    <x:font>
      <x:sz val="11"/>
      <x:color theme="1"/>
      <x:name val="Calibri"/>
      <x:family val="2"/>
      <x:scheme val="minor"/>
    </x:font>
    <x:font>
      <x:b/>
      <x:sz val="11"/>
      <x:name val="Calibri"/>
    </x:font>
    <x:font>
      <x:b/>
      <x:sz val="13"/>
      <x:name val="Calibri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5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color rgb="FF253B35"/>
      <x:name val="Arial"/>
    </x:font>
    <x:font>
      <x:sz val="10"/>
      <x:color rgb="FF253B35"/>
      <x:name val="Arial"/>
      <x:family val="2"/>
      <x:scheme val="minor"/>
    </x:font>
    <x:font>
      <x:b/>
      <x:sz val="10"/>
      <x:color rgb="FFFFFFFF"/>
      <x:name val="Arial"/>
    </x:font>
    <x:font>
      <x:b/>
      <x:sz val="14"/>
      <x:color rgb="FF253B35"/>
      <x:name val="Arial"/>
    </x:font>
    <x:font>
      <x:b/>
      <x:sz val="10"/>
      <x:color rgb="FFFFFFFF"/>
      <x:name val="Arial"/>
      <x:family val="2"/>
      <x:scheme val="minor"/>
    </x:font>
    <x:font>
      <x:b/>
      <x:sz val="10"/>
      <x:color rgb="FF253B35"/>
      <x:name val="Arial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E9DFD3"/>
      </x:patternFill>
    </x:fill>
    <x:fill>
      <x:patternFill patternType="solid">
        <x:fgColor rgb="FFE8DFD4"/>
      </x:patternFill>
    </x:fill>
    <x:fill>
      <x:patternFill patternType="solid">
        <x:fgColor rgb="FFFFF5D6"/>
      </x:patternFill>
    </x:fill>
    <x:fill>
      <x:patternFill patternType="solid">
        <x:fgColor rgb="FFE8DFD4"/>
      </x:patternFill>
    </x:fill>
    <x:fill>
      <x:patternFill patternType="solid">
        <x:fgColor rgb="FFFFF0CC"/>
      </x:patternFill>
    </x:fill>
    <x:fill>
      <x:patternFill patternType="solid">
        <x:fgColor rgb="FFE8DFD4"/>
      </x:patternFill>
    </x:fill>
    <x:fill>
      <x:patternFill patternType="solid">
        <x:fgColor rgb="FF253B35"/>
      </x:patternFill>
    </x:fill>
    <x:fill>
      <x:patternFill patternType="solid">
        <x:fgColor rgb="FFE8EFDF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  <x:diagonal/>
    </x:border>
  </x:borders>
  <x:cellStyleXfs count="1">
    <x:xf numFmtId="0" fontId="0" fillId="0" borderId="0"/>
  </x:cellStyleXfs>
  <x:cellXfs count="101">
    <x:xf numFmtId="0" fontId="0" fillId="0" borderId="0" xfId="0"/>
    <x:xf numFmtId="0" fontId="2" fillId="0" borderId="0" xfId="0" applyFont="1"/>
    <x:xf numFmtId="0" fontId="1" fillId="2" borderId="1" xfId="0" applyFont="1" applyFill="1" applyBorder="1" applyAlignment="1">
      <x:alignment horizontal="center" wrapText="1"/>
    </x:xf>
    <x:xf numFmtId="0" fontId="0" fillId="0" borderId="1" xfId="0" applyBorder="1"/>
    <x:xf numFmtId="0" fontId="1" fillId="2" borderId="0" xfId="0" applyFont="1" applyFill="1"/>
    <x:xf numFmtId="0" fontId="1" fillId="0" borderId="0" xfId="0" applyFont="1"/>
    <x:xf numFmtId="0" fontId="0" fillId="0" borderId="0" xfId="0" applyAlignment="1">
      <x:alignment wrapText="1"/>
    </x:xf>
    <x:xf numFmtId="2" fontId="0" fillId="0" borderId="0" xfId="0" applyNumberFormat="1"/>
    <x:xf numFmtId="164" fontId="0" fillId="0" borderId="0" xfId="0" applyNumberFormat="1"/>
    <x:xf numFmtId="1" fontId="0" fillId="0" borderId="0" xfId="0" applyNumberFormat="1"/>
    <x:xf numFmtId="0" fontId="3" fillId="0" borderId="0" xfId="0" applyFont="1"/>
    <x:xf numFmtId="0" fontId="3" fillId="3" borderId="0" xfId="0" applyFont="1" applyFill="1"/>
    <x:xf numFmtId="0" fontId="3" fillId="4" borderId="0" xfId="0" applyFont="1" applyFill="1"/>
    <x:xf numFmtId="2" fontId="3" fillId="4" borderId="0" xfId="0" applyNumberFormat="1" applyFont="1" applyFill="1"/>
    <x:xf numFmtId="0" fontId="1" fillId="0" borderId="0" xfId="0" applyFont="1" applyAlignment="1">
      <x:alignment wrapText="1"/>
    </x:xf>
    <x:xf numFmtId="165" fontId="0" fillId="0" borderId="0" xfId="0" applyNumberFormat="1"/>
    <x:xf numFmtId="165" fontId="1" fillId="0" borderId="0" xfId="0" applyNumberFormat="1" applyFont="1"/>
    <x:xf numFmtId="165" fontId="3" fillId="0" borderId="0" xfId="0" applyNumberFormat="1" applyFont="1"/>
    <x:xf numFmtId="1" fontId="3" fillId="0" borderId="0" xfId="0" applyNumberFormat="1" applyFont="1"/>
    <x:xf numFmtId="0" fontId="4" fillId="0" borderId="0" xfId="0" applyFont="1"/>
    <x:xf numFmtId="165" fontId="4" fillId="0" borderId="0" xfId="0" applyNumberFormat="1" applyFont="1"/>
    <x:xf numFmtId="0" fontId="3" fillId="0" borderId="0" xfId="0" applyFont="1" applyAlignment="1">
      <x:alignment wrapText="1"/>
    </x:xf>
    <x:xf numFmtId="0" fontId="5" fillId="0" borderId="0" xfId="0" applyFont="1"/>
    <x:xf numFmtId="0" fontId="4" fillId="3" borderId="0" xfId="0" applyFont="1" applyFill="1" applyAlignment="1">
      <x:alignment vertical="center"/>
    </x:xf>
    <x:xf numFmtId="0" fontId="3" fillId="0" borderId="0" xfId="0" applyFont="1" applyAlignment="1">
      <x:alignment vertical="center" wrapText="1"/>
    </x:xf>
    <x:xf numFmtId="0" fontId="4" fillId="5" borderId="0" xfId="0" applyFont="1" applyFill="1" applyAlignment="1">
      <x:alignment wrapText="1"/>
    </x:xf>
    <x:xf numFmtId="0" fontId="3" fillId="6" borderId="0" xfId="0" applyFont="1" applyFill="1"/>
    <x:xf numFmtId="166" fontId="3" fillId="0" borderId="0" xfId="0" applyNumberFormat="1" applyFont="1"/>
    <x:xf numFmtId="0" fontId="6" fillId="7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0" fillId="0" borderId="0" xfId="0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wrapText="1"/>
    </x:xf>
    <x:xf numFmtId="0" fontId="8" fillId="0" borderId="1" xfId="0" applyNumberFormat="1" applyFont="1" applyFill="1" applyBorder="1"/>
    <x:xf numFmtId="2" fontId="8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2" fontId="8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2" fontId="8" fillId="0" borderId="0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166" fontId="8" fillId="0" borderId="1" xfId="0" applyNumberFormat="1" applyFont="1" applyFill="1" applyBorder="1" applyAlignment="1">
      <x:alignment vertical="center" wrapText="1"/>
    </x:xf>
    <x:xf numFmtId="166" fontId="8" fillId="0" borderId="0" xfId="0" applyNumberFormat="1" applyFont="1" applyFill="1" applyBorder="1" applyAlignment="1">
      <x:alignment vertical="center" wrapText="1"/>
    </x:xf>
    <x:xf numFmtId="200" fontId="8" fillId="0" borderId="1" xfId="0" applyNumberFormat="1" applyFont="1" applyFill="1" applyBorder="1" applyAlignment="1">
      <x:alignment vertical="center" wrapText="1"/>
    </x:xf>
    <x:xf numFmtId="201" fontId="8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2" fontId="8" fillId="4" borderId="0" xfId="0" applyNumberFormat="1" applyFont="1" applyFill="1" applyBorder="1"/>
    <x:xf numFmtId="0" fontId="8" fillId="3" borderId="0" xfId="0" applyNumberFormat="1" applyFont="1" applyFill="1" applyBorder="1"/>
    <x:xf numFmtId="164" fontId="8" fillId="0" borderId="0" xfId="0" applyNumberFormat="1" applyFont="1" applyFill="1" applyBorder="1"/>
    <x:xf numFmtId="1" fontId="8" fillId="0" borderId="0" xfId="0" applyNumberFormat="1" applyFont="1" applyFill="1" applyBorder="1"/>
    <x:xf numFmtId="0" fontId="8" fillId="4" borderId="0" xfId="0" applyNumberFormat="1" applyFont="1" applyFill="1" applyBorder="1"/>
    <x:xf numFmtId="2" fontId="8" fillId="4" borderId="0" xfId="0" applyNumberFormat="1" applyFont="1" applyFill="1" applyBorder="1" applyAlignment="1">
      <x:alignment wrapText="1"/>
    </x:xf>
    <x:xf numFmtId="164" fontId="8" fillId="0" borderId="0" xfId="0" applyNumberFormat="1" applyFont="1" applyFill="1" applyBorder="1" applyAlignment="1">
      <x:alignment wrapText="1"/>
    </x:xf>
    <x:xf numFmtId="1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" fontId="8" fillId="4" borderId="0" xfId="0" applyNumberFormat="1" applyFont="1" applyFill="1" applyBorder="1" applyAlignment="1">
      <x:alignment vertical="center" wrapText="1"/>
    </x:xf>
    <x:xf numFmtId="164" fontId="8" fillId="0" borderId="0" xfId="0" applyNumberFormat="1" applyFont="1" applyFill="1" applyBorder="1" applyAlignment="1">
      <x:alignment vertical="center" wrapText="1"/>
    </x:xf>
    <x:xf numFmtId="1" fontId="8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165" fontId="8" fillId="0" borderId="0" xfId="0" applyNumberFormat="1" applyFont="1" applyFill="1" applyBorder="1"/>
    <x:xf numFmtId="165" fontId="7" fillId="0" borderId="0" xfId="0" applyNumberFormat="1" applyFont="1" applyFill="1" applyBorder="1"/>
    <x:xf numFmtId="165" fontId="8" fillId="0" borderId="0" xfId="0" applyNumberFormat="1" applyFont="1" applyFill="1" applyBorder="1" applyAlignment="1">
      <x:alignment wrapText="1"/>
    </x:xf>
    <x:xf numFmtId="165" fontId="7" fillId="0" borderId="0" xfId="0" applyNumberFormat="1" applyFont="1" applyFill="1" applyBorder="1" applyAlignment="1">
      <x:alignment wrapText="1"/>
    </x:xf>
    <x:xf numFmtId="165" fontId="8" fillId="0" borderId="0" xfId="0" applyNumberFormat="1" applyFont="1" applyFill="1" applyBorder="1" applyAlignment="1">
      <x:alignment vertical="center" wrapText="1"/>
    </x:xf>
    <x:xf numFmtId="165" fontId="7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204" fontId="7" fillId="0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204" fontId="8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204" fontId="12" fillId="9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166" fontId="8" fillId="0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166" fontId="8" fillId="0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1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FF0CC"/>
        </x:patternFill>
      </x:fill>
    </x:dxf>
    <x:dxf>
      <x:font>
        <x:color rgb="FF9C5700"/>
      </x:font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d643245fa4666" /><Relationship Type="http://schemas.openxmlformats.org/officeDocument/2006/relationships/theme" Target="/xl/theme/theme1.xml" Id="R42e8206ef9b04215" /><Relationship Type="http://schemas.openxmlformats.org/officeDocument/2006/relationships/sharedStrings" Target="/xl/sharedStrings.xml" Id="R3237473467564c04" /><Relationship Type="http://schemas.openxmlformats.org/officeDocument/2006/relationships/worksheet" Target="/xl/worksheets/sheet1.xml" Id="Rc56bb8549bab45fb" /><Relationship Type="http://schemas.openxmlformats.org/officeDocument/2006/relationships/worksheet" Target="/xl/worksheets/sheet2.xml" Id="R41d0a555cdf64442" /><Relationship Type="http://schemas.openxmlformats.org/officeDocument/2006/relationships/worksheet" Target="/xl/worksheets/sheet3.xml" Id="R5103452c90ff4d56" /><Relationship Type="http://schemas.openxmlformats.org/officeDocument/2006/relationships/worksheet" Target="/xl/worksheets/sheet4.xml" Id="R89c2ec6b1e594690" /><Relationship Type="http://schemas.openxmlformats.org/officeDocument/2006/relationships/worksheet" Target="/xl/worksheets/sheet5.xml" Id="Rf13bbf1252bb4d84" /><Relationship Type="http://schemas.openxmlformats.org/officeDocument/2006/relationships/worksheet" Target="/xl/worksheets/sheet6.xml" Id="Rbdb8f5d114ad44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8671875" defaultRowHeight="14.399999618530273"/>
  <x:cols>
    <x:col min="1" max="1" width="8" hidden="0" customWidth="1"/>
    <x:col min="2" max="2" width="30" hidden="0" customWidth="1"/>
    <x:col min="3" max="3" width="47" hidden="0" customWidth="1"/>
    <x:col min="4" max="4" width="28" hidden="0" customWidth="1"/>
    <x:col min="5" max="6" width="21" customWidth="1"/>
    <x:col min="7" max="7" width="8" hidden="0" customWidth="1"/>
    <x:col min="8" max="11" width="9" customWidth="1"/>
    <x:col min="12" max="13" width="23" customWidth="1"/>
    <x:col min="5" max="5" width="14" hidden="0" customWidth="1"/>
    <x:col min="6" max="6" width="14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5" hidden="0" customWidth="1"/>
    <x:col min="13" max="13" width="15" hidden="0" customWidth="1"/>
  </x:cols>
  <x:sheetData>
    <x:row r="1" ht="26" customHeight="1">
      <x:c r="A1" s="47" t="str">
        <x:v>Alternativa 260 · condimentero, puertas y basurero · tablero RH 15 mm / fondos 6 mm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</x:row>
    <x:row r="2" ht="32" customHeight="1">
      <x:c r="A2" s="41" t="str">
        <x:v>Módulos exteriores 150 + 600 + 700 + 700 + 400 = 2550; terminal 15 y vuelos 15/20 completan mesón 2600. L = sentido de veta.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</x:row>
    <x:row r="3" ht="32" customHeight="1">
      <x:c r="A3" s="41" t="str">
        <x:v>Dimensiones TERMINADAS; corte teórico descuenta cantos. Propuesta para revisión: validar nicho horno, soporte fregadero y mecanismo basurero antes de fabricar.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</x:row>
    <x:row r="4" ht="42" customHeight="1">
      <x:c r="A4" s="46" t="str">
        <x:v>N°</x:v>
      </x:c>
      <x:c r="B4" s="46" t="str">
        <x:v>Módulo</x:v>
      </x:c>
      <x:c r="C4" s="46" t="str">
        <x:v>Pieza</x:v>
      </x:c>
      <x:c r="D4" s="46" t="str">
        <x:v>Material</x:v>
      </x:c>
      <x:c r="E4" s="46" t="str">
        <x:v>Largo veta terminado (mm)</x:v>
      </x:c>
      <x:c r="F4" s="46" t="str">
        <x:v>Ancho terminado (mm)</x:v>
      </x:c>
      <x:c r="G4" s="46" t="str">
        <x:v>Cant.</x:v>
      </x:c>
      <x:c r="H4" s="46" t="str">
        <x:v>Canto L1</x:v>
      </x:c>
      <x:c r="I4" s="46" t="str">
        <x:v>Canto L2</x:v>
      </x:c>
      <x:c r="J4" s="46" t="str">
        <x:v>Canto A1</x:v>
      </x:c>
      <x:c r="K4" s="46" t="str">
        <x:v>Canto A2</x:v>
      </x:c>
      <x:c r="L4" s="46" t="str">
        <x:v>Largo corte teórico (mm)</x:v>
      </x:c>
      <x:c r="M4" s="46" t="str">
        <x:v>Ancho corte teórico (mm)</x:v>
      </x:c>
    </x:row>
    <x:row r="5" ht="30" customHeight="1">
      <x:c r="A5" s="43" t="str">
        <x:v>P001</x:v>
      </x:c>
      <x:c r="B5" s="43" t="str">
        <x:v>B1 Condimentero 15</x:v>
      </x:c>
      <x:c r="C5" s="43" t="str">
        <x:v>Lateral</x:v>
      </x:c>
      <x:c r="D5" s="43" t="str">
        <x:v>Melamina Cartagena RH 15</x:v>
      </x:c>
      <x:c r="E5" s="48" t="n">
        <x:v>785</x:v>
      </x:c>
      <x:c r="F5" s="48" t="n">
        <x:v>580</x:v>
      </x:c>
      <x:c r="G5" s="50" t="n">
        <x:v>2</x:v>
      </x:c>
      <x:c r="H5" s="51" t="str">
        <x:v>2</x:v>
      </x:c>
      <x:c r="I5" s="51" t="str">
        <x:v>0.45</x:v>
      </x:c>
      <x:c r="J5" s="51" t="str">
        <x:v>0.45</x:v>
      </x:c>
      <x:c r="K5" s="51" t="str">
        <x:v>0.45</x:v>
      </x:c>
      <x:c r="L5" s="49" t="n">
        <x:f t="shared" ref="L5:L36" si="0">E5-IF(J5="2",2,IF(J5="0.45",0.45,0))-IF(K5="2",2,IF(K5="0.45",0.45,0))</x:f>
        <x:v>784.0999999999999</x:v>
      </x:c>
      <x:c r="M5" s="49" t="n">
        <x:f t="shared" ref="M5:M36" si="1">F5-IF(H5="2",2,IF(H5="0.45",0.45,0))-IF(I5="2",2,IF(I5="0.45",0.45,0))</x:f>
        <x:v>577.55</x:v>
      </x:c>
    </x:row>
    <x:row r="6" ht="30" customHeight="1">
      <x:c r="A6" s="43" t="str">
        <x:v>P002</x:v>
      </x:c>
      <x:c r="B6" s="43" t="str">
        <x:v>B1 Condimentero 15</x:v>
      </x:c>
      <x:c r="C6" s="43" t="str">
        <x:v>Piso</x:v>
      </x:c>
      <x:c r="D6" s="43" t="str">
        <x:v>Melamina Cartagena RH 15</x:v>
      </x:c>
      <x:c r="E6" s="48" t="n">
        <x:v>120</x:v>
      </x:c>
      <x:c r="F6" s="48" t="n">
        <x:v>580</x:v>
      </x:c>
      <x:c r="G6" s="50" t="n">
        <x:v>1</x:v>
      </x:c>
      <x:c r="H6" s="51" t="str">
        <x:v>2</x:v>
      </x:c>
      <x:c r="I6" s="51" t="str">
        <x:v>0.45</x:v>
      </x:c>
      <x:c r="J6" s="51" t="str">
        <x:v>0.45</x:v>
      </x:c>
      <x:c r="K6" s="51" t="str">
        <x:v>0.45</x:v>
      </x:c>
      <x:c r="L6" s="49" t="n">
        <x:f t="shared" si="0">E6-IF(J6="2",2,IF(J6="0.45",0.45,0))-IF(K6="2",2,IF(K6="0.45",0.45,0))</x:f>
        <x:v>119.1</x:v>
      </x:c>
      <x:c r="M6" s="49" t="n">
        <x:f t="shared" si="1">F6-IF(H6="2",2,IF(H6="0.45",0.45,0))-IF(I6="2",2,IF(I6="0.45",0.45,0))</x:f>
        <x:v>577.55</x:v>
      </x:c>
    </x:row>
    <x:row r="7" ht="30" customHeight="1">
      <x:c r="A7" s="43" t="str">
        <x:v>P003</x:v>
      </x:c>
      <x:c r="B7" s="43" t="str">
        <x:v>B1 Condimentero 15</x:v>
      </x:c>
      <x:c r="C7" s="43" t="str">
        <x:v>Travesaño horizontal</x:v>
      </x:c>
      <x:c r="D7" s="43" t="str">
        <x:v>Melamina Cartagena RH 15</x:v>
      </x:c>
      <x:c r="E7" s="48" t="n">
        <x:v>120</x:v>
      </x:c>
      <x:c r="F7" s="48" t="n">
        <x:v>100</x:v>
      </x:c>
      <x:c r="G7" s="50" t="n">
        <x:v>2</x:v>
      </x:c>
      <x:c r="H7" s="51" t="str">
        <x:v>0.45</x:v>
      </x:c>
      <x:c r="I7" s="51" t="str">
        <x:v>0.45</x:v>
      </x:c>
      <x:c r="J7" s="51" t="str">
        <x:v>0.45</x:v>
      </x:c>
      <x:c r="K7" s="51" t="str">
        <x:v>0.45</x:v>
      </x:c>
      <x:c r="L7" s="49" t="n">
        <x:f t="shared" si="0">E7-IF(J7="2",2,IF(J7="0.45",0.45,0))-IF(K7="2",2,IF(K7="0.45",0.45,0))</x:f>
        <x:v>119.1</x:v>
      </x:c>
      <x:c r="M7" s="49" t="n">
        <x:f t="shared" si="1">F7-IF(H7="2",2,IF(H7="0.45",0.45,0))-IF(I7="2",2,IF(I7="0.45",0.45,0))</x:f>
        <x:v>99.1</x:v>
      </x:c>
    </x:row>
    <x:row r="8" ht="30" customHeight="1">
      <x:c r="A8" s="43" t="str">
        <x:v>P004</x:v>
      </x:c>
      <x:c r="B8" s="43" t="str">
        <x:v>B1 Condimentero 15</x:v>
      </x:c>
      <x:c r="C8" s="43" t="str">
        <x:v>Fondo clavado atrás</x:v>
      </x:c>
      <x:c r="D8" s="43" t="str">
        <x:v>Fondo melamina 6</x:v>
      </x:c>
      <x:c r="E8" s="48" t="n">
        <x:v>146</x:v>
      </x:c>
      <x:c r="F8" s="48" t="n">
        <x:v>781</x:v>
      </x:c>
      <x:c r="G8" s="50" t="n">
        <x:v>1</x:v>
      </x:c>
      <x:c r="H8" s="51" t="str">
        <x:v>—</x:v>
      </x:c>
      <x:c r="I8" s="51" t="str">
        <x:v>—</x:v>
      </x:c>
      <x:c r="J8" s="51" t="str">
        <x:v>—</x:v>
      </x:c>
      <x:c r="K8" s="51" t="str">
        <x:v>—</x:v>
      </x:c>
      <x:c r="L8" s="49" t="n">
        <x:f t="shared" si="0">E8-IF(J8="2",2,IF(J8="0.45",0.45,0))-IF(K8="2",2,IF(K8="0.45",0.45,0))</x:f>
        <x:v>146</x:v>
      </x:c>
      <x:c r="M8" s="49" t="n">
        <x:f t="shared" si="1">F8-IF(H8="2",2,IF(H8="0.45",0.45,0))-IF(I8="2",2,IF(I8="0.45",0.45,0))</x:f>
        <x:v>781</x:v>
      </x:c>
    </x:row>
    <x:row r="9" ht="30" customHeight="1">
      <x:c r="A9" s="43" t="str">
        <x:v>P005</x:v>
      </x:c>
      <x:c r="B9" s="43" t="str">
        <x:v>B1 Condimentero 15</x:v>
      </x:c>
      <x:c r="C9" s="43" t="str">
        <x:v>Frente condimentero</x:v>
      </x:c>
      <x:c r="D9" s="43" t="str">
        <x:v>Melamina Cartagena RH 15</x:v>
      </x:c>
      <x:c r="E9" s="48" t="n">
        <x:v>732</x:v>
      </x:c>
      <x:c r="F9" s="48" t="n">
        <x:v>147</x:v>
      </x:c>
      <x:c r="G9" s="50" t="n">
        <x:v>1</x:v>
      </x:c>
      <x:c r="H9" s="51" t="str">
        <x:v>2</x:v>
      </x:c>
      <x:c r="I9" s="51" t="str">
        <x:v>2</x:v>
      </x:c>
      <x:c r="J9" s="51" t="str">
        <x:v>2</x:v>
      </x:c>
      <x:c r="K9" s="51" t="str">
        <x:v>2</x:v>
      </x:c>
      <x:c r="L9" s="49" t="n">
        <x:f t="shared" si="0">E9-IF(J9="2",2,IF(J9="0.45",0.45,0))-IF(K9="2",2,IF(K9="0.45",0.45,0))</x:f>
        <x:v>728</x:v>
      </x:c>
      <x:c r="M9" s="49" t="n">
        <x:f t="shared" si="1">F9-IF(H9="2",2,IF(H9="0.45",0.45,0))-IF(I9="2",2,IF(I9="0.45",0.45,0))</x:f>
        <x:v>143</x:v>
      </x:c>
    </x:row>
    <x:row r="10" ht="30" customHeight="1">
      <x:c r="A10" s="43" t="str">
        <x:v>P006</x:v>
      </x:c>
      <x:c r="B10" s="43" t="str">
        <x:v>B2 Horno y estufa 60</x:v>
      </x:c>
      <x:c r="C10" s="43" t="str">
        <x:v>Lateral</x:v>
      </x:c>
      <x:c r="D10" s="43" t="str">
        <x:v>Melamina Cartagena RH 15</x:v>
      </x:c>
      <x:c r="E10" s="48" t="n">
        <x:v>785</x:v>
      </x:c>
      <x:c r="F10" s="48" t="n">
        <x:v>580</x:v>
      </x:c>
      <x:c r="G10" s="50" t="n">
        <x:v>2</x:v>
      </x:c>
      <x:c r="H10" s="51" t="str">
        <x:v>2</x:v>
      </x:c>
      <x:c r="I10" s="51" t="str">
        <x:v>0.45</x:v>
      </x:c>
      <x:c r="J10" s="51" t="str">
        <x:v>0.45</x:v>
      </x:c>
      <x:c r="K10" s="51" t="str">
        <x:v>0.45</x:v>
      </x:c>
      <x:c r="L10" s="49" t="n">
        <x:f t="shared" si="0">E10-IF(J10="2",2,IF(J10="0.45",0.45,0))-IF(K10="2",2,IF(K10="0.45",0.45,0))</x:f>
        <x:v>784.0999999999999</x:v>
      </x:c>
      <x:c r="M10" s="49" t="n">
        <x:f t="shared" si="1">F10-IF(H10="2",2,IF(H10="0.45",0.45,0))-IF(I10="2",2,IF(I10="0.45",0.45,0))</x:f>
        <x:v>577.55</x:v>
      </x:c>
    </x:row>
    <x:row r="11" ht="30" customHeight="1">
      <x:c r="A11" s="43" t="str">
        <x:v>P007</x:v>
      </x:c>
      <x:c r="B11" s="43" t="str">
        <x:v>B2 Horno y estufa 60</x:v>
      </x:c>
      <x:c r="C11" s="43" t="str">
        <x:v>Piso de apoyo horno (validar montaje)</x:v>
      </x:c>
      <x:c r="D11" s="43" t="str">
        <x:v>Melamina Cartagena RH 15</x:v>
      </x:c>
      <x:c r="E11" s="48" t="n">
        <x:v>570</x:v>
      </x:c>
      <x:c r="F11" s="48" t="n">
        <x:v>580</x:v>
      </x:c>
      <x:c r="G11" s="50" t="n">
        <x:v>1</x:v>
      </x:c>
      <x:c r="H11" s="51" t="str">
        <x:v>2</x:v>
      </x:c>
      <x:c r="I11" s="51" t="str">
        <x:v>0.45</x:v>
      </x:c>
      <x:c r="J11" s="51" t="str">
        <x:v>0.45</x:v>
      </x:c>
      <x:c r="K11" s="51" t="str">
        <x:v>0.45</x:v>
      </x:c>
      <x:c r="L11" s="49" t="n">
        <x:f t="shared" si="0">E11-IF(J11="2",2,IF(J11="0.45",0.45,0))-IF(K11="2",2,IF(K11="0.45",0.45,0))</x:f>
        <x:v>569.0999999999999</x:v>
      </x:c>
      <x:c r="M11" s="49" t="n">
        <x:f t="shared" si="1">F11-IF(H11="2",2,IF(H11="0.45",0.45,0))-IF(I11="2",2,IF(I11="0.45",0.45,0))</x:f>
        <x:v>577.55</x:v>
      </x:c>
    </x:row>
    <x:row r="12" ht="30" customHeight="1">
      <x:c r="A12" s="43" t="str">
        <x:v>P008</x:v>
      </x:c>
      <x:c r="B12" s="43" t="str">
        <x:v>B2 Horno y estufa 60</x:v>
      </x:c>
      <x:c r="C12" s="43" t="str">
        <x:v>Travesaño trasero</x:v>
      </x:c>
      <x:c r="D12" s="43" t="str">
        <x:v>Melamina Cartagena RH 15</x:v>
      </x:c>
      <x:c r="E12" s="48" t="n">
        <x:v>570</x:v>
      </x:c>
      <x:c r="F12" s="48" t="n">
        <x:v>100</x:v>
      </x:c>
      <x:c r="G12" s="50" t="n">
        <x:v>1</x:v>
      </x:c>
      <x:c r="H12" s="51" t="str">
        <x:v>0.45</x:v>
      </x:c>
      <x:c r="I12" s="51" t="str">
        <x:v>0.45</x:v>
      </x:c>
      <x:c r="J12" s="51" t="str">
        <x:v>0.45</x:v>
      </x:c>
      <x:c r="K12" s="51" t="str">
        <x:v>0.45</x:v>
      </x:c>
      <x:c r="L12" s="49" t="n">
        <x:f t="shared" si="0">E12-IF(J12="2",2,IF(J12="0.45",0.45,0))-IF(K12="2",2,IF(K12="0.45",0.45,0))</x:f>
        <x:v>569.0999999999999</x:v>
      </x:c>
      <x:c r="M12" s="49" t="n">
        <x:f t="shared" si="1">F12-IF(H12="2",2,IF(H12="0.45",0.45,0))-IF(I12="2",2,IF(I12="0.45",0.45,0))</x:f>
        <x:v>99.1</x:v>
      </x:c>
    </x:row>
    <x:row r="13" ht="30" customHeight="1">
      <x:c r="A13" s="43" t="str">
        <x:v>P009</x:v>
      </x:c>
      <x:c r="B13" s="43" t="str">
        <x:v>B2 Horno y estufa 60</x:v>
      </x:c>
      <x:c r="C13" s="43" t="str">
        <x:v>Repisa sobre horno (posición por manual)</x:v>
      </x:c>
      <x:c r="D13" s="43" t="str">
        <x:v>Melamina Cartagena RH 15</x:v>
      </x:c>
      <x:c r="E13" s="48" t="n">
        <x:v>570</x:v>
      </x:c>
      <x:c r="F13" s="48" t="n">
        <x:v>500</x:v>
      </x:c>
      <x:c r="G13" s="50" t="n">
        <x:v>1</x:v>
      </x:c>
      <x:c r="H13" s="51" t="str">
        <x:v>2</x:v>
      </x:c>
      <x:c r="I13" s="51" t="str">
        <x:v>0.45</x:v>
      </x:c>
      <x:c r="J13" s="51" t="str">
        <x:v>0.45</x:v>
      </x:c>
      <x:c r="K13" s="51" t="str">
        <x:v>0.45</x:v>
      </x:c>
      <x:c r="L13" s="49" t="n">
        <x:f t="shared" si="0">E13-IF(J13="2",2,IF(J13="0.45",0.45,0))-IF(K13="2",2,IF(K13="0.45",0.45,0))</x:f>
        <x:v>569.0999999999999</x:v>
      </x:c>
      <x:c r="M13" s="49" t="n">
        <x:f t="shared" si="1">F13-IF(H13="2",2,IF(H13="0.45",0.45,0))-IF(I13="2",2,IF(I13="0.45",0.45,0))</x:f>
        <x:v>497.55</x:v>
      </x:c>
    </x:row>
    <x:row r="14" ht="30" customHeight="1">
      <x:c r="A14" s="43" t="str">
        <x:v>P010</x:v>
      </x:c>
      <x:c r="B14" s="43" t="str">
        <x:v>B2 Horno y estufa 60</x:v>
      </x:c>
      <x:c r="C14" s="43" t="str">
        <x:v>Listón frontal de apoyo del mesón (de canto)</x:v>
      </x:c>
      <x:c r="D14" s="43" t="str">
        <x:v>Melamina Cartagena RH 15</x:v>
      </x:c>
      <x:c r="E14" s="48" t="n">
        <x:v>570</x:v>
      </x:c>
      <x:c r="F14" s="48" t="n">
        <x:v>80</x:v>
      </x:c>
      <x:c r="G14" s="50" t="n">
        <x:v>1</x:v>
      </x:c>
      <x:c r="H14" s="51" t="str">
        <x:v>0.45</x:v>
      </x:c>
      <x:c r="I14" s="51" t="str">
        <x:v>0.45</x:v>
      </x:c>
      <x:c r="J14" s="51" t="str">
        <x:v>0.45</x:v>
      </x:c>
      <x:c r="K14" s="51" t="str">
        <x:v>0.45</x:v>
      </x:c>
      <x:c r="L14" s="49" t="n">
        <x:f t="shared" si="0">E14-IF(J14="2",2,IF(J14="0.45",0.45,0))-IF(K14="2",2,IF(K14="0.45",0.45,0))</x:f>
        <x:v>569.0999999999999</x:v>
      </x:c>
      <x:c r="M14" s="49" t="n">
        <x:f t="shared" si="1">F14-IF(H14="2",2,IF(H14="0.45",0.45,0))-IF(I14="2",2,IF(I14="0.45",0.45,0))</x:f>
        <x:v>79.1</x:v>
      </x:c>
    </x:row>
    <x:row r="15" ht="30" customHeight="1">
      <x:c r="A15" s="43" t="str">
        <x:v>P011</x:v>
      </x:c>
      <x:c r="B15" s="43" t="str">
        <x:v>B2 Horno y estufa 60</x:v>
      </x:c>
      <x:c r="C15" s="43" t="str">
        <x:v>Panel fijo bajo estufa (ajustar con equipo)</x:v>
      </x:c>
      <x:c r="D15" s="43" t="str">
        <x:v>Melamina Cartagena RH 15</x:v>
      </x:c>
      <x:c r="E15" s="48" t="n">
        <x:v>145</x:v>
      </x:c>
      <x:c r="F15" s="48" t="n">
        <x:v>597</x:v>
      </x:c>
      <x:c r="G15" s="50" t="n">
        <x:v>1</x:v>
      </x:c>
      <x:c r="H15" s="51" t="str">
        <x:v>2</x:v>
      </x:c>
      <x:c r="I15" s="51" t="str">
        <x:v>2</x:v>
      </x:c>
      <x:c r="J15" s="51" t="str">
        <x:v>2</x:v>
      </x:c>
      <x:c r="K15" s="51" t="str">
        <x:v>2</x:v>
      </x:c>
      <x:c r="L15" s="49" t="n">
        <x:f t="shared" si="0">E15-IF(J15="2",2,IF(J15="0.45",0.45,0))-IF(K15="2",2,IF(K15="0.45",0.45,0))</x:f>
        <x:v>141</x:v>
      </x:c>
      <x:c r="M15" s="49" t="n">
        <x:f t="shared" si="1">F15-IF(H15="2",2,IF(H15="0.45",0.45,0))-IF(I15="2",2,IF(I15="0.45",0.45,0))</x:f>
        <x:v>593</x:v>
      </x:c>
    </x:row>
    <x:row r="16" ht="30" customHeight="1">
      <x:c r="A16" s="43" t="str">
        <x:v>P012</x:v>
      </x:c>
      <x:c r="B16" s="43" t="str">
        <x:v>B3 Cubiertero y puertas 70</x:v>
      </x:c>
      <x:c r="C16" s="43" t="str">
        <x:v>Lateral</x:v>
      </x:c>
      <x:c r="D16" s="43" t="str">
        <x:v>Melamina Cartagena RH 15</x:v>
      </x:c>
      <x:c r="E16" s="48" t="n">
        <x:v>785</x:v>
      </x:c>
      <x:c r="F16" s="48" t="n">
        <x:v>580</x:v>
      </x:c>
      <x:c r="G16" s="50" t="n">
        <x:v>2</x:v>
      </x:c>
      <x:c r="H16" s="51" t="str">
        <x:v>2</x:v>
      </x:c>
      <x:c r="I16" s="51" t="str">
        <x:v>0.45</x:v>
      </x:c>
      <x:c r="J16" s="51" t="str">
        <x:v>0.45</x:v>
      </x:c>
      <x:c r="K16" s="51" t="str">
        <x:v>0.45</x:v>
      </x:c>
      <x:c r="L16" s="49" t="n">
        <x:f t="shared" si="0">E16-IF(J16="2",2,IF(J16="0.45",0.45,0))-IF(K16="2",2,IF(K16="0.45",0.45,0))</x:f>
        <x:v>784.0999999999999</x:v>
      </x:c>
      <x:c r="M16" s="49" t="n">
        <x:f t="shared" si="1">F16-IF(H16="2",2,IF(H16="0.45",0.45,0))-IF(I16="2",2,IF(I16="0.45",0.45,0))</x:f>
        <x:v>577.55</x:v>
      </x:c>
    </x:row>
    <x:row r="17" ht="30" customHeight="1">
      <x:c r="A17" s="43" t="str">
        <x:v>P013</x:v>
      </x:c>
      <x:c r="B17" s="43" t="str">
        <x:v>B3 Cubiertero y puertas 70</x:v>
      </x:c>
      <x:c r="C17" s="43" t="str">
        <x:v>Piso</x:v>
      </x:c>
      <x:c r="D17" s="43" t="str">
        <x:v>Melamina Cartagena RH 15</x:v>
      </x:c>
      <x:c r="E17" s="48" t="n">
        <x:v>670</x:v>
      </x:c>
      <x:c r="F17" s="48" t="n">
        <x:v>580</x:v>
      </x:c>
      <x:c r="G17" s="50" t="n">
        <x:v>1</x:v>
      </x:c>
      <x:c r="H17" s="51" t="str">
        <x:v>2</x:v>
      </x:c>
      <x:c r="I17" s="51" t="str">
        <x:v>0.45</x:v>
      </x:c>
      <x:c r="J17" s="51" t="str">
        <x:v>0.45</x:v>
      </x:c>
      <x:c r="K17" s="51" t="str">
        <x:v>0.45</x:v>
      </x:c>
      <x:c r="L17" s="49" t="n">
        <x:f t="shared" si="0">E17-IF(J17="2",2,IF(J17="0.45",0.45,0))-IF(K17="2",2,IF(K17="0.45",0.45,0))</x:f>
        <x:v>669.0999999999999</x:v>
      </x:c>
      <x:c r="M17" s="49" t="n">
        <x:f t="shared" si="1">F17-IF(H17="2",2,IF(H17="0.45",0.45,0))-IF(I17="2",2,IF(I17="0.45",0.45,0))</x:f>
        <x:v>577.55</x:v>
      </x:c>
    </x:row>
    <x:row r="18" ht="30" customHeight="1">
      <x:c r="A18" s="43" t="str">
        <x:v>P014</x:v>
      </x:c>
      <x:c r="B18" s="43" t="str">
        <x:v>B3 Cubiertero y puertas 70</x:v>
      </x:c>
      <x:c r="C18" s="43" t="str">
        <x:v>Travesaño horizontal</x:v>
      </x:c>
      <x:c r="D18" s="43" t="str">
        <x:v>Melamina Cartagena RH 15</x:v>
      </x:c>
      <x:c r="E18" s="48" t="n">
        <x:v>670</x:v>
      </x:c>
      <x:c r="F18" s="48" t="n">
        <x:v>100</x:v>
      </x:c>
      <x:c r="G18" s="50" t="n">
        <x:v>2</x:v>
      </x:c>
      <x:c r="H18" s="51" t="str">
        <x:v>0.45</x:v>
      </x:c>
      <x:c r="I18" s="51" t="str">
        <x:v>0.45</x:v>
      </x:c>
      <x:c r="J18" s="51" t="str">
        <x:v>0.45</x:v>
      </x:c>
      <x:c r="K18" s="51" t="str">
        <x:v>0.45</x:v>
      </x:c>
      <x:c r="L18" s="49" t="n">
        <x:f t="shared" si="0">E18-IF(J18="2",2,IF(J18="0.45",0.45,0))-IF(K18="2",2,IF(K18="0.45",0.45,0))</x:f>
        <x:v>669.0999999999999</x:v>
      </x:c>
      <x:c r="M18" s="49" t="n">
        <x:f t="shared" si="1">F18-IF(H18="2",2,IF(H18="0.45",0.45,0))-IF(I18="2",2,IF(I18="0.45",0.45,0))</x:f>
        <x:v>99.1</x:v>
      </x:c>
    </x:row>
    <x:row r="19" ht="30" customHeight="1">
      <x:c r="A19" s="43" t="str">
        <x:v>P015</x:v>
      </x:c>
      <x:c r="B19" s="43" t="str">
        <x:v>B3 Cubiertero y puertas 70</x:v>
      </x:c>
      <x:c r="C19" s="43" t="str">
        <x:v>Fondo clavado atrás</x:v>
      </x:c>
      <x:c r="D19" s="43" t="str">
        <x:v>Fondo melamina 6</x:v>
      </x:c>
      <x:c r="E19" s="48" t="n">
        <x:v>696</x:v>
      </x:c>
      <x:c r="F19" s="48" t="n">
        <x:v>781</x:v>
      </x:c>
      <x:c r="G19" s="50" t="n">
        <x:v>1</x:v>
      </x:c>
      <x:c r="H19" s="51" t="str">
        <x:v>—</x:v>
      </x:c>
      <x:c r="I19" s="51" t="str">
        <x:v>—</x:v>
      </x:c>
      <x:c r="J19" s="51" t="str">
        <x:v>—</x:v>
      </x:c>
      <x:c r="K19" s="51" t="str">
        <x:v>—</x:v>
      </x:c>
      <x:c r="L19" s="49" t="n">
        <x:f t="shared" si="0">E19-IF(J19="2",2,IF(J19="0.45",0.45,0))-IF(K19="2",2,IF(K19="0.45",0.45,0))</x:f>
        <x:v>696</x:v>
      </x:c>
      <x:c r="M19" s="49" t="n">
        <x:f t="shared" si="1">F19-IF(H19="2",2,IF(H19="0.45",0.45,0))-IF(I19="2",2,IF(I19="0.45",0.45,0))</x:f>
        <x:v>781</x:v>
      </x:c>
    </x:row>
    <x:row r="20" ht="30" customHeight="1">
      <x:c r="A20" s="43" t="str">
        <x:v>P016</x:v>
      </x:c>
      <x:c r="B20" s="43" t="str">
        <x:v>B3 Cubiertero y puertas 70</x:v>
      </x:c>
      <x:c r="C20" s="43" t="str">
        <x:v>Frente cajón superior cubiertero</x:v>
      </x:c>
      <x:c r="D20" s="43" t="str">
        <x:v>Melamina Cartagena RH 15</x:v>
      </x:c>
      <x:c r="E20" s="48" t="n">
        <x:v>167</x:v>
      </x:c>
      <x:c r="F20" s="48" t="n">
        <x:v>697</x:v>
      </x:c>
      <x:c r="G20" s="50" t="n">
        <x:v>1</x:v>
      </x:c>
      <x:c r="H20" s="51" t="str">
        <x:v>2</x:v>
      </x:c>
      <x:c r="I20" s="51" t="str">
        <x:v>2</x:v>
      </x:c>
      <x:c r="J20" s="51" t="str">
        <x:v>2</x:v>
      </x:c>
      <x:c r="K20" s="51" t="str">
        <x:v>2</x:v>
      </x:c>
      <x:c r="L20" s="49" t="n">
        <x:f t="shared" si="0">E20-IF(J20="2",2,IF(J20="0.45",0.45,0))-IF(K20="2",2,IF(K20="0.45",0.45,0))</x:f>
        <x:v>163</x:v>
      </x:c>
      <x:c r="M20" s="49" t="n">
        <x:f t="shared" si="1">F20-IF(H20="2",2,IF(H20="0.45",0.45,0))-IF(I20="2",2,IF(I20="0.45",0.45,0))</x:f>
        <x:v>693</x:v>
      </x:c>
    </x:row>
    <x:row r="21" ht="30" customHeight="1">
      <x:c r="A21" s="43" t="str">
        <x:v>P017</x:v>
      </x:c>
      <x:c r="B21" s="43" t="str">
        <x:v>B3 Cubiertero y puertas 70</x:v>
      </x:c>
      <x:c r="C21" s="43" t="str">
        <x:v>Cajón: base aplicada inferior</x:v>
      </x:c>
      <x:c r="D21" s="43" t="str">
        <x:v>Melamina Cartagena RH 15</x:v>
      </x:c>
      <x:c r="E21" s="48" t="n">
        <x:v>643</x:v>
      </x:c>
      <x:c r="F21" s="48" t="n">
        <x:v>550</x:v>
      </x:c>
      <x:c r="G21" s="50" t="n">
        <x:v>1</x:v>
      </x:c>
      <x:c r="H21" s="51" t="str">
        <x:v>0.45</x:v>
      </x:c>
      <x:c r="I21" s="51" t="str">
        <x:v>0.45</x:v>
      </x:c>
      <x:c r="J21" s="51" t="str">
        <x:v>0.45</x:v>
      </x:c>
      <x:c r="K21" s="51" t="str">
        <x:v>0.45</x:v>
      </x:c>
      <x:c r="L21" s="49" t="n">
        <x:f t="shared" si="0">E21-IF(J21="2",2,IF(J21="0.45",0.45,0))-IF(K21="2",2,IF(K21="0.45",0.45,0))</x:f>
        <x:v>642.0999999999999</x:v>
      </x:c>
      <x:c r="M21" s="49" t="n">
        <x:f t="shared" si="1">F21-IF(H21="2",2,IF(H21="0.45",0.45,0))-IF(I21="2",2,IF(I21="0.45",0.45,0))</x:f>
        <x:v>549.0999999999999</x:v>
      </x:c>
    </x:row>
    <x:row r="22" ht="30" customHeight="1">
      <x:c r="A22" s="43" t="str">
        <x:v>P018</x:v>
      </x:c>
      <x:c r="B22" s="43" t="str">
        <x:v>B3 Cubiertero y puertas 70</x:v>
      </x:c>
      <x:c r="C22" s="43" t="str">
        <x:v>Cajón: costado</x:v>
      </x:c>
      <x:c r="D22" s="43" t="str">
        <x:v>Melamina Cartagena RH 15</x:v>
      </x:c>
      <x:c r="E22" s="48" t="n">
        <x:v>550</x:v>
      </x:c>
      <x:c r="F22" s="48" t="n">
        <x:v>75</x:v>
      </x:c>
      <x:c r="G22" s="50" t="n">
        <x:v>2</x:v>
      </x:c>
      <x:c r="H22" s="51" t="str">
        <x:v>0.45</x:v>
      </x:c>
      <x:c r="I22" s="51" t="str">
        <x:v>0.45</x:v>
      </x:c>
      <x:c r="J22" s="51" t="str">
        <x:v>0.45</x:v>
      </x:c>
      <x:c r="K22" s="51" t="str">
        <x:v>0.45</x:v>
      </x:c>
      <x:c r="L22" s="49" t="n">
        <x:f t="shared" si="0">E22-IF(J22="2",2,IF(J22="0.45",0.45,0))-IF(K22="2",2,IF(K22="0.45",0.45,0))</x:f>
        <x:v>549.0999999999999</x:v>
      </x:c>
      <x:c r="M22" s="49" t="n">
        <x:f t="shared" si="1">F22-IF(H22="2",2,IF(H22="0.45",0.45,0))-IF(I22="2",2,IF(I22="0.45",0.45,0))</x:f>
        <x:v>74.1</x:v>
      </x:c>
    </x:row>
    <x:row r="23" ht="30" customHeight="1">
      <x:c r="A23" s="43" t="str">
        <x:v>P019</x:v>
      </x:c>
      <x:c r="B23" s="43" t="str">
        <x:v>B3 Cubiertero y puertas 70</x:v>
      </x:c>
      <x:c r="C23" s="43" t="str">
        <x:v>Cajón: frente y trasero interiores</x:v>
      </x:c>
      <x:c r="D23" s="43" t="str">
        <x:v>Melamina Cartagena RH 15</x:v>
      </x:c>
      <x:c r="E23" s="48" t="n">
        <x:v>613</x:v>
      </x:c>
      <x:c r="F23" s="48" t="n">
        <x:v>75</x:v>
      </x:c>
      <x:c r="G23" s="50" t="n">
        <x:v>2</x:v>
      </x:c>
      <x:c r="H23" s="51" t="str">
        <x:v>0.45</x:v>
      </x:c>
      <x:c r="I23" s="51" t="str">
        <x:v>0.45</x:v>
      </x:c>
      <x:c r="J23" s="51" t="str">
        <x:v>0.45</x:v>
      </x:c>
      <x:c r="K23" s="51" t="str">
        <x:v>0.45</x:v>
      </x:c>
      <x:c r="L23" s="49" t="n">
        <x:f t="shared" si="0">E23-IF(J23="2",2,IF(J23="0.45",0.45,0))-IF(K23="2",2,IF(K23="0.45",0.45,0))</x:f>
        <x:v>612.0999999999999</x:v>
      </x:c>
      <x:c r="M23" s="49" t="n">
        <x:f t="shared" si="1">F23-IF(H23="2",2,IF(H23="0.45",0.45,0))-IF(I23="2",2,IF(I23="0.45",0.45,0))</x:f>
        <x:v>74.1</x:v>
      </x:c>
    </x:row>
    <x:row r="24" ht="30" customHeight="1">
      <x:c r="A24" s="43" t="str">
        <x:v>P020</x:v>
      </x:c>
      <x:c r="B24" s="43" t="str">
        <x:v>B3 Cubiertero y puertas 70</x:v>
      </x:c>
      <x:c r="C24" s="43" t="str">
        <x:v>Puerta inferior izquierda</x:v>
      </x:c>
      <x:c r="D24" s="43" t="str">
        <x:v>Melamina Cartagena RH 15</x:v>
      </x:c>
      <x:c r="E24" s="48" t="n">
        <x:v>537</x:v>
      </x:c>
      <x:c r="F24" s="48" t="n">
        <x:v>347</x:v>
      </x:c>
      <x:c r="G24" s="50" t="n">
        <x:v>1</x:v>
      </x:c>
      <x:c r="H24" s="51" t="str">
        <x:v>2</x:v>
      </x:c>
      <x:c r="I24" s="51" t="str">
        <x:v>2</x:v>
      </x:c>
      <x:c r="J24" s="51" t="str">
        <x:v>2</x:v>
      </x:c>
      <x:c r="K24" s="51" t="str">
        <x:v>2</x:v>
      </x:c>
      <x:c r="L24" s="49" t="n">
        <x:f t="shared" si="0">E24-IF(J24="2",2,IF(J24="0.45",0.45,0))-IF(K24="2",2,IF(K24="0.45",0.45,0))</x:f>
        <x:v>533</x:v>
      </x:c>
      <x:c r="M24" s="49" t="n">
        <x:f t="shared" si="1">F24-IF(H24="2",2,IF(H24="0.45",0.45,0))-IF(I24="2",2,IF(I24="0.45",0.45,0))</x:f>
        <x:v>343</x:v>
      </x:c>
    </x:row>
    <x:row r="25" ht="30" customHeight="1">
      <x:c r="A25" s="43" t="str">
        <x:v>P021</x:v>
      </x:c>
      <x:c r="B25" s="43" t="str">
        <x:v>B3 Cubiertero y puertas 70</x:v>
      </x:c>
      <x:c r="C25" s="43" t="str">
        <x:v>Puerta inferior derecha</x:v>
      </x:c>
      <x:c r="D25" s="43" t="str">
        <x:v>Melamina Cartagena RH 15</x:v>
      </x:c>
      <x:c r="E25" s="48" t="n">
        <x:v>537</x:v>
      </x:c>
      <x:c r="F25" s="48" t="n">
        <x:v>347</x:v>
      </x:c>
      <x:c r="G25" s="50" t="n">
        <x:v>1</x:v>
      </x:c>
      <x:c r="H25" s="51" t="str">
        <x:v>2</x:v>
      </x:c>
      <x:c r="I25" s="51" t="str">
        <x:v>2</x:v>
      </x:c>
      <x:c r="J25" s="51" t="str">
        <x:v>2</x:v>
      </x:c>
      <x:c r="K25" s="51" t="str">
        <x:v>2</x:v>
      </x:c>
      <x:c r="L25" s="49" t="n">
        <x:f t="shared" si="0">E25-IF(J25="2",2,IF(J25="0.45",0.45,0))-IF(K25="2",2,IF(K25="0.45",0.45,0))</x:f>
        <x:v>533</x:v>
      </x:c>
      <x:c r="M25" s="49" t="n">
        <x:f t="shared" si="1">F25-IF(H25="2",2,IF(H25="0.45",0.45,0))-IF(I25="2",2,IF(I25="0.45",0.45,0))</x:f>
        <x:v>343</x:v>
      </x:c>
    </x:row>
    <x:row r="26" ht="30" customHeight="1">
      <x:c r="A26" s="43" t="str">
        <x:v>P022</x:v>
      </x:c>
      <x:c r="B26" s="43" t="str">
        <x:v>B3 Cubiertero y puertas 70</x:v>
      </x:c>
      <x:c r="C26" s="43" t="str">
        <x:v>Entrepaño regulable inferior</x:v>
      </x:c>
      <x:c r="D26" s="43" t="str">
        <x:v>Melamina Cartagena RH 15</x:v>
      </x:c>
      <x:c r="E26" s="48" t="n">
        <x:v>668</x:v>
      </x:c>
      <x:c r="F26" s="48" t="n">
        <x:v>550</x:v>
      </x:c>
      <x:c r="G26" s="50" t="n">
        <x:v>1</x:v>
      </x:c>
      <x:c r="H26" s="51" t="str">
        <x:v>2</x:v>
      </x:c>
      <x:c r="I26" s="51" t="str">
        <x:v>0.45</x:v>
      </x:c>
      <x:c r="J26" s="51" t="str">
        <x:v>0.45</x:v>
      </x:c>
      <x:c r="K26" s="51" t="str">
        <x:v>0.45</x:v>
      </x:c>
      <x:c r="L26" s="49" t="n">
        <x:f t="shared" si="0">E26-IF(J26="2",2,IF(J26="0.45",0.45,0))-IF(K26="2",2,IF(K26="0.45",0.45,0))</x:f>
        <x:v>667.0999999999999</x:v>
      </x:c>
      <x:c r="M26" s="49" t="n">
        <x:f t="shared" si="1">F26-IF(H26="2",2,IF(H26="0.45",0.45,0))-IF(I26="2",2,IF(I26="0.45",0.45,0))</x:f>
        <x:v>547.55</x:v>
      </x:c>
    </x:row>
    <x:row r="27" ht="30" customHeight="1">
      <x:c r="A27" s="43" t="str">
        <x:v>P023</x:v>
      </x:c>
      <x:c r="B27" s="43" t="str">
        <x:v>B5 Lavaplatos 70</x:v>
      </x:c>
      <x:c r="C27" s="43" t="str">
        <x:v>Lateral</x:v>
      </x:c>
      <x:c r="D27" s="43" t="str">
        <x:v>Melamina Cartagena RH 15</x:v>
      </x:c>
      <x:c r="E27" s="48" t="n">
        <x:v>785</x:v>
      </x:c>
      <x:c r="F27" s="48" t="n">
        <x:v>580</x:v>
      </x:c>
      <x:c r="G27" s="50" t="n">
        <x:v>2</x:v>
      </x:c>
      <x:c r="H27" s="51" t="str">
        <x:v>2</x:v>
      </x:c>
      <x:c r="I27" s="51" t="str">
        <x:v>0.45</x:v>
      </x:c>
      <x:c r="J27" s="51" t="str">
        <x:v>0.45</x:v>
      </x:c>
      <x:c r="K27" s="51" t="str">
        <x:v>0.45</x:v>
      </x:c>
      <x:c r="L27" s="49" t="n">
        <x:f t="shared" si="0">E27-IF(J27="2",2,IF(J27="0.45",0.45,0))-IF(K27="2",2,IF(K27="0.45",0.45,0))</x:f>
        <x:v>784.0999999999999</x:v>
      </x:c>
      <x:c r="M27" s="49" t="n">
        <x:f t="shared" si="1">F27-IF(H27="2",2,IF(H27="0.45",0.45,0))-IF(I27="2",2,IF(I27="0.45",0.45,0))</x:f>
        <x:v>577.55</x:v>
      </x:c>
    </x:row>
    <x:row r="28" ht="30" customHeight="1">
      <x:c r="A28" s="43" t="str">
        <x:v>P024</x:v>
      </x:c>
      <x:c r="B28" s="43" t="str">
        <x:v>B5 Lavaplatos 70</x:v>
      </x:c>
      <x:c r="C28" s="43" t="str">
        <x:v>Piso</x:v>
      </x:c>
      <x:c r="D28" s="43" t="str">
        <x:v>Melamina Cartagena RH 15</x:v>
      </x:c>
      <x:c r="E28" s="48" t="n">
        <x:v>670</x:v>
      </x:c>
      <x:c r="F28" s="48" t="n">
        <x:v>580</x:v>
      </x:c>
      <x:c r="G28" s="50" t="n">
        <x:v>1</x:v>
      </x:c>
      <x:c r="H28" s="51" t="str">
        <x:v>2</x:v>
      </x:c>
      <x:c r="I28" s="51" t="str">
        <x:v>0.45</x:v>
      </x:c>
      <x:c r="J28" s="51" t="str">
        <x:v>0.45</x:v>
      </x:c>
      <x:c r="K28" s="51" t="str">
        <x:v>0.45</x:v>
      </x:c>
      <x:c r="L28" s="49" t="n">
        <x:f t="shared" si="0">E28-IF(J28="2",2,IF(J28="0.45",0.45,0))-IF(K28="2",2,IF(K28="0.45",0.45,0))</x:f>
        <x:v>669.0999999999999</x:v>
      </x:c>
      <x:c r="M28" s="49" t="n">
        <x:f t="shared" si="1">F28-IF(H28="2",2,IF(H28="0.45",0.45,0))-IF(I28="2",2,IF(I28="0.45",0.45,0))</x:f>
        <x:v>577.55</x:v>
      </x:c>
    </x:row>
    <x:row r="29" ht="30" customHeight="1">
      <x:c r="A29" s="43" t="str">
        <x:v>P025</x:v>
      </x:c>
      <x:c r="B29" s="43" t="str">
        <x:v>B5 Lavaplatos 70</x:v>
      </x:c>
      <x:c r="C29" s="43" t="str">
        <x:v>Travesaño de canto</x:v>
      </x:c>
      <x:c r="D29" s="43" t="str">
        <x:v>Melamina Cartagena RH 15</x:v>
      </x:c>
      <x:c r="E29" s="48" t="n">
        <x:v>670</x:v>
      </x:c>
      <x:c r="F29" s="48" t="n">
        <x:v>100</x:v>
      </x:c>
      <x:c r="G29" s="50" t="n">
        <x:v>2</x:v>
      </x:c>
      <x:c r="H29" s="51" t="str">
        <x:v>0.45</x:v>
      </x:c>
      <x:c r="I29" s="51" t="str">
        <x:v>0.45</x:v>
      </x:c>
      <x:c r="J29" s="51" t="str">
        <x:v>0.45</x:v>
      </x:c>
      <x:c r="K29" s="51" t="str">
        <x:v>0.45</x:v>
      </x:c>
      <x:c r="L29" s="49" t="n">
        <x:f t="shared" si="0">E29-IF(J29="2",2,IF(J29="0.45",0.45,0))-IF(K29="2",2,IF(K29="0.45",0.45,0))</x:f>
        <x:v>669.0999999999999</x:v>
      </x:c>
      <x:c r="M29" s="49" t="n">
        <x:f t="shared" si="1">F29-IF(H29="2",2,IF(H29="0.45",0.45,0))-IF(I29="2",2,IF(I29="0.45",0.45,0))</x:f>
        <x:v>99.1</x:v>
      </x:c>
    </x:row>
    <x:row r="30" ht="30" customHeight="1">
      <x:c r="A30" s="43" t="str">
        <x:v>P026</x:v>
      </x:c>
      <x:c r="B30" s="43" t="str">
        <x:v>B5 Lavaplatos 70</x:v>
      </x:c>
      <x:c r="C30" s="43" t="str">
        <x:v>Fondo clavado atrás</x:v>
      </x:c>
      <x:c r="D30" s="43" t="str">
        <x:v>Fondo melamina 6</x:v>
      </x:c>
      <x:c r="E30" s="48" t="n">
        <x:v>696</x:v>
      </x:c>
      <x:c r="F30" s="48" t="n">
        <x:v>781</x:v>
      </x:c>
      <x:c r="G30" s="50" t="n">
        <x:v>1</x:v>
      </x:c>
      <x:c r="H30" s="51" t="str">
        <x:v>—</x:v>
      </x:c>
      <x:c r="I30" s="51" t="str">
        <x:v>—</x:v>
      </x:c>
      <x:c r="J30" s="51" t="str">
        <x:v>—</x:v>
      </x:c>
      <x:c r="K30" s="51" t="str">
        <x:v>—</x:v>
      </x:c>
      <x:c r="L30" s="49" t="n">
        <x:f t="shared" si="0">E30-IF(J30="2",2,IF(J30="0.45",0.45,0))-IF(K30="2",2,IF(K30="0.45",0.45,0))</x:f>
        <x:v>696</x:v>
      </x:c>
      <x:c r="M30" s="49" t="n">
        <x:f t="shared" si="1">F30-IF(H30="2",2,IF(H30="0.45",0.45,0))-IF(I30="2",2,IF(I30="0.45",0.45,0))</x:f>
        <x:v>781</x:v>
      </x:c>
    </x:row>
    <x:row r="31" ht="30" customHeight="1">
      <x:c r="A31" s="43" t="str">
        <x:v>P027</x:v>
      </x:c>
      <x:c r="B31" s="43" t="str">
        <x:v>B5 Lavaplatos 70</x:v>
      </x:c>
      <x:c r="C31" s="43" t="str">
        <x:v>Puerta izquierda</x:v>
      </x:c>
      <x:c r="D31" s="43" t="str">
        <x:v>Melamina Cartagena RH 15</x:v>
      </x:c>
      <x:c r="E31" s="48" t="n">
        <x:v>732</x:v>
      </x:c>
      <x:c r="F31" s="48" t="n">
        <x:v>347</x:v>
      </x:c>
      <x:c r="G31" s="50" t="n">
        <x:v>1</x:v>
      </x:c>
      <x:c r="H31" s="51" t="str">
        <x:v>2</x:v>
      </x:c>
      <x:c r="I31" s="51" t="str">
        <x:v>2</x:v>
      </x:c>
      <x:c r="J31" s="51" t="str">
        <x:v>2</x:v>
      </x:c>
      <x:c r="K31" s="51" t="str">
        <x:v>2</x:v>
      </x:c>
      <x:c r="L31" s="49" t="n">
        <x:f t="shared" si="0">E31-IF(J31="2",2,IF(J31="0.45",0.45,0))-IF(K31="2",2,IF(K31="0.45",0.45,0))</x:f>
        <x:v>728</x:v>
      </x:c>
      <x:c r="M31" s="49" t="n">
        <x:f t="shared" si="1">F31-IF(H31="2",2,IF(H31="0.45",0.45,0))-IF(I31="2",2,IF(I31="0.45",0.45,0))</x:f>
        <x:v>343</x:v>
      </x:c>
    </x:row>
    <x:row r="32" ht="30" customHeight="1">
      <x:c r="A32" s="43" t="str">
        <x:v>P028</x:v>
      </x:c>
      <x:c r="B32" s="43" t="str">
        <x:v>B5 Lavaplatos 70</x:v>
      </x:c>
      <x:c r="C32" s="43" t="str">
        <x:v>Puerta derecha</x:v>
      </x:c>
      <x:c r="D32" s="43" t="str">
        <x:v>Melamina Cartagena RH 15</x:v>
      </x:c>
      <x:c r="E32" s="48" t="n">
        <x:v>732</x:v>
      </x:c>
      <x:c r="F32" s="48" t="n">
        <x:v>347</x:v>
      </x:c>
      <x:c r="G32" s="50" t="n">
        <x:v>1</x:v>
      </x:c>
      <x:c r="H32" s="51" t="str">
        <x:v>2</x:v>
      </x:c>
      <x:c r="I32" s="51" t="str">
        <x:v>2</x:v>
      </x:c>
      <x:c r="J32" s="51" t="str">
        <x:v>2</x:v>
      </x:c>
      <x:c r="K32" s="51" t="str">
        <x:v>2</x:v>
      </x:c>
      <x:c r="L32" s="49" t="n">
        <x:f t="shared" si="0">E32-IF(J32="2",2,IF(J32="0.45",0.45,0))-IF(K32="2",2,IF(K32="0.45",0.45,0))</x:f>
        <x:v>728</x:v>
      </x:c>
      <x:c r="M32" s="49" t="n">
        <x:f t="shared" si="1">F32-IF(H32="2",2,IF(H32="0.45",0.45,0))-IF(I32="2",2,IF(I32="0.45",0.45,0))</x:f>
        <x:v>343</x:v>
      </x:c>
    </x:row>
    <x:row r="33" ht="30" customHeight="1">
      <x:c r="A33" s="43" t="str">
        <x:v>P029</x:v>
      </x:c>
      <x:c r="B33" s="43" t="str">
        <x:v>B5 Lavaplatos 70</x:v>
      </x:c>
      <x:c r="C33" s="43" t="str">
        <x:v>Entrepaño desmontable; recortar sifón en obra</x:v>
      </x:c>
      <x:c r="D33" s="43" t="str">
        <x:v>Melamina Cartagena RH 15</x:v>
      </x:c>
      <x:c r="E33" s="48" t="n">
        <x:v>668</x:v>
      </x:c>
      <x:c r="F33" s="48" t="n">
        <x:v>520</x:v>
      </x:c>
      <x:c r="G33" s="50" t="n">
        <x:v>1</x:v>
      </x:c>
      <x:c r="H33" s="51" t="str">
        <x:v>2</x:v>
      </x:c>
      <x:c r="I33" s="51" t="str">
        <x:v>0.45</x:v>
      </x:c>
      <x:c r="J33" s="51" t="str">
        <x:v>0.45</x:v>
      </x:c>
      <x:c r="K33" s="51" t="str">
        <x:v>0.45</x:v>
      </x:c>
      <x:c r="L33" s="49" t="n">
        <x:f t="shared" si="0">E33-IF(J33="2",2,IF(J33="0.45",0.45,0))-IF(K33="2",2,IF(K33="0.45",0.45,0))</x:f>
        <x:v>667.0999999999999</x:v>
      </x:c>
      <x:c r="M33" s="49" t="n">
        <x:f t="shared" si="1">F33-IF(H33="2",2,IF(H33="0.45",0.45,0))-IF(I33="2",2,IF(I33="0.45",0.45,0))</x:f>
        <x:v>517.55</x:v>
      </x:c>
    </x:row>
    <x:row r="34" ht="30" customHeight="1">
      <x:c r="A34" s="43" t="str">
        <x:v>P030</x:v>
      </x:c>
      <x:c r="B34" s="43" t="str">
        <x:v>B4 Basurero y puerta 40</x:v>
      </x:c>
      <x:c r="C34" s="43" t="str">
        <x:v>Lateral</x:v>
      </x:c>
      <x:c r="D34" s="43" t="str">
        <x:v>Melamina Cartagena RH 15</x:v>
      </x:c>
      <x:c r="E34" s="48" t="n">
        <x:v>785</x:v>
      </x:c>
      <x:c r="F34" s="48" t="n">
        <x:v>580</x:v>
      </x:c>
      <x:c r="G34" s="50" t="n">
        <x:v>2</x:v>
      </x:c>
      <x:c r="H34" s="51" t="str">
        <x:v>2</x:v>
      </x:c>
      <x:c r="I34" s="51" t="str">
        <x:v>0.45</x:v>
      </x:c>
      <x:c r="J34" s="51" t="str">
        <x:v>0.45</x:v>
      </x:c>
      <x:c r="K34" s="51" t="str">
        <x:v>0.45</x:v>
      </x:c>
      <x:c r="L34" s="49" t="n">
        <x:f t="shared" si="0">E34-IF(J34="2",2,IF(J34="0.45",0.45,0))-IF(K34="2",2,IF(K34="0.45",0.45,0))</x:f>
        <x:v>784.0999999999999</x:v>
      </x:c>
      <x:c r="M34" s="49" t="n">
        <x:f t="shared" si="1">F34-IF(H34="2",2,IF(H34="0.45",0.45,0))-IF(I34="2",2,IF(I34="0.45",0.45,0))</x:f>
        <x:v>577.55</x:v>
      </x:c>
    </x:row>
    <x:row r="35" ht="30" customHeight="1">
      <x:c r="A35" s="43" t="str">
        <x:v>P031</x:v>
      </x:c>
      <x:c r="B35" s="43" t="str">
        <x:v>B4 Basurero y puerta 40</x:v>
      </x:c>
      <x:c r="C35" s="43" t="str">
        <x:v>Piso</x:v>
      </x:c>
      <x:c r="D35" s="43" t="str">
        <x:v>Melamina Cartagena RH 15</x:v>
      </x:c>
      <x:c r="E35" s="48" t="n">
        <x:v>370</x:v>
      </x:c>
      <x:c r="F35" s="48" t="n">
        <x:v>580</x:v>
      </x:c>
      <x:c r="G35" s="50" t="n">
        <x:v>1</x:v>
      </x:c>
      <x:c r="H35" s="51" t="str">
        <x:v>2</x:v>
      </x:c>
      <x:c r="I35" s="51" t="str">
        <x:v>0.45</x:v>
      </x:c>
      <x:c r="J35" s="51" t="str">
        <x:v>0.45</x:v>
      </x:c>
      <x:c r="K35" s="51" t="str">
        <x:v>0.45</x:v>
      </x:c>
      <x:c r="L35" s="49" t="n">
        <x:f t="shared" si="0">E35-IF(J35="2",2,IF(J35="0.45",0.45,0))-IF(K35="2",2,IF(K35="0.45",0.45,0))</x:f>
        <x:v>369.1</x:v>
      </x:c>
      <x:c r="M35" s="49" t="n">
        <x:f t="shared" si="1">F35-IF(H35="2",2,IF(H35="0.45",0.45,0))-IF(I35="2",2,IF(I35="0.45",0.45,0))</x:f>
        <x:v>577.55</x:v>
      </x:c>
    </x:row>
    <x:row r="36" ht="30" customHeight="1">
      <x:c r="A36" s="43" t="str">
        <x:v>P032</x:v>
      </x:c>
      <x:c r="B36" s="43" t="str">
        <x:v>B4 Basurero y puerta 40</x:v>
      </x:c>
      <x:c r="C36" s="43" t="str">
        <x:v>Travesaño horizontal</x:v>
      </x:c>
      <x:c r="D36" s="43" t="str">
        <x:v>Melamina Cartagena RH 15</x:v>
      </x:c>
      <x:c r="E36" s="48" t="n">
        <x:v>370</x:v>
      </x:c>
      <x:c r="F36" s="48" t="n">
        <x:v>100</x:v>
      </x:c>
      <x:c r="G36" s="50" t="n">
        <x:v>2</x:v>
      </x:c>
      <x:c r="H36" s="51" t="str">
        <x:v>0.45</x:v>
      </x:c>
      <x:c r="I36" s="51" t="str">
        <x:v>0.45</x:v>
      </x:c>
      <x:c r="J36" s="51" t="str">
        <x:v>0.45</x:v>
      </x:c>
      <x:c r="K36" s="51" t="str">
        <x:v>0.45</x:v>
      </x:c>
      <x:c r="L36" s="49" t="n">
        <x:f t="shared" si="0">E36-IF(J36="2",2,IF(J36="0.45",0.45,0))-IF(K36="2",2,IF(K36="0.45",0.45,0))</x:f>
        <x:v>369.1</x:v>
      </x:c>
      <x:c r="M36" s="49" t="n">
        <x:f t="shared" si="1">F36-IF(H36="2",2,IF(H36="0.45",0.45,0))-IF(I36="2",2,IF(I36="0.45",0.45,0))</x:f>
        <x:v>99.1</x:v>
      </x:c>
    </x:row>
    <x:row r="37" ht="30" customHeight="1">
      <x:c r="A37" s="43" t="str">
        <x:v>P033</x:v>
      </x:c>
      <x:c r="B37" s="43" t="str">
        <x:v>B4 Basurero y puerta 40</x:v>
      </x:c>
      <x:c r="C37" s="43" t="str">
        <x:v>Fondo clavado atrás</x:v>
      </x:c>
      <x:c r="D37" s="43" t="str">
        <x:v>Fondo melamina 6</x:v>
      </x:c>
      <x:c r="E37" s="48" t="n">
        <x:v>396</x:v>
      </x:c>
      <x:c r="F37" s="48" t="n">
        <x:v>781</x:v>
      </x:c>
      <x:c r="G37" s="50" t="n">
        <x:v>1</x:v>
      </x:c>
      <x:c r="H37" s="51" t="str">
        <x:v>—</x:v>
      </x:c>
      <x:c r="I37" s="51" t="str">
        <x:v>—</x:v>
      </x:c>
      <x:c r="J37" s="51" t="str">
        <x:v>—</x:v>
      </x:c>
      <x:c r="K37" s="51" t="str">
        <x:v>—</x:v>
      </x:c>
      <x:c r="L37" s="49" t="n">
        <x:f t="shared" ref="L37:L63" si="2">E37-IF(J37="2",2,IF(J37="0.45",0.45,0))-IF(K37="2",2,IF(K37="0.45",0.45,0))</x:f>
        <x:v>396</x:v>
      </x:c>
      <x:c r="M37" s="49" t="n">
        <x:f t="shared" ref="M37:M63" si="3">F37-IF(H37="2",2,IF(H37="0.45",0.45,0))-IF(I37="2",2,IF(I37="0.45",0.45,0))</x:f>
        <x:v>781</x:v>
      </x:c>
    </x:row>
    <x:row r="38" ht="30" customHeight="1">
      <x:c r="A38" s="43" t="str">
        <x:v>P034</x:v>
      </x:c>
      <x:c r="B38" s="43" t="str">
        <x:v>B4 Basurero y puerta 40</x:v>
      </x:c>
      <x:c r="C38" s="43" t="str">
        <x:v>Entrepaño FIJO separador superior/basurero</x:v>
      </x:c>
      <x:c r="D38" s="43" t="str">
        <x:v>Melamina Cartagena RH 15</x:v>
      </x:c>
      <x:c r="E38" s="48" t="n">
        <x:v>370</x:v>
      </x:c>
      <x:c r="F38" s="48" t="n">
        <x:v>550</x:v>
      </x:c>
      <x:c r="G38" s="50" t="n">
        <x:v>1</x:v>
      </x:c>
      <x:c r="H38" s="51" t="str">
        <x:v>2</x:v>
      </x:c>
      <x:c r="I38" s="51" t="str">
        <x:v>0.45</x:v>
      </x:c>
      <x:c r="J38" s="51" t="str">
        <x:v>0.45</x:v>
      </x:c>
      <x:c r="K38" s="51" t="str">
        <x:v>0.45</x:v>
      </x:c>
      <x:c r="L38" s="49" t="n">
        <x:f t="shared" si="2">E38-IF(J38="2",2,IF(J38="0.45",0.45,0))-IF(K38="2",2,IF(K38="0.45",0.45,0))</x:f>
        <x:v>369.1</x:v>
      </x:c>
      <x:c r="M38" s="49" t="n">
        <x:f t="shared" si="3">F38-IF(H38="2",2,IF(H38="0.45",0.45,0))-IF(I38="2",2,IF(I38="0.45",0.45,0))</x:f>
        <x:v>547.55</x:v>
      </x:c>
    </x:row>
    <x:row r="39" ht="30" customHeight="1">
      <x:c r="A39" s="43" t="str">
        <x:v>P035</x:v>
      </x:c>
      <x:c r="B39" s="43" t="str">
        <x:v>B4 Basurero y puerta 40</x:v>
      </x:c>
      <x:c r="C39" s="43" t="str">
        <x:v>Puerta superior</x:v>
      </x:c>
      <x:c r="D39" s="43" t="str">
        <x:v>Melamina Cartagena RH 15</x:v>
      </x:c>
      <x:c r="E39" s="48" t="n">
        <x:v>402</x:v>
      </x:c>
      <x:c r="F39" s="48" t="n">
        <x:v>397</x:v>
      </x:c>
      <x:c r="G39" s="50" t="n">
        <x:v>1</x:v>
      </x:c>
      <x:c r="H39" s="51" t="str">
        <x:v>2</x:v>
      </x:c>
      <x:c r="I39" s="51" t="str">
        <x:v>2</x:v>
      </x:c>
      <x:c r="J39" s="51" t="str">
        <x:v>2</x:v>
      </x:c>
      <x:c r="K39" s="51" t="str">
        <x:v>2</x:v>
      </x:c>
      <x:c r="L39" s="49" t="n">
        <x:f t="shared" si="2">E39-IF(J39="2",2,IF(J39="0.45",0.45,0))-IF(K39="2",2,IF(K39="0.45",0.45,0))</x:f>
        <x:v>398</x:v>
      </x:c>
      <x:c r="M39" s="49" t="n">
        <x:f t="shared" si="3">F39-IF(H39="2",2,IF(H39="0.45",0.45,0))-IF(I39="2",2,IF(I39="0.45",0.45,0))</x:f>
        <x:v>393</x:v>
      </x:c>
    </x:row>
    <x:row r="40" ht="30" customHeight="1">
      <x:c r="A40" s="43" t="str">
        <x:v>P036</x:v>
      </x:c>
      <x:c r="B40" s="43" t="str">
        <x:v>B4 Basurero y puerta 40</x:v>
      </x:c>
      <x:c r="C40" s="43" t="str">
        <x:v>Frente inferior extraíble basurero</x:v>
      </x:c>
      <x:c r="D40" s="43" t="str">
        <x:v>Melamina Cartagena RH 15</x:v>
      </x:c>
      <x:c r="E40" s="48" t="n">
        <x:v>302</x:v>
      </x:c>
      <x:c r="F40" s="48" t="n">
        <x:v>397</x:v>
      </x:c>
      <x:c r="G40" s="50" t="n">
        <x:v>1</x:v>
      </x:c>
      <x:c r="H40" s="51" t="str">
        <x:v>2</x:v>
      </x:c>
      <x:c r="I40" s="51" t="str">
        <x:v>2</x:v>
      </x:c>
      <x:c r="J40" s="51" t="str">
        <x:v>2</x:v>
      </x:c>
      <x:c r="K40" s="51" t="str">
        <x:v>2</x:v>
      </x:c>
      <x:c r="L40" s="49" t="n">
        <x:f t="shared" si="2">E40-IF(J40="2",2,IF(J40="0.45",0.45,0))-IF(K40="2",2,IF(K40="0.45",0.45,0))</x:f>
        <x:v>298</x:v>
      </x:c>
      <x:c r="M40" s="49" t="n">
        <x:f t="shared" si="3">F40-IF(H40="2",2,IF(H40="0.45",0.45,0))-IF(I40="2",2,IF(I40="0.45",0.45,0))</x:f>
        <x:v>393</x:v>
      </x:c>
    </x:row>
    <x:row r="41" ht="30" customHeight="1">
      <x:c r="A41" s="43" t="str">
        <x:v>P037</x:v>
      </x:c>
      <x:c r="B41" s="43" t="str">
        <x:v>B6 Terminación</x:v>
      </x:c>
      <x:c r="C41" s="43" t="str">
        <x:v>Costado de terminación</x:v>
      </x:c>
      <x:c r="D41" s="43" t="str">
        <x:v>Melamina Cartagena RH 15</x:v>
      </x:c>
      <x:c r="E41" s="48" t="n">
        <x:v>882</x:v>
      </x:c>
      <x:c r="F41" s="48" t="n">
        <x:v>595</x:v>
      </x:c>
      <x:c r="G41" s="50" t="n">
        <x:v>1</x:v>
      </x:c>
      <x:c r="H41" s="51" t="str">
        <x:v>2</x:v>
      </x:c>
      <x:c r="I41" s="51" t="str">
        <x:v>0.45</x:v>
      </x:c>
      <x:c r="J41" s="51" t="str">
        <x:v>0.45</x:v>
      </x:c>
      <x:c r="K41" s="51" t="str">
        <x:v>0.45</x:v>
      </x:c>
      <x:c r="L41" s="49" t="n">
        <x:f t="shared" si="2">E41-IF(J41="2",2,IF(J41="0.45",0.45,0))-IF(K41="2",2,IF(K41="0.45",0.45,0))</x:f>
        <x:v>881.0999999999999</x:v>
      </x:c>
      <x:c r="M41" s="49" t="n">
        <x:f t="shared" si="3">F41-IF(H41="2",2,IF(H41="0.45",0.45,0))-IF(I41="2",2,IF(I41="0.45",0.45,0))</x:f>
        <x:v>592.55</x:v>
      </x:c>
    </x:row>
    <x:row r="42" ht="30" customHeight="1">
      <x:c r="A42" s="43" t="str">
        <x:v>P038</x:v>
      </x:c>
      <x:c r="B42" s="43" t="str">
        <x:v>B6 Terminación</x:v>
      </x:c>
      <x:c r="C42" s="43" t="str">
        <x:v>Zócalo retranqueado (dos tramos)</x:v>
      </x:c>
      <x:c r="D42" s="43" t="str">
        <x:v>Melamina Cartagena RH 15</x:v>
      </x:c>
      <x:c r="E42" s="48" t="n">
        <x:v>1275</x:v>
      </x:c>
      <x:c r="F42" s="48" t="n">
        <x:v>97</x:v>
      </x:c>
      <x:c r="G42" s="50" t="n">
        <x:v>2</x:v>
      </x:c>
      <x:c r="H42" s="51" t="str">
        <x:v>0.45</x:v>
      </x:c>
      <x:c r="I42" s="51" t="str">
        <x:v>0.45</x:v>
      </x:c>
      <x:c r="J42" s="51" t="str">
        <x:v>0.45</x:v>
      </x:c>
      <x:c r="K42" s="51" t="str">
        <x:v>0.45</x:v>
      </x:c>
      <x:c r="L42" s="49" t="n">
        <x:f t="shared" si="2">E42-IF(J42="2",2,IF(J42="0.45",0.45,0))-IF(K42="2",2,IF(K42="0.45",0.45,0))</x:f>
        <x:v>1274.1</x:v>
      </x:c>
      <x:c r="M42" s="49" t="n">
        <x:f t="shared" si="3">F42-IF(H42="2",2,IF(H42="0.45",0.45,0))-IF(I42="2",2,IF(I42="0.45",0.45,0))</x:f>
        <x:v>96.1</x:v>
      </x:c>
    </x:row>
    <x:row r="43" ht="30" customHeight="1">
      <x:c r="A43" s="43" t="str">
        <x:v>P039</x:v>
      </x:c>
      <x:c r="B43" s="43" t="str">
        <x:v>S1 Alacena 16,5</x:v>
      </x:c>
      <x:c r="C43" s="43" t="str">
        <x:v>Lateral</x:v>
      </x:c>
      <x:c r="D43" s="43" t="str">
        <x:v>Melamina Cartagena RH 15</x:v>
      </x:c>
      <x:c r="E43" s="48" t="n">
        <x:v>700</x:v>
      </x:c>
      <x:c r="F43" s="48" t="n">
        <x:v>320</x:v>
      </x:c>
      <x:c r="G43" s="50" t="n">
        <x:v>2</x:v>
      </x:c>
      <x:c r="H43" s="51" t="str">
        <x:v>2</x:v>
      </x:c>
      <x:c r="I43" s="51" t="str">
        <x:v>0.45</x:v>
      </x:c>
      <x:c r="J43" s="51" t="str">
        <x:v>2</x:v>
      </x:c>
      <x:c r="K43" s="51" t="str">
        <x:v>0.45</x:v>
      </x:c>
      <x:c r="L43" s="49" t="n">
        <x:f t="shared" si="2">E43-IF(J43="2",2,IF(J43="0.45",0.45,0))-IF(K43="2",2,IF(K43="0.45",0.45,0))</x:f>
        <x:v>697.55</x:v>
      </x:c>
      <x:c r="M43" s="49" t="n">
        <x:f t="shared" si="3">F43-IF(H43="2",2,IF(H43="0.45",0.45,0))-IF(I43="2",2,IF(I43="0.45",0.45,0))</x:f>
        <x:v>317.55</x:v>
      </x:c>
    </x:row>
    <x:row r="44" ht="30" customHeight="1">
      <x:c r="A44" s="43" t="str">
        <x:v>P040</x:v>
      </x:c>
      <x:c r="B44" s="43" t="str">
        <x:v>S1 Alacena 16,5</x:v>
      </x:c>
      <x:c r="C44" s="43" t="str">
        <x:v>Techo</x:v>
      </x:c>
      <x:c r="D44" s="43" t="str">
        <x:v>Melamina Cartagena RH 15</x:v>
      </x:c>
      <x:c r="E44" s="48" t="n">
        <x:v>135</x:v>
      </x:c>
      <x:c r="F44" s="48" t="n">
        <x:v>320</x:v>
      </x:c>
      <x:c r="G44" s="50" t="n">
        <x:v>1</x:v>
      </x:c>
      <x:c r="H44" s="51" t="str">
        <x:v>2</x:v>
      </x:c>
      <x:c r="I44" s="51" t="str">
        <x:v>0.45</x:v>
      </x:c>
      <x:c r="J44" s="51" t="str">
        <x:v>0.45</x:v>
      </x:c>
      <x:c r="K44" s="51" t="str">
        <x:v>0.45</x:v>
      </x:c>
      <x:c r="L44" s="49" t="n">
        <x:f t="shared" si="2">E44-IF(J44="2",2,IF(J44="0.45",0.45,0))-IF(K44="2",2,IF(K44="0.45",0.45,0))</x:f>
        <x:v>134.10000000000002</x:v>
      </x:c>
      <x:c r="M44" s="49" t="n">
        <x:f t="shared" si="3">F44-IF(H44="2",2,IF(H44="0.45",0.45,0))-IF(I44="2",2,IF(I44="0.45",0.45,0))</x:f>
        <x:v>317.55</x:v>
      </x:c>
    </x:row>
    <x:row r="45" ht="30" customHeight="1">
      <x:c r="A45" s="43" t="str">
        <x:v>P041</x:v>
      </x:c>
      <x:c r="B45" s="43" t="str">
        <x:v>S1 Alacena 16,5</x:v>
      </x:c>
      <x:c r="C45" s="43" t="str">
        <x:v>Piso</x:v>
      </x:c>
      <x:c r="D45" s="43" t="str">
        <x:v>Melamina Cartagena RH 15</x:v>
      </x:c>
      <x:c r="E45" s="48" t="n">
        <x:v>135</x:v>
      </x:c>
      <x:c r="F45" s="48" t="n">
        <x:v>320</x:v>
      </x:c>
      <x:c r="G45" s="50" t="n">
        <x:v>1</x:v>
      </x:c>
      <x:c r="H45" s="51" t="str">
        <x:v>2</x:v>
      </x:c>
      <x:c r="I45" s="51" t="str">
        <x:v>0.45</x:v>
      </x:c>
      <x:c r="J45" s="51" t="str">
        <x:v>0.45</x:v>
      </x:c>
      <x:c r="K45" s="51" t="str">
        <x:v>0.45</x:v>
      </x:c>
      <x:c r="L45" s="49" t="n">
        <x:f t="shared" si="2">E45-IF(J45="2",2,IF(J45="0.45",0.45,0))-IF(K45="2",2,IF(K45="0.45",0.45,0))</x:f>
        <x:v>134.10000000000002</x:v>
      </x:c>
      <x:c r="M45" s="49" t="n">
        <x:f t="shared" si="3">F45-IF(H45="2",2,IF(H45="0.45",0.45,0))-IF(I45="2",2,IF(I45="0.45",0.45,0))</x:f>
        <x:v>317.55</x:v>
      </x:c>
    </x:row>
    <x:row r="46" ht="30" customHeight="1">
      <x:c r="A46" s="43" t="str">
        <x:v>P042</x:v>
      </x:c>
      <x:c r="B46" s="43" t="str">
        <x:v>S1 Alacena 16,5</x:v>
      </x:c>
      <x:c r="C46" s="43" t="str">
        <x:v>Fondo</x:v>
      </x:c>
      <x:c r="D46" s="43" t="str">
        <x:v>Fondo melamina 6</x:v>
      </x:c>
      <x:c r="E46" s="48" t="n">
        <x:v>161</x:v>
      </x:c>
      <x:c r="F46" s="48" t="n">
        <x:v>696</x:v>
      </x:c>
      <x:c r="G46" s="50" t="n">
        <x:v>1</x:v>
      </x:c>
      <x:c r="H46" s="51" t="str">
        <x:v>—</x:v>
      </x:c>
      <x:c r="I46" s="51" t="str">
        <x:v>—</x:v>
      </x:c>
      <x:c r="J46" s="51" t="str">
        <x:v>—</x:v>
      </x:c>
      <x:c r="K46" s="51" t="str">
        <x:v>—</x:v>
      </x:c>
      <x:c r="L46" s="49" t="n">
        <x:f t="shared" si="2">E46-IF(J46="2",2,IF(J46="0.45",0.45,0))-IF(K46="2",2,IF(K46="0.45",0.45,0))</x:f>
        <x:v>161</x:v>
      </x:c>
      <x:c r="M46" s="49" t="n">
        <x:f t="shared" si="3">F46-IF(H46="2",2,IF(H46="0.45",0.45,0))-IF(I46="2",2,IF(I46="0.45",0.45,0))</x:f>
        <x:v>696</x:v>
      </x:c>
    </x:row>
    <x:row r="47" ht="30" customHeight="1">
      <x:c r="A47" s="43" t="str">
        <x:v>P043</x:v>
      </x:c>
      <x:c r="B47" s="43" t="str">
        <x:v>S1 Alacena 16,5</x:v>
      </x:c>
      <x:c r="C47" s="43" t="str">
        <x:v>Entrepaño regulable</x:v>
      </x:c>
      <x:c r="D47" s="43" t="str">
        <x:v>Melamina Cartagena RH 15</x:v>
      </x:c>
      <x:c r="E47" s="48" t="n">
        <x:v>133</x:v>
      </x:c>
      <x:c r="F47" s="48" t="n">
        <x:v>300</x:v>
      </x:c>
      <x:c r="G47" s="50" t="n">
        <x:v>1</x:v>
      </x:c>
      <x:c r="H47" s="51" t="str">
        <x:v>2</x:v>
      </x:c>
      <x:c r="I47" s="51" t="str">
        <x:v>0.45</x:v>
      </x:c>
      <x:c r="J47" s="51" t="str">
        <x:v>0.45</x:v>
      </x:c>
      <x:c r="K47" s="51" t="str">
        <x:v>0.45</x:v>
      </x:c>
      <x:c r="L47" s="49" t="n">
        <x:f t="shared" si="2">E47-IF(J47="2",2,IF(J47="0.45",0.45,0))-IF(K47="2",2,IF(K47="0.45",0.45,0))</x:f>
        <x:v>132.10000000000002</x:v>
      </x:c>
      <x:c r="M47" s="49" t="n">
        <x:f t="shared" si="3">F47-IF(H47="2",2,IF(H47="0.45",0.45,0))-IF(I47="2",2,IF(I47="0.45",0.45,0))</x:f>
        <x:v>297.55</x:v>
      </x:c>
    </x:row>
    <x:row r="48" ht="30" customHeight="1">
      <x:c r="A48" s="43" t="str">
        <x:v>P044</x:v>
      </x:c>
      <x:c r="B48" s="43" t="str">
        <x:v>S1 Alacena 16,5</x:v>
      </x:c>
      <x:c r="C48" s="43" t="str">
        <x:v>Puerta</x:v>
      </x:c>
      <x:c r="D48" s="43" t="str">
        <x:v>Melamina Cartagena RH 15</x:v>
      </x:c>
      <x:c r="E48" s="48" t="n">
        <x:v>717</x:v>
      </x:c>
      <x:c r="F48" s="48" t="n">
        <x:v>162</x:v>
      </x:c>
      <x:c r="G48" s="50" t="n">
        <x:v>1</x:v>
      </x:c>
      <x:c r="H48" s="51" t="str">
        <x:v>2</x:v>
      </x:c>
      <x:c r="I48" s="51" t="str">
        <x:v>2</x:v>
      </x:c>
      <x:c r="J48" s="51" t="str">
        <x:v>2</x:v>
      </x:c>
      <x:c r="K48" s="51" t="str">
        <x:v>2</x:v>
      </x:c>
      <x:c r="L48" s="49" t="n">
        <x:f t="shared" si="2">E48-IF(J48="2",2,IF(J48="0.45",0.45,0))-IF(K48="2",2,IF(K48="0.45",0.45,0))</x:f>
        <x:v>713</x:v>
      </x:c>
      <x:c r="M48" s="49" t="n">
        <x:f t="shared" si="3">F48-IF(H48="2",2,IF(H48="0.45",0.45,0))-IF(I48="2",2,IF(I48="0.45",0.45,0))</x:f>
        <x:v>158</x:v>
      </x:c>
    </x:row>
    <x:row r="49" ht="30" customHeight="1">
      <x:c r="A49" s="43" t="str">
        <x:v>P045</x:v>
      </x:c>
      <x:c r="B49" s="43" t="str">
        <x:v>S2 Gabinete ducto 60</x:v>
      </x:c>
      <x:c r="C49" s="43" t="str">
        <x:v>Lateral</x:v>
      </x:c>
      <x:c r="D49" s="43" t="str">
        <x:v>Melamina Cartagena RH 15</x:v>
      </x:c>
      <x:c r="E49" s="48" t="n">
        <x:v>350</x:v>
      </x:c>
      <x:c r="F49" s="48" t="n">
        <x:v>320</x:v>
      </x:c>
      <x:c r="G49" s="50" t="n">
        <x:v>2</x:v>
      </x:c>
      <x:c r="H49" s="51" t="str">
        <x:v>2</x:v>
      </x:c>
      <x:c r="I49" s="51" t="str">
        <x:v>0.45</x:v>
      </x:c>
      <x:c r="J49" s="51" t="str">
        <x:v>2</x:v>
      </x:c>
      <x:c r="K49" s="51" t="str">
        <x:v>0.45</x:v>
      </x:c>
      <x:c r="L49" s="49" t="n">
        <x:f t="shared" si="2">E49-IF(J49="2",2,IF(J49="0.45",0.45,0))-IF(K49="2",2,IF(K49="0.45",0.45,0))</x:f>
        <x:v>347.55</x:v>
      </x:c>
      <x:c r="M49" s="49" t="n">
        <x:f t="shared" si="3">F49-IF(H49="2",2,IF(H49="0.45",0.45,0))-IF(I49="2",2,IF(I49="0.45",0.45,0))</x:f>
        <x:v>317.55</x:v>
      </x:c>
    </x:row>
    <x:row r="50" ht="30" customHeight="1">
      <x:c r="A50" s="43" t="str">
        <x:v>P046</x:v>
      </x:c>
      <x:c r="B50" s="43" t="str">
        <x:v>S2 Gabinete ducto 60</x:v>
      </x:c>
      <x:c r="C50" s="43" t="str">
        <x:v>Techo</x:v>
      </x:c>
      <x:c r="D50" s="43" t="str">
        <x:v>Melamina Cartagena RH 15</x:v>
      </x:c>
      <x:c r="E50" s="48" t="n">
        <x:v>570</x:v>
      </x:c>
      <x:c r="F50" s="48" t="n">
        <x:v>320</x:v>
      </x:c>
      <x:c r="G50" s="50" t="n">
        <x:v>1</x:v>
      </x:c>
      <x:c r="H50" s="51" t="str">
        <x:v>2</x:v>
      </x:c>
      <x:c r="I50" s="51" t="str">
        <x:v>0.45</x:v>
      </x:c>
      <x:c r="J50" s="51" t="str">
        <x:v>0.45</x:v>
      </x:c>
      <x:c r="K50" s="51" t="str">
        <x:v>0.45</x:v>
      </x:c>
      <x:c r="L50" s="49" t="n">
        <x:f t="shared" si="2">E50-IF(J50="2",2,IF(J50="0.45",0.45,0))-IF(K50="2",2,IF(K50="0.45",0.45,0))</x:f>
        <x:v>569.0999999999999</x:v>
      </x:c>
      <x:c r="M50" s="49" t="n">
        <x:f t="shared" si="3">F50-IF(H50="2",2,IF(H50="0.45",0.45,0))-IF(I50="2",2,IF(I50="0.45",0.45,0))</x:f>
        <x:v>317.55</x:v>
      </x:c>
    </x:row>
    <x:row r="51" ht="30" customHeight="1">
      <x:c r="A51" s="43" t="str">
        <x:v>P047</x:v>
      </x:c>
      <x:c r="B51" s="43" t="str">
        <x:v>S2 Gabinete ducto 60</x:v>
      </x:c>
      <x:c r="C51" s="43" t="str">
        <x:v>Piso elevado 40 mm para agarre inferior</x:v>
      </x:c>
      <x:c r="D51" s="43" t="str">
        <x:v>Melamina Cartagena RH 15</x:v>
      </x:c>
      <x:c r="E51" s="48" t="n">
        <x:v>570</x:v>
      </x:c>
      <x:c r="F51" s="48" t="n">
        <x:v>320</x:v>
      </x:c>
      <x:c r="G51" s="50" t="n">
        <x:v>1</x:v>
      </x:c>
      <x:c r="H51" s="51" t="str">
        <x:v>2</x:v>
      </x:c>
      <x:c r="I51" s="51" t="str">
        <x:v>0.45</x:v>
      </x:c>
      <x:c r="J51" s="51" t="str">
        <x:v>0.45</x:v>
      </x:c>
      <x:c r="K51" s="51" t="str">
        <x:v>0.45</x:v>
      </x:c>
      <x:c r="L51" s="49" t="n">
        <x:f t="shared" si="2">E51-IF(J51="2",2,IF(J51="0.45",0.45,0))-IF(K51="2",2,IF(K51="0.45",0.45,0))</x:f>
        <x:v>569.0999999999999</x:v>
      </x:c>
      <x:c r="M51" s="49" t="n">
        <x:f t="shared" si="3">F51-IF(H51="2",2,IF(H51="0.45",0.45,0))-IF(I51="2",2,IF(I51="0.45",0.45,0))</x:f>
        <x:v>317.55</x:v>
      </x:c>
    </x:row>
    <x:row r="52" ht="30" customHeight="1">
      <x:c r="A52" s="43" t="str">
        <x:v>P048</x:v>
      </x:c>
      <x:c r="B52" s="43" t="str">
        <x:v>S2 Gabinete ducto 60</x:v>
      </x:c>
      <x:c r="C52" s="43" t="str">
        <x:v>Fondo</x:v>
      </x:c>
      <x:c r="D52" s="43" t="str">
        <x:v>Fondo melamina 6</x:v>
      </x:c>
      <x:c r="E52" s="48" t="n">
        <x:v>596</x:v>
      </x:c>
      <x:c r="F52" s="48" t="n">
        <x:v>346</x:v>
      </x:c>
      <x:c r="G52" s="50" t="n">
        <x:v>1</x:v>
      </x:c>
      <x:c r="H52" s="51" t="str">
        <x:v>—</x:v>
      </x:c>
      <x:c r="I52" s="51" t="str">
        <x:v>—</x:v>
      </x:c>
      <x:c r="J52" s="51" t="str">
        <x:v>—</x:v>
      </x:c>
      <x:c r="K52" s="51" t="str">
        <x:v>—</x:v>
      </x:c>
      <x:c r="L52" s="49" t="n">
        <x:f t="shared" si="2">E52-IF(J52="2",2,IF(J52="0.45",0.45,0))-IF(K52="2",2,IF(K52="0.45",0.45,0))</x:f>
        <x:v>596</x:v>
      </x:c>
      <x:c r="M52" s="49" t="n">
        <x:f t="shared" si="3">F52-IF(H52="2",2,IF(H52="0.45",0.45,0))-IF(I52="2",2,IF(I52="0.45",0.45,0))</x:f>
        <x:v>346</x:v>
      </x:c>
    </x:row>
    <x:row r="53" ht="30" customHeight="1">
      <x:c r="A53" s="43" t="str">
        <x:v>P049</x:v>
      </x:c>
      <x:c r="B53" s="43" t="str">
        <x:v>S2 Gabinete ducto 60</x:v>
      </x:c>
      <x:c r="C53" s="43" t="str">
        <x:v>Puerta abatible superior</x:v>
      </x:c>
      <x:c r="D53" s="43" t="str">
        <x:v>Melamina Cartagena RH 15</x:v>
      </x:c>
      <x:c r="E53" s="48" t="n">
        <x:v>347</x:v>
      </x:c>
      <x:c r="F53" s="48" t="n">
        <x:v>597</x:v>
      </x:c>
      <x:c r="G53" s="50" t="n">
        <x:v>1</x:v>
      </x:c>
      <x:c r="H53" s="51" t="str">
        <x:v>2</x:v>
      </x:c>
      <x:c r="I53" s="51" t="str">
        <x:v>2</x:v>
      </x:c>
      <x:c r="J53" s="51" t="str">
        <x:v>2</x:v>
      </x:c>
      <x:c r="K53" s="51" t="str">
        <x:v>2</x:v>
      </x:c>
      <x:c r="L53" s="49" t="n">
        <x:f t="shared" si="2">E53-IF(J53="2",2,IF(J53="0.45",0.45,0))-IF(K53="2",2,IF(K53="0.45",0.45,0))</x:f>
        <x:v>343</x:v>
      </x:c>
      <x:c r="M53" s="49" t="n">
        <x:f t="shared" si="3">F53-IF(H53="2",2,IF(H53="0.45",0.45,0))-IF(I53="2",2,IF(I53="0.45",0.45,0))</x:f>
        <x:v>593</x:v>
      </x:c>
    </x:row>
    <x:row r="54" ht="30" customHeight="1">
      <x:c r="A54" s="43" t="str">
        <x:v>P050</x:v>
      </x:c>
      <x:c r="B54" s="43" t="str">
        <x:v>S3 Alacena 68,5</x:v>
      </x:c>
      <x:c r="C54" s="43" t="str">
        <x:v>Lateral</x:v>
      </x:c>
      <x:c r="D54" s="43" t="str">
        <x:v>Melamina Cartagena RH 15</x:v>
      </x:c>
      <x:c r="E54" s="48" t="n">
        <x:v>700</x:v>
      </x:c>
      <x:c r="F54" s="48" t="n">
        <x:v>320</x:v>
      </x:c>
      <x:c r="G54" s="50" t="n">
        <x:v>2</x:v>
      </x:c>
      <x:c r="H54" s="51" t="str">
        <x:v>2</x:v>
      </x:c>
      <x:c r="I54" s="51" t="str">
        <x:v>0.45</x:v>
      </x:c>
      <x:c r="J54" s="51" t="str">
        <x:v>2</x:v>
      </x:c>
      <x:c r="K54" s="51" t="str">
        <x:v>0.45</x:v>
      </x:c>
      <x:c r="L54" s="49" t="n">
        <x:f t="shared" si="2">E54-IF(J54="2",2,IF(J54="0.45",0.45,0))-IF(K54="2",2,IF(K54="0.45",0.45,0))</x:f>
        <x:v>697.55</x:v>
      </x:c>
      <x:c r="M54" s="49" t="n">
        <x:f t="shared" si="3">F54-IF(H54="2",2,IF(H54="0.45",0.45,0))-IF(I54="2",2,IF(I54="0.45",0.45,0))</x:f>
        <x:v>317.55</x:v>
      </x:c>
    </x:row>
    <x:row r="55" ht="30" customHeight="1">
      <x:c r="A55" s="43" t="str">
        <x:v>P051</x:v>
      </x:c>
      <x:c r="B55" s="43" t="str">
        <x:v>S3 Alacena 68,5</x:v>
      </x:c>
      <x:c r="C55" s="43" t="str">
        <x:v>Techo</x:v>
      </x:c>
      <x:c r="D55" s="43" t="str">
        <x:v>Melamina Cartagena RH 15</x:v>
      </x:c>
      <x:c r="E55" s="48" t="n">
        <x:v>655</x:v>
      </x:c>
      <x:c r="F55" s="48" t="n">
        <x:v>320</x:v>
      </x:c>
      <x:c r="G55" s="50" t="n">
        <x:v>1</x:v>
      </x:c>
      <x:c r="H55" s="51" t="str">
        <x:v>2</x:v>
      </x:c>
      <x:c r="I55" s="51" t="str">
        <x:v>0.45</x:v>
      </x:c>
      <x:c r="J55" s="51" t="str">
        <x:v>0.45</x:v>
      </x:c>
      <x:c r="K55" s="51" t="str">
        <x:v>0.45</x:v>
      </x:c>
      <x:c r="L55" s="49" t="n">
        <x:f t="shared" si="2">E55-IF(J55="2",2,IF(J55="0.45",0.45,0))-IF(K55="2",2,IF(K55="0.45",0.45,0))</x:f>
        <x:v>654.0999999999999</x:v>
      </x:c>
      <x:c r="M55" s="49" t="n">
        <x:f t="shared" si="3">F55-IF(H55="2",2,IF(H55="0.45",0.45,0))-IF(I55="2",2,IF(I55="0.45",0.45,0))</x:f>
        <x:v>317.55</x:v>
      </x:c>
    </x:row>
    <x:row r="56" ht="30" customHeight="1">
      <x:c r="A56" s="43" t="str">
        <x:v>P052</x:v>
      </x:c>
      <x:c r="B56" s="43" t="str">
        <x:v>S3 Alacena 68,5</x:v>
      </x:c>
      <x:c r="C56" s="43" t="str">
        <x:v>Piso</x:v>
      </x:c>
      <x:c r="D56" s="43" t="str">
        <x:v>Melamina Cartagena RH 15</x:v>
      </x:c>
      <x:c r="E56" s="48" t="n">
        <x:v>655</x:v>
      </x:c>
      <x:c r="F56" s="48" t="n">
        <x:v>320</x:v>
      </x:c>
      <x:c r="G56" s="50" t="n">
        <x:v>1</x:v>
      </x:c>
      <x:c r="H56" s="51" t="str">
        <x:v>2</x:v>
      </x:c>
      <x:c r="I56" s="51" t="str">
        <x:v>0.45</x:v>
      </x:c>
      <x:c r="J56" s="51" t="str">
        <x:v>0.45</x:v>
      </x:c>
      <x:c r="K56" s="51" t="str">
        <x:v>0.45</x:v>
      </x:c>
      <x:c r="L56" s="49" t="n">
        <x:f t="shared" si="2">E56-IF(J56="2",2,IF(J56="0.45",0.45,0))-IF(K56="2",2,IF(K56="0.45",0.45,0))</x:f>
        <x:v>654.0999999999999</x:v>
      </x:c>
      <x:c r="M56" s="49" t="n">
        <x:f t="shared" si="3">F56-IF(H56="2",2,IF(H56="0.45",0.45,0))-IF(I56="2",2,IF(I56="0.45",0.45,0))</x:f>
        <x:v>317.55</x:v>
      </x:c>
    </x:row>
    <x:row r="57" ht="30" customHeight="1">
      <x:c r="A57" s="43" t="str">
        <x:v>P053</x:v>
      </x:c>
      <x:c r="B57" s="43" t="str">
        <x:v>S3 Alacena 68,5</x:v>
      </x:c>
      <x:c r="C57" s="43" t="str">
        <x:v>Fondo</x:v>
      </x:c>
      <x:c r="D57" s="43" t="str">
        <x:v>Fondo melamina 6</x:v>
      </x:c>
      <x:c r="E57" s="48" t="n">
        <x:v>681</x:v>
      </x:c>
      <x:c r="F57" s="48" t="n">
        <x:v>696</x:v>
      </x:c>
      <x:c r="G57" s="50" t="n">
        <x:v>1</x:v>
      </x:c>
      <x:c r="H57" s="51" t="str">
        <x:v>—</x:v>
      </x:c>
      <x:c r="I57" s="51" t="str">
        <x:v>—</x:v>
      </x:c>
      <x:c r="J57" s="51" t="str">
        <x:v>—</x:v>
      </x:c>
      <x:c r="K57" s="51" t="str">
        <x:v>—</x:v>
      </x:c>
      <x:c r="L57" s="49" t="n">
        <x:f t="shared" si="2">E57-IF(J57="2",2,IF(J57="0.45",0.45,0))-IF(K57="2",2,IF(K57="0.45",0.45,0))</x:f>
        <x:v>681</x:v>
      </x:c>
      <x:c r="M57" s="49" t="n">
        <x:f t="shared" si="3">F57-IF(H57="2",2,IF(H57="0.45",0.45,0))-IF(I57="2",2,IF(I57="0.45",0.45,0))</x:f>
        <x:v>696</x:v>
      </x:c>
    </x:row>
    <x:row r="58" ht="30" customHeight="1">
      <x:c r="A58" s="43" t="str">
        <x:v>P054</x:v>
      </x:c>
      <x:c r="B58" s="43" t="str">
        <x:v>S3 Alacena 68,5</x:v>
      </x:c>
      <x:c r="C58" s="43" t="str">
        <x:v>División vertical</x:v>
      </x:c>
      <x:c r="D58" s="43" t="str">
        <x:v>Melamina Cartagena RH 15</x:v>
      </x:c>
      <x:c r="E58" s="48" t="n">
        <x:v>670</x:v>
      </x:c>
      <x:c r="F58" s="48" t="n">
        <x:v>320</x:v>
      </x:c>
      <x:c r="G58" s="50" t="n">
        <x:v>1</x:v>
      </x:c>
      <x:c r="H58" s="51" t="str">
        <x:v>2</x:v>
      </x:c>
      <x:c r="I58" s="51" t="str">
        <x:v>0.45</x:v>
      </x:c>
      <x:c r="J58" s="51" t="str">
        <x:v>0.45</x:v>
      </x:c>
      <x:c r="K58" s="51" t="str">
        <x:v>0.45</x:v>
      </x:c>
      <x:c r="L58" s="49" t="n">
        <x:f t="shared" si="2">E58-IF(J58="2",2,IF(J58="0.45",0.45,0))-IF(K58="2",2,IF(K58="0.45",0.45,0))</x:f>
        <x:v>669.0999999999999</x:v>
      </x:c>
      <x:c r="M58" s="49" t="n">
        <x:f t="shared" si="3">F58-IF(H58="2",2,IF(H58="0.45",0.45,0))-IF(I58="2",2,IF(I58="0.45",0.45,0))</x:f>
        <x:v>317.55</x:v>
      </x:c>
    </x:row>
    <x:row r="59" ht="30" customHeight="1">
      <x:c r="A59" s="43" t="str">
        <x:v>P055</x:v>
      </x:c>
      <x:c r="B59" s="43" t="str">
        <x:v>S3 Alacena 68,5</x:v>
      </x:c>
      <x:c r="C59" s="43" t="str">
        <x:v>Entrepaño regulable</x:v>
      </x:c>
      <x:c r="D59" s="43" t="str">
        <x:v>Melamina Cartagena RH 15</x:v>
      </x:c>
      <x:c r="E59" s="48" t="n">
        <x:v>318</x:v>
      </x:c>
      <x:c r="F59" s="48" t="n">
        <x:v>300</x:v>
      </x:c>
      <x:c r="G59" s="50" t="n">
        <x:v>2</x:v>
      </x:c>
      <x:c r="H59" s="51" t="str">
        <x:v>2</x:v>
      </x:c>
      <x:c r="I59" s="51" t="str">
        <x:v>0.45</x:v>
      </x:c>
      <x:c r="J59" s="51" t="str">
        <x:v>0.45</x:v>
      </x:c>
      <x:c r="K59" s="51" t="str">
        <x:v>0.45</x:v>
      </x:c>
      <x:c r="L59" s="49" t="n">
        <x:f t="shared" si="2">E59-IF(J59="2",2,IF(J59="0.45",0.45,0))-IF(K59="2",2,IF(K59="0.45",0.45,0))</x:f>
        <x:v>317.1</x:v>
      </x:c>
      <x:c r="M59" s="49" t="n">
        <x:f t="shared" si="3">F59-IF(H59="2",2,IF(H59="0.45",0.45,0))-IF(I59="2",2,IF(I59="0.45",0.45,0))</x:f>
        <x:v>297.55</x:v>
      </x:c>
    </x:row>
    <x:row r="60" ht="30" customHeight="1">
      <x:c r="A60" s="43" t="str">
        <x:v>P056</x:v>
      </x:c>
      <x:c r="B60" s="43" t="str">
        <x:v>S3 Alacena 68,5</x:v>
      </x:c>
      <x:c r="C60" s="43" t="str">
        <x:v>Puerta izquierda</x:v>
      </x:c>
      <x:c r="D60" s="43" t="str">
        <x:v>Melamina Cartagena RH 15</x:v>
      </x:c>
      <x:c r="E60" s="48" t="n">
        <x:v>717</x:v>
      </x:c>
      <x:c r="F60" s="48" t="n">
        <x:v>339.5</x:v>
      </x:c>
      <x:c r="G60" s="50" t="n">
        <x:v>1</x:v>
      </x:c>
      <x:c r="H60" s="51" t="str">
        <x:v>2</x:v>
      </x:c>
      <x:c r="I60" s="51" t="str">
        <x:v>2</x:v>
      </x:c>
      <x:c r="J60" s="51" t="str">
        <x:v>2</x:v>
      </x:c>
      <x:c r="K60" s="51" t="str">
        <x:v>2</x:v>
      </x:c>
      <x:c r="L60" s="49" t="n">
        <x:f t="shared" si="2">E60-IF(J60="2",2,IF(J60="0.45",0.45,0))-IF(K60="2",2,IF(K60="0.45",0.45,0))</x:f>
        <x:v>713</x:v>
      </x:c>
      <x:c r="M60" s="49" t="n">
        <x:f t="shared" si="3">F60-IF(H60="2",2,IF(H60="0.45",0.45,0))-IF(I60="2",2,IF(I60="0.45",0.45,0))</x:f>
        <x:v>335.5</x:v>
      </x:c>
    </x:row>
    <x:row r="61" ht="30" customHeight="1">
      <x:c r="A61" s="43" t="str">
        <x:v>P057</x:v>
      </x:c>
      <x:c r="B61" s="43" t="str">
        <x:v>S3 Alacena 68,5</x:v>
      </x:c>
      <x:c r="C61" s="43" t="str">
        <x:v>Puerta derecha</x:v>
      </x:c>
      <x:c r="D61" s="43" t="str">
        <x:v>Melamina Cartagena RH 15</x:v>
      </x:c>
      <x:c r="E61" s="48" t="n">
        <x:v>717</x:v>
      </x:c>
      <x:c r="F61" s="48" t="n">
        <x:v>339.5</x:v>
      </x:c>
      <x:c r="G61" s="50" t="n">
        <x:v>1</x:v>
      </x:c>
      <x:c r="H61" s="51" t="str">
        <x:v>2</x:v>
      </x:c>
      <x:c r="I61" s="51" t="str">
        <x:v>2</x:v>
      </x:c>
      <x:c r="J61" s="51" t="str">
        <x:v>2</x:v>
      </x:c>
      <x:c r="K61" s="51" t="str">
        <x:v>2</x:v>
      </x:c>
      <x:c r="L61" s="49" t="n">
        <x:f t="shared" si="2">E61-IF(J61="2",2,IF(J61="0.45",0.45,0))-IF(K61="2",2,IF(K61="0.45",0.45,0))</x:f>
        <x:v>713</x:v>
      </x:c>
      <x:c r="M61" s="49" t="n">
        <x:f t="shared" si="3">F61-IF(H61="2",2,IF(H61="0.45",0.45,0))-IF(I61="2",2,IF(I61="0.45",0.45,0))</x:f>
        <x:v>335.5</x:v>
      </x:c>
    </x:row>
    <x:row r="62" ht="30" customHeight="1">
      <x:c r="A62" s="43" t="str">
        <x:v>P058</x:v>
      </x:c>
      <x:c r="B62" s="43" t="str">
        <x:v>S4 Platero 71,5</x:v>
      </x:c>
      <x:c r="C62" s="43" t="str">
        <x:v>Lateral</x:v>
      </x:c>
      <x:c r="D62" s="43" t="str">
        <x:v>Melamina Cartagena RH 15</x:v>
      </x:c>
      <x:c r="E62" s="48" t="n">
        <x:v>700</x:v>
      </x:c>
      <x:c r="F62" s="48" t="n">
        <x:v>320</x:v>
      </x:c>
      <x:c r="G62" s="50" t="n">
        <x:v>2</x:v>
      </x:c>
      <x:c r="H62" s="51" t="str">
        <x:v>2</x:v>
      </x:c>
      <x:c r="I62" s="51" t="str">
        <x:v>0.45</x:v>
      </x:c>
      <x:c r="J62" s="51" t="str">
        <x:v>2</x:v>
      </x:c>
      <x:c r="K62" s="51" t="str">
        <x:v>0.45</x:v>
      </x:c>
      <x:c r="L62" s="49" t="n">
        <x:f t="shared" si="2">E62-IF(J62="2",2,IF(J62="0.45",0.45,0))-IF(K62="2",2,IF(K62="0.45",0.45,0))</x:f>
        <x:v>697.55</x:v>
      </x:c>
      <x:c r="M62" s="49" t="n">
        <x:f t="shared" si="3">F62-IF(H62="2",2,IF(H62="0.45",0.45,0))-IF(I62="2",2,IF(I62="0.45",0.45,0))</x:f>
        <x:v>317.55</x:v>
      </x:c>
    </x:row>
    <x:row r="63" ht="30" customHeight="1">
      <x:c r="A63" s="43" t="str">
        <x:v>P059</x:v>
      </x:c>
      <x:c r="B63" s="43" t="str">
        <x:v>S4 Platero 71,5</x:v>
      </x:c>
      <x:c r="C63" s="43" t="str">
        <x:v>Techo</x:v>
      </x:c>
      <x:c r="D63" s="43" t="str">
        <x:v>Melamina Cartagena RH 15</x:v>
      </x:c>
      <x:c r="E63" s="48" t="n">
        <x:v>685</x:v>
      </x:c>
      <x:c r="F63" s="48" t="n">
        <x:v>320</x:v>
      </x:c>
      <x:c r="G63" s="50" t="n">
        <x:v>1</x:v>
      </x:c>
      <x:c r="H63" s="51" t="str">
        <x:v>2</x:v>
      </x:c>
      <x:c r="I63" s="51" t="str">
        <x:v>0.45</x:v>
      </x:c>
      <x:c r="J63" s="51" t="str">
        <x:v>0.45</x:v>
      </x:c>
      <x:c r="K63" s="51" t="str">
        <x:v>0.45</x:v>
      </x:c>
      <x:c r="L63" s="49" t="n">
        <x:f t="shared" si="2">E63-IF(J63="2",2,IF(J63="0.45",0.45,0))-IF(K63="2",2,IF(K63="0.45",0.45,0))</x:f>
        <x:v>684.0999999999999</x:v>
      </x:c>
      <x:c r="M63" s="49" t="n">
        <x:f t="shared" si="3">F63-IF(H63="2",2,IF(H63="0.45",0.45,0))-IF(I63="2",2,IF(I63="0.45",0.45,0))</x:f>
        <x:v>317.55</x:v>
      </x:c>
    </x:row>
    <x:row r="64" ht="30" customHeight="1">
      <x:c r="A64" s="43" t="str">
        <x:v>P060</x:v>
      </x:c>
      <x:c r="B64" s="43" t="str">
        <x:v>S4 Platero 71,5</x:v>
      </x:c>
      <x:c r="C64" s="43" t="str">
        <x:v>Listón inferior delantero</x:v>
      </x:c>
      <x:c r="D64" s="43" t="str">
        <x:v>Melamina Cartagena RH 15</x:v>
      </x:c>
      <x:c r="E64" s="48" t="n">
        <x:v>685</x:v>
      </x:c>
      <x:c r="F64" s="48" t="n">
        <x:v>60</x:v>
      </x:c>
      <x:c r="G64" s="50" t="n">
        <x:v>1</x:v>
      </x:c>
      <x:c r="H64" s="51" t="str">
        <x:v>0.45</x:v>
      </x:c>
      <x:c r="I64" s="51" t="str">
        <x:v>0.45</x:v>
      </x:c>
      <x:c r="J64" s="51" t="str">
        <x:v>0.45</x:v>
      </x:c>
      <x:c r="K64" s="51" t="str">
        <x:v>0.45</x:v>
      </x:c>
      <x:c r="L64" s="49" t="n">
        <x:f>E64-IF(J64="2",2,IF(J64="0.45",0.45,0))-IF(K64="2",2,IF(K64="0.45",0.45,0))</x:f>
        <x:v>684.0999999999999</x:v>
      </x:c>
      <x:c r="M64" s="49" t="n">
        <x:f>F64-IF(H64="2",2,IF(H64="0.45",0.45,0))-IF(I64="2",2,IF(I64="0.45",0.45,0))</x:f>
        <x:v>59.099999999999994</x:v>
      </x:c>
    </x:row>
    <x:row r="65" ht="30" customHeight="1">
      <x:c r="A65" s="43" t="str">
        <x:v>P061</x:v>
      </x:c>
      <x:c r="B65" s="43" t="str">
        <x:v>S4 Platero 71,5</x:v>
      </x:c>
      <x:c r="C65" s="43" t="str">
        <x:v>Listón inferior trasero</x:v>
      </x:c>
      <x:c r="D65" s="43" t="str">
        <x:v>Melamina Cartagena RH 15</x:v>
      </x:c>
      <x:c r="E65" s="48" t="n">
        <x:v>685</x:v>
      </x:c>
      <x:c r="F65" s="48" t="n">
        <x:v>80</x:v>
      </x:c>
      <x:c r="G65" s="50" t="n">
        <x:v>1</x:v>
      </x:c>
      <x:c r="H65" s="51" t="str">
        <x:v>0.45</x:v>
      </x:c>
      <x:c r="I65" s="51" t="str">
        <x:v>0.45</x:v>
      </x:c>
      <x:c r="J65" s="51" t="str">
        <x:v>0.45</x:v>
      </x:c>
      <x:c r="K65" s="51" t="str">
        <x:v>0.45</x:v>
      </x:c>
      <x:c r="L65" s="49" t="n">
        <x:f>E65-IF(J65="2",2,IF(J65="0.45",0.45,0))-IF(K65="2",2,IF(K65="0.45",0.45,0))</x:f>
        <x:v>684.0999999999999</x:v>
      </x:c>
      <x:c r="M65" s="49" t="n">
        <x:f>F65-IF(H65="2",2,IF(H65="0.45",0.45,0))-IF(I65="2",2,IF(I65="0.45",0.45,0))</x:f>
        <x:v>79.1</x:v>
      </x:c>
    </x:row>
    <x:row r="66" ht="30" customHeight="1">
      <x:c r="A66" s="43" t="str">
        <x:v>P062</x:v>
      </x:c>
      <x:c r="B66" s="43" t="str">
        <x:v>S4 Platero 71,5</x:v>
      </x:c>
      <x:c r="C66" s="43" t="str">
        <x:v>Fondo</x:v>
      </x:c>
      <x:c r="D66" s="43" t="str">
        <x:v>Fondo melamina 6</x:v>
      </x:c>
      <x:c r="E66" s="48" t="n">
        <x:v>711</x:v>
      </x:c>
      <x:c r="F66" s="48" t="n">
        <x:v>696</x:v>
      </x:c>
      <x:c r="G66" s="50" t="n">
        <x:v>1</x:v>
      </x:c>
      <x:c r="H66" s="51" t="str">
        <x:v>—</x:v>
      </x:c>
      <x:c r="I66" s="51" t="str">
        <x:v>—</x:v>
      </x:c>
      <x:c r="J66" s="51" t="str">
        <x:v>—</x:v>
      </x:c>
      <x:c r="K66" s="51" t="str">
        <x:v>—</x:v>
      </x:c>
      <x:c r="L66" s="49" t="n">
        <x:f>E66-IF(J66="2",2,IF(J66="0.45",0.45,0))-IF(K66="2",2,IF(K66="0.45",0.45,0))</x:f>
        <x:v>711</x:v>
      </x:c>
      <x:c r="M66" s="49" t="n">
        <x:f>F66-IF(H66="2",2,IF(H66="0.45",0.45,0))-IF(I66="2",2,IF(I66="0.45",0.45,0))</x:f>
        <x:v>696</x:v>
      </x:c>
    </x:row>
    <x:row r="67" ht="30" customHeight="1">
      <x:c r="A67" s="43" t="str">
        <x:v>P063</x:v>
      </x:c>
      <x:c r="B67" s="43" t="str">
        <x:v>S4 Platero 71,5</x:v>
      </x:c>
      <x:c r="C67" s="43" t="str">
        <x:v>Puerta izquierda</x:v>
      </x:c>
      <x:c r="D67" s="43" t="str">
        <x:v>Melamina Cartagena RH 15</x:v>
      </x:c>
      <x:c r="E67" s="48" t="n">
        <x:v>717</x:v>
      </x:c>
      <x:c r="F67" s="48" t="n">
        <x:v>354.5</x:v>
      </x:c>
      <x:c r="G67" s="50" t="n">
        <x:v>1</x:v>
      </x:c>
      <x:c r="H67" s="51" t="str">
        <x:v>2</x:v>
      </x:c>
      <x:c r="I67" s="51" t="str">
        <x:v>2</x:v>
      </x:c>
      <x:c r="J67" s="51" t="str">
        <x:v>2</x:v>
      </x:c>
      <x:c r="K67" s="51" t="str">
        <x:v>2</x:v>
      </x:c>
      <x:c r="L67" s="49" t="n">
        <x:f>E67-IF(J67="2",2,IF(J67="0.45",0.45,0))-IF(K67="2",2,IF(K67="0.45",0.45,0))</x:f>
        <x:v>713</x:v>
      </x:c>
      <x:c r="M67" s="49" t="n">
        <x:f>F67-IF(H67="2",2,IF(H67="0.45",0.45,0))-IF(I67="2",2,IF(I67="0.45",0.45,0))</x:f>
        <x:v>350.5</x:v>
      </x:c>
    </x:row>
    <x:row r="68" ht="30" customHeight="1">
      <x:c r="A68" s="43" t="str">
        <x:v>P064</x:v>
      </x:c>
      <x:c r="B68" s="43" t="str">
        <x:v>S4 Platero 71,5</x:v>
      </x:c>
      <x:c r="C68" s="43" t="str">
        <x:v>Puerta derecha</x:v>
      </x:c>
      <x:c r="D68" s="43" t="str">
        <x:v>Melamina Cartagena RH 15</x:v>
      </x:c>
      <x:c r="E68" s="48" t="n">
        <x:v>717</x:v>
      </x:c>
      <x:c r="F68" s="48" t="n">
        <x:v>354.5</x:v>
      </x:c>
      <x:c r="G68" s="50" t="n">
        <x:v>1</x:v>
      </x:c>
      <x:c r="H68" s="51" t="str">
        <x:v>2</x:v>
      </x:c>
      <x:c r="I68" s="51" t="str">
        <x:v>2</x:v>
      </x:c>
      <x:c r="J68" s="51" t="str">
        <x:v>2</x:v>
      </x:c>
      <x:c r="K68" s="51" t="str">
        <x:v>2</x:v>
      </x:c>
      <x:c r="L68" s="49" t="n">
        <x:f>E68-IF(J68="2",2,IF(J68="0.45",0.45,0))-IF(K68="2",2,IF(K68="0.45",0.45,0))</x:f>
        <x:v>713</x:v>
      </x:c>
      <x:c r="M68" s="49" t="n">
        <x:f>F68-IF(H68="2",2,IF(H68="0.45",0.45,0))-IF(I68="2",2,IF(I68="0.45",0.45,0))</x:f>
        <x:v>350.5</x:v>
      </x:c>
    </x:row>
    <x:row r="69" ht="30" customHeight="1">
      <x:c r="A69" s="43" t="str">
        <x:v>P065</x:v>
      </x:c>
      <x:c r="B69" s="43" t="str">
        <x:v>S5 Alacena 40</x:v>
      </x:c>
      <x:c r="C69" s="43" t="str">
        <x:v>Lateral</x:v>
      </x:c>
      <x:c r="D69" s="43" t="str">
        <x:v>Melamina Cartagena RH 15</x:v>
      </x:c>
      <x:c r="E69" s="48" t="n">
        <x:v>700</x:v>
      </x:c>
      <x:c r="F69" s="48" t="n">
        <x:v>320</x:v>
      </x:c>
      <x:c r="G69" s="50" t="n">
        <x:v>2</x:v>
      </x:c>
      <x:c r="H69" s="51" t="str">
        <x:v>2</x:v>
      </x:c>
      <x:c r="I69" s="51" t="str">
        <x:v>0.45</x:v>
      </x:c>
      <x:c r="J69" s="51" t="str">
        <x:v>2</x:v>
      </x:c>
      <x:c r="K69" s="51" t="str">
        <x:v>0.45</x:v>
      </x:c>
      <x:c r="L69" s="49" t="n">
        <x:f>E69-IF(J69="2",2,IF(J69="0.45",0.45,0))-IF(K69="2",2,IF(K69="0.45",0.45,0))</x:f>
        <x:v>697.55</x:v>
      </x:c>
      <x:c r="M69" s="49" t="n">
        <x:f>F69-IF(H69="2",2,IF(H69="0.45",0.45,0))-IF(I69="2",2,IF(I69="0.45",0.45,0))</x:f>
        <x:v>317.55</x:v>
      </x:c>
    </x:row>
    <x:row r="70" ht="30" customHeight="1">
      <x:c r="A70" s="43" t="str">
        <x:v>P066</x:v>
      </x:c>
      <x:c r="B70" s="43" t="str">
        <x:v>S5 Alacena 40</x:v>
      </x:c>
      <x:c r="C70" s="43" t="str">
        <x:v>Techo</x:v>
      </x:c>
      <x:c r="D70" s="43" t="str">
        <x:v>Melamina Cartagena RH 15</x:v>
      </x:c>
      <x:c r="E70" s="48" t="n">
        <x:v>370</x:v>
      </x:c>
      <x:c r="F70" s="48" t="n">
        <x:v>320</x:v>
      </x:c>
      <x:c r="G70" s="50" t="n">
        <x:v>1</x:v>
      </x:c>
      <x:c r="H70" s="51" t="str">
        <x:v>2</x:v>
      </x:c>
      <x:c r="I70" s="51" t="str">
        <x:v>0.45</x:v>
      </x:c>
      <x:c r="J70" s="51" t="str">
        <x:v>0.45</x:v>
      </x:c>
      <x:c r="K70" s="51" t="str">
        <x:v>0.45</x:v>
      </x:c>
      <x:c r="L70" s="49" t="n">
        <x:f>E70-IF(J70="2",2,IF(J70="0.45",0.45,0))-IF(K70="2",2,IF(K70="0.45",0.45,0))</x:f>
        <x:v>369.1</x:v>
      </x:c>
      <x:c r="M70" s="49" t="n">
        <x:f>F70-IF(H70="2",2,IF(H70="0.45",0.45,0))-IF(I70="2",2,IF(I70="0.45",0.45,0))</x:f>
        <x:v>317.55</x:v>
      </x:c>
    </x:row>
    <x:row r="71" ht="30" customHeight="1">
      <x:c r="A71" s="43" t="str">
        <x:v>P067</x:v>
      </x:c>
      <x:c r="B71" s="43" t="str">
        <x:v>S5 Alacena 40</x:v>
      </x:c>
      <x:c r="C71" s="43" t="str">
        <x:v>Piso</x:v>
      </x:c>
      <x:c r="D71" s="43" t="str">
        <x:v>Melamina Cartagena RH 15</x:v>
      </x:c>
      <x:c r="E71" s="48" t="n">
        <x:v>370</x:v>
      </x:c>
      <x:c r="F71" s="48" t="n">
        <x:v>320</x:v>
      </x:c>
      <x:c r="G71" s="50" t="n">
        <x:v>1</x:v>
      </x:c>
      <x:c r="H71" s="51" t="str">
        <x:v>2</x:v>
      </x:c>
      <x:c r="I71" s="51" t="str">
        <x:v>0.45</x:v>
      </x:c>
      <x:c r="J71" s="51" t="str">
        <x:v>0.45</x:v>
      </x:c>
      <x:c r="K71" s="51" t="str">
        <x:v>0.45</x:v>
      </x:c>
      <x:c r="L71" s="49" t="n">
        <x:f>E71-IF(J71="2",2,IF(J71="0.45",0.45,0))-IF(K71="2",2,IF(K71="0.45",0.45,0))</x:f>
        <x:v>369.1</x:v>
      </x:c>
      <x:c r="M71" s="49" t="n">
        <x:f>F71-IF(H71="2",2,IF(H71="0.45",0.45,0))-IF(I71="2",2,IF(I71="0.45",0.45,0))</x:f>
        <x:v>317.55</x:v>
      </x:c>
    </x:row>
    <x:row r="72" ht="30" customHeight="1">
      <x:c r="A72" s="43" t="str">
        <x:v>P068</x:v>
      </x:c>
      <x:c r="B72" s="43" t="str">
        <x:v>S5 Alacena 40</x:v>
      </x:c>
      <x:c r="C72" s="43" t="str">
        <x:v>Fondo</x:v>
      </x:c>
      <x:c r="D72" s="43" t="str">
        <x:v>Fondo melamina 6</x:v>
      </x:c>
      <x:c r="E72" s="48" t="n">
        <x:v>396</x:v>
      </x:c>
      <x:c r="F72" s="48" t="n">
        <x:v>696</x:v>
      </x:c>
      <x:c r="G72" s="50" t="n">
        <x:v>1</x:v>
      </x:c>
      <x:c r="H72" s="51" t="str">
        <x:v>—</x:v>
      </x:c>
      <x:c r="I72" s="51" t="str">
        <x:v>—</x:v>
      </x:c>
      <x:c r="J72" s="51" t="str">
        <x:v>—</x:v>
      </x:c>
      <x:c r="K72" s="51" t="str">
        <x:v>—</x:v>
      </x:c>
      <x:c r="L72" s="49" t="n">
        <x:f>E72-IF(J72="2",2,IF(J72="0.45",0.45,0))-IF(K72="2",2,IF(K72="0.45",0.45,0))</x:f>
        <x:v>396</x:v>
      </x:c>
      <x:c r="M72" s="49" t="n">
        <x:f>F72-IF(H72="2",2,IF(H72="0.45",0.45,0))-IF(I72="2",2,IF(I72="0.45",0.45,0))</x:f>
        <x:v>696</x:v>
      </x:c>
    </x:row>
    <x:row r="73" ht="30" customHeight="1">
      <x:c r="A73" s="43" t="str">
        <x:v>P069</x:v>
      </x:c>
      <x:c r="B73" s="43" t="str">
        <x:v>S5 Alacena 40</x:v>
      </x:c>
      <x:c r="C73" s="43" t="str">
        <x:v>Entrepaño regulable</x:v>
      </x:c>
      <x:c r="D73" s="43" t="str">
        <x:v>Melamina Cartagena RH 15</x:v>
      </x:c>
      <x:c r="E73" s="48" t="n">
        <x:v>368</x:v>
      </x:c>
      <x:c r="F73" s="48" t="n">
        <x:v>300</x:v>
      </x:c>
      <x:c r="G73" s="50" t="n">
        <x:v>1</x:v>
      </x:c>
      <x:c r="H73" s="51" t="str">
        <x:v>2</x:v>
      </x:c>
      <x:c r="I73" s="51" t="str">
        <x:v>0.45</x:v>
      </x:c>
      <x:c r="J73" s="51" t="str">
        <x:v>0.45</x:v>
      </x:c>
      <x:c r="K73" s="51" t="str">
        <x:v>0.45</x:v>
      </x:c>
      <x:c r="L73" s="49" t="n">
        <x:f>E73-IF(J73="2",2,IF(J73="0.45",0.45,0))-IF(K73="2",2,IF(K73="0.45",0.45,0))</x:f>
        <x:v>367.1</x:v>
      </x:c>
      <x:c r="M73" s="49" t="n">
        <x:f>F73-IF(H73="2",2,IF(H73="0.45",0.45,0))-IF(I73="2",2,IF(I73="0.45",0.45,0))</x:f>
        <x:v>297.55</x:v>
      </x:c>
    </x:row>
    <x:row r="74" ht="30" customHeight="1">
      <x:c r="A74" s="43" t="str">
        <x:v>P070</x:v>
      </x:c>
      <x:c r="B74" s="43" t="str">
        <x:v>S5 Alacena 40</x:v>
      </x:c>
      <x:c r="C74" s="43" t="str">
        <x:v>Puerta</x:v>
      </x:c>
      <x:c r="D74" s="43" t="str">
        <x:v>Melamina Cartagena RH 15</x:v>
      </x:c>
      <x:c r="E74" s="48" t="n">
        <x:v>717</x:v>
      </x:c>
      <x:c r="F74" s="48" t="n">
        <x:v>397</x:v>
      </x:c>
      <x:c r="G74" s="50" t="n">
        <x:v>1</x:v>
      </x:c>
      <x:c r="H74" s="51" t="str">
        <x:v>2</x:v>
      </x:c>
      <x:c r="I74" s="51" t="str">
        <x:v>2</x:v>
      </x:c>
      <x:c r="J74" s="51" t="str">
        <x:v>2</x:v>
      </x:c>
      <x:c r="K74" s="51" t="str">
        <x:v>2</x:v>
      </x:c>
      <x:c r="L74" s="49" t="n">
        <x:f>E74-IF(J74="2",2,IF(J74="0.45",0.45,0))-IF(K74="2",2,IF(K74="0.45",0.45,0))</x:f>
        <x:v>713</x:v>
      </x:c>
      <x:c r="M74" s="49" t="n">
        <x:f>F74-IF(H74="2",2,IF(H74="0.45",0.45,0))-IF(I74="2",2,IF(I74="0.45",0.45,0))</x:f>
        <x:v>393</x:v>
      </x:c>
    </x:row>
    <x:row r="75" ht="48" customHeight="1">
      <x:c r="A75" s="43" t="str">
        <x:v>P071</x:v>
      </x:c>
      <x:c r="B75" s="43" t="str">
        <x:v>S2 Gabinete ducto 60</x:v>
      </x:c>
      <x:c r="C75" s="43" t="str">
        <x:v>Faja retranqueada de agarre sobre campana</x:v>
      </x:c>
      <x:c r="D75" s="43" t="str">
        <x:v>Melamina Cartagena RH 15</x:v>
      </x:c>
      <x:c r="E75" s="48" t="n">
        <x:v>570</x:v>
      </x:c>
      <x:c r="F75" s="48" t="n">
        <x:v>60</x:v>
      </x:c>
      <x:c r="G75" s="50" t="n">
        <x:v>1</x:v>
      </x:c>
      <x:c r="H75" s="51" t="str">
        <x:v>2</x:v>
      </x:c>
      <x:c r="I75" s="51" t="str">
        <x:v>0.45</x:v>
      </x:c>
      <x:c r="J75" s="51" t="str">
        <x:v>0.45</x:v>
      </x:c>
      <x:c r="K75" s="51" t="str">
        <x:v>0.45</x:v>
      </x:c>
      <x:c r="L75" s="49" t="n">
        <x:f>E75-IF(J75="2",2,IF(J75="0.45",0.45,0))-IF(K75="2",2,IF(K75="0.45",0.45,0))</x:f>
        <x:v>569.0999999999999</x:v>
      </x:c>
      <x:c r="M75" s="49" t="n">
        <x:f>F75-IF(H75="2",2,IF(H75="0.45",0.45,0))-IF(I75="2",2,IF(I75="0.45",0.45,0))</x:f>
        <x:v>57.55</x:v>
      </x:c>
    </x:row>
    <x:row r="76" ht="58" customHeight="1">
      <x:c r="A76" s="43" t="str">
        <x:v>P072</x:v>
      </x:c>
      <x:c r="B76" s="43" t="str">
        <x:v>B4 Basurero 40</x:v>
      </x:c>
      <x:c r="C76" s="99" t="str">
        <x:v>PROVISIONAL plataforma basurero; confirmar ancho por riel</x:v>
      </x:c>
      <x:c r="D76" s="43" t="str">
        <x:v>Melamina Cartagena RH 15</x:v>
      </x:c>
      <x:c r="E76" s="48" t="n">
        <x:v>343</x:v>
      </x:c>
      <x:c r="F76" s="48" t="n">
        <x:v>550</x:v>
      </x:c>
      <x:c r="G76" s="50" t="n">
        <x:v>1</x:v>
      </x:c>
      <x:c r="H76" s="51" t="str">
        <x:v>0.45</x:v>
      </x:c>
      <x:c r="I76" s="51" t="str">
        <x:v>0.45</x:v>
      </x:c>
      <x:c r="J76" s="51" t="str">
        <x:v>0.45</x:v>
      </x:c>
      <x:c r="K76" s="51" t="str">
        <x:v>0.45</x:v>
      </x:c>
      <x:c r="L76" s="49" t="n">
        <x:f>E76-IF(J76="2",2,IF(J76="0.45",0.45,0))-IF(K76="2",2,IF(K76="0.45",0.45,0))</x:f>
        <x:v>342.1</x:v>
      </x:c>
      <x:c r="M76" s="49" t="n">
        <x:f>F76-IF(H76="2",2,IF(H76="0.45",0.45,0))-IF(I76="2",2,IF(I76="0.45",0.45,0))</x:f>
        <x:v>549.0999999999999</x:v>
      </x:c>
    </x:row>
    <x:row r="77" ht="58" customHeight="1">
      <x:c r="A77" s="43" t="str">
        <x:v>P073</x:v>
      </x:c>
      <x:c r="B77" s="43" t="str">
        <x:v>B4 Basurero 40</x:v>
      </x:c>
      <x:c r="C77" s="99" t="str">
        <x:v>PROVISIONAL larguero bajo plataforma basurero</x:v>
      </x:c>
      <x:c r="D77" s="43" t="str">
        <x:v>Melamina Cartagena RH 15</x:v>
      </x:c>
      <x:c r="E77" s="48" t="n">
        <x:v>550</x:v>
      </x:c>
      <x:c r="F77" s="48" t="n">
        <x:v>60</x:v>
      </x:c>
      <x:c r="G77" s="50" t="n">
        <x:v>2</x:v>
      </x:c>
      <x:c r="H77" s="51" t="str">
        <x:v>0.45</x:v>
      </x:c>
      <x:c r="I77" s="51" t="str">
        <x:v>0.45</x:v>
      </x:c>
      <x:c r="J77" s="51" t="str">
        <x:v>0.45</x:v>
      </x:c>
      <x:c r="K77" s="51" t="str">
        <x:v>0.45</x:v>
      </x:c>
      <x:c r="L77" s="49" t="n">
        <x:f>E77-IF(J77="2",2,IF(J77="0.45",0.45,0))-IF(K77="2",2,IF(K77="0.45",0.45,0))</x:f>
        <x:v>549.0999999999999</x:v>
      </x:c>
      <x:c r="M77" s="49" t="n">
        <x:f>F77-IF(H77="2",2,IF(H77="0.45",0.45,0))-IF(I77="2",2,IF(I77="0.45",0.45,0))</x:f>
        <x:v>59.099999999999994</x:v>
      </x:c>
    </x:row>
    <x:row r="78" ht="58" customHeight="1">
      <x:c r="A78" s="43" t="str">
        <x:v>P074</x:v>
      </x:c>
      <x:c r="B78" s="43" t="str">
        <x:v>B4 Basurero 40</x:v>
      </x:c>
      <x:c r="C78" s="99" t="str">
        <x:v>PROVISIONAL travesaño bajo plataforma basurero</x:v>
      </x:c>
      <x:c r="D78" s="43" t="str">
        <x:v>Melamina Cartagena RH 15</x:v>
      </x:c>
      <x:c r="E78" s="48" t="n">
        <x:v>313</x:v>
      </x:c>
      <x:c r="F78" s="48" t="n">
        <x:v>60</x:v>
      </x:c>
      <x:c r="G78" s="50" t="n">
        <x:v>2</x:v>
      </x:c>
      <x:c r="H78" s="51" t="str">
        <x:v>0.45</x:v>
      </x:c>
      <x:c r="I78" s="51" t="str">
        <x:v>0.45</x:v>
      </x:c>
      <x:c r="J78" s="51" t="str">
        <x:v>0.45</x:v>
      </x:c>
      <x:c r="K78" s="51" t="str">
        <x:v>0.45</x:v>
      </x:c>
      <x:c r="L78" s="49" t="n">
        <x:f>E78-IF(J78="2",2,IF(J78="0.45",0.45,0))-IF(K78="2",2,IF(K78="0.45",0.45,0))</x:f>
        <x:v>312.1</x:v>
      </x:c>
      <x:c r="M78" s="49" t="n">
        <x:f>F78-IF(H78="2",2,IF(H78="0.45",0.45,0))-IF(I78="2",2,IF(I78="0.45",0.45,0))</x:f>
        <x:v>59.099999999999994</x:v>
      </x:c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7"/>
      <x:c r="M79" s="7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7"/>
      <x:c r="M80" s="7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7"/>
      <x:c r="M81" s="7"/>
    </x:row>
    <x:row r="82">
      <x:c r="C82"/>
      <x:c r="G82"/>
    </x:row>
  </x:sheetData>
  <x:mergeCells>
    <x:mergeCell ref="A1:M1"/>
    <x:mergeCell ref="A2:M2"/>
    <x:mergeCell ref="A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8671875" defaultRowHeight="14.399999618530273"/>
  <x:cols>
    <x:col min="1" max="1" width="65" hidden="0" customWidth="1"/>
    <x:col min="2" max="2" width="10" hidden="0" customWidth="1"/>
    <x:col min="3" max="3" width="120" hidden="0" customWidth="1"/>
  </x:cols>
  <x:sheetData>
    <x:row r="1" ht="42" customHeight="1">
      <x:c r="A1" s="59" t="str">
        <x:v>Herraje</x:v>
      </x:c>
      <x:c r="B1" s="59" t="str">
        <x:v>Cant.</x:v>
      </x:c>
      <x:c r="C1" s="59" t="str">
        <x:v>Uso</x:v>
      </x:c>
    </x:row>
    <x:row r="2" ht="47" customHeight="1">
      <x:c r="A2" s="41" t="str">
        <x:v>Bisagra parche HBM897-01 · unidad física</x:v>
      </x:c>
      <x:c r="B2" s="41" t="n">
        <x:v>24</x:v>
      </x:c>
      <x:c r="C2" s="41" t="str">
        <x:v>24 unidades: 22 en puertas laterales y 2 orientadas en el techo para la abatible S2. Comprobar compatibilidad HBM897-01 con brazo, peso y ángulo. No comprar un segundo par para S2.</x:v>
      </x:c>
    </x:row>
    <x:row r="3" ht="47" customHeight="1">
      <x:c r="A3" s="41" t="str">
        <x:v>Riel HRE550-55N Bonuit negro 550 mm · par</x:v>
      </x:c>
      <x:c r="B3" s="41" t="n">
        <x:v>1</x:v>
      </x:c>
      <x:c r="C3" s="41" t="str">
        <x:v>B3 cubiertero: vano 670 − 27 = exterior 643; interior 613 × 520. Incluye 12 tornillos 4 × 12. B4 utiliza otro par independiente HRE126-55 y plataforma sin paredes sobre ella.</x:v>
      </x:c>
    </x:row>
    <x:row r="4" ht="47" customHeight="1">
      <x:c r="A4" s="41" t="str">
        <x:v>Perfil gola superior × 3 m</x:v>
      </x:c>
      <x:c r="B4" s="41" t="n">
        <x:v>1</x:v>
      </x:c>
      <x:c r="C4" s="41" t="str">
        <x:v>1.950 mm útiles: B1 150 + B3/B5/B4 1800.</x:v>
      </x:c>
    </x:row>
    <x:row r="5" ht="47" customHeight="1">
      <x:c r="A5" s="41" t="str">
        <x:v>Perfil gola media × 3 m</x:v>
      </x:c>
      <x:c r="B5" s="41" t="n">
        <x:v>1</x:v>
      </x:c>
      <x:c r="C5" s="41" t="str">
        <x:v>1.100 mm útiles: B3 700 + B4 400.</x:v>
      </x:c>
    </x:row>
    <x:row r="6" ht="47" customHeight="1">
      <x:c r="A6" s="41" t="str">
        <x:v>Condimentero HSO317-15R</x:v>
      </x:c>
      <x:c r="B6" s="41" t="n">
        <x:v>1</x:v>
      </x:c>
      <x:c r="C6" s="41" t="str">
        <x:v>Herraje 100 × 446 × 470 para módulo 150. Incluye rieles y enganches de frente.</x:v>
      </x:c>
    </x:row>
    <x:row r="7" ht="47" customHeight="1">
      <x:c r="A7" s="41" t="str">
        <x:v>Basurero HSO688-00, 12 litros</x:v>
      </x:c>
      <x:c r="B7" s="41" t="n">
        <x:v>1</x:v>
      </x:c>
      <x:c r="C7" s="41" t="str">
        <x:v>Bandeja 330 × 485, altura 215. Incluye dos recipientes de 6 L; NO rieles ni soporte extraíble.</x:v>
      </x:c>
    </x:row>
    <x:row r="8" ht="47" customHeight="1">
      <x:c r="A8" s="41" t="str">
        <x:v>Cubiertero HSC910-40</x:v>
      </x:c>
      <x:c r="B8" s="41" t="n">
        <x:v>1</x:v>
      </x:c>
      <x:c r="C8" s="41" t="str">
        <x:v>360 × 480 × 50; interior B3 613 × 520.</x:v>
      </x:c>
    </x:row>
    <x:row r="9" ht="47" customHeight="1">
      <x:c r="A9" s="41" t="str">
        <x:v>Platero HSO566-03G</x:v>
      </x:c>
      <x:c r="B9" s="41" t="n">
        <x:v>1</x:v>
      </x:c>
      <x:c r="C9" s="41" t="str">
        <x:v>680 × 245 en luz 685; 7 kg máximo. Pines Ø10 marcados con herraje en obra.</x:v>
      </x:c>
    </x:row>
    <x:row r="10" ht="47" customHeight="1">
      <x:c r="A10" s="41" t="str">
        <x:v>Pata niveladora 100 mm</x:v>
      </x:c>
      <x:c r="B10" s="41" t="n">
        <x:v>24</x:v>
      </x:c>
      <x:c r="C10" s="41" t="str">
        <x:v>Cinco módulos bajos: 20 apoyos básicos + 4 refuerzos por distribuir según cargas.</x:v>
      </x:c>
    </x:row>
    <x:row r="11" ht="47" customHeight="1">
      <x:c r="A11" s="41" t="str">
        <x:v>Colgador regulable superior · par</x:v>
      </x:c>
      <x:c r="B11" s="41" t="n">
        <x:v>5</x:v>
      </x:c>
      <x:c r="C11" s="41" t="str">
        <x:v>Uno por S1–S5; verificar cabida en S1, riel mural y anclajes al muro real.</x:v>
      </x:c>
    </x:row>
    <x:row r="12" ht="47" customHeight="1">
      <x:c r="A12" s="41" t="str">
        <x:v>Soporte de entrepaño</x:v>
      </x:c>
      <x:c r="B12" s="41" t="n">
        <x:v>24</x:v>
      </x:c>
      <x:c r="C12" s="41" t="str">
        <x:v>S1, dos medios de S3, S5, B3 y B5: 6 entrepaños × 4.</x:v>
      </x:c>
    </x:row>
    <x:row r="13" ht="47" customHeight="1">
      <x:c r="A13" s="41" t="str">
        <x:v>Tornillo armado 4 × 50 mm</x:v>
      </x:c>
      <x:c r="B13" s="41" t="n">
        <x:v>150</x:v>
      </x:c>
      <x:c r="C13" s="41" t="str">
        <x:v>Cantidad preliminar; proveedor ajusta según uniones.</x:v>
      </x:c>
    </x:row>
    <x:row r="14" ht="47" customHeight="1">
      <x:c r="A14" s="41" t="str">
        <x:v>Tornillo herrajes 4 × 16 mm</x:v>
      </x:c>
      <x:c r="B14" s="41" t="n">
        <x:v>150</x:v>
      </x:c>
      <x:c r="C14" s="41" t="str">
        <x:v>No duplicar tornillos incluidos: 12 en B3 y 12 en riel B4. Tornillería de unión del bastidor y frente por carpintero.</x:v>
      </x:c>
    </x:row>
    <x:row r="15" ht="85" customHeight="1">
      <x:c r="A15" s="41" t="str">
        <x:v>Riel HRE126-55 y bastidor RH provisional B4</x:v>
      </x:c>
      <x:c r="B15" s="41" t="n">
        <x:v>1</x:v>
      </x:c>
      <x:c r="C15" s="41" t="str">
        <x:v>550 mm, extensión total 38 kg, cierre normal. Incluye 12 tornillos. Plataforma 343 × 550 sobre largueros 550 × 60 y travesaños 313 × 60. Confirmar descuento del riel (27 mm solo supuesto), altura, plantilla de bandeja y uniones antes de cortar.</x:v>
      </x:c>
    </x:row>
    <x:row r="16" ht="47" customHeight="1">
      <x:c r="A16" s="41" t="str">
        <x:v>Riel mural y fijaciones superiores</x:v>
      </x:c>
      <x:c r="B16" s="41" t="n">
        <x:v>1</x:v>
      </x:c>
      <x:c r="C16" s="41" t="str">
        <x:v>PENDIENTE: sistema compatible con colgadores y sustrato. Sin listones a 45° definidos.</x:v>
      </x:c>
    </x:row>
    <x:row r="17" ht="47" customHeight="1">
      <x:c r="A17" s="56" t="str">
        <x:v>Soporte mecánico de lavaplatos</x:v>
      </x:c>
      <x:c r="B17" s="56" t="n">
        <x:v>1</x:v>
      </x:c>
      <x:c r="C17" s="56" t="str">
        <x:v>PENDIENTE: compatibilidad Socoda, placa 15 mm y cargas de uso.</x:v>
      </x:c>
    </x:row>
    <x:row r="18" ht="65" customHeight="1">
      <x:c r="A18" s="56" t="str">
        <x:v>Brazo neumático HEC060-03 · gris · 60 N</x:v>
      </x:c>
      <x:c r="B18" s="56" t="n">
        <x:v>2</x:v>
      </x:c>
      <x:c r="C18" s="56" t="str">
        <x:v>Dos brazos para módulo 600; puerta 347 × 597. Apertura 90°, requiere bisagras superiores. Un brazo incluye 2 platinas y 5 tornillos. Peso de puerta aprox. 2,07 kg aportado por usuario: validar fuerza y montaje con proveedor.</x:v>
      </x:c>
    </x:row>
    <x:row r="19" ht="80" customHeight="1">
      <x:c r="A19" s="56" t="str">
        <x:v>Fijación metálica gola con tornillo</x:v>
      </x:c>
      <x:c r="B19" s="56" t="n">
        <x:v>10</x:v>
      </x:c>
      <x:c r="C19" s="56" t="str">
        <x:v>Previsión: 8 extremos de cuatro tramos + 2 apoyos intermedios en tramo superior de 1800. 2.998 COP/unidad. Confirmar referencia compatible, mecanizados y separación con proveedor del perfil. No son tapas de remate.</x:v>
      </x:c>
    </x:row>
    <x:row r="20" ht="72" customHeight="1">
      <x:c r="A20" s="21"/>
      <x:c r="B20" s="21"/>
      <x:c r="C20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8671875" defaultRowHeight="14.399999618530273"/>
  <x:cols>
    <x:col min="1" max="1" width="22" hidden="0" customWidth="1"/>
    <x:col min="2" max="2" width="68" hidden="0" customWidth="1"/>
    <x:col min="3" max="3" width="10" hidden="0" customWidth="1"/>
    <x:col min="4" max="5" width="26" customWidth="1"/>
    <x:col min="6" max="6" width="115" hidden="0" customWidth="1"/>
    <x:col min="4" max="4" width="19" hidden="0" customWidth="1"/>
    <x:col min="5" max="5" width="20" hidden="0" customWidth="1"/>
  </x:cols>
  <x:sheetData>
    <x:row r="1" ht="42" customHeight="1">
      <x:c r="A1" s="59" t="str">
        <x:v>Grupo</x:v>
      </x:c>
      <x:c r="B1" s="59" t="str">
        <x:v>Ítem</x:v>
      </x:c>
      <x:c r="C1" s="59" t="str">
        <x:v>Cant.</x:v>
      </x:c>
      <x:c r="D1" s="59" t="str">
        <x:v>Precio unitario (COP)</x:v>
      </x:c>
      <x:c r="E1" s="59" t="str">
        <x:v>Subtotal (COP)</x:v>
      </x:c>
      <x:c r="F1" s="59" t="str">
        <x:v>Fuente / nota</x:v>
      </x:c>
    </x:row>
    <x:row r="2" ht="72" customHeight="1">
      <x:c r="A2" s="41" t="str">
        <x:v>Tableros y cantos</x:v>
      </x:c>
      <x:c r="B2" s="41" t="str">
        <x:v>Tablero melamina Cartagena RH 15 mm, 2,15 × 2,44</x:v>
      </x:c>
      <x:c r="C2" s="85" t="n">
        <x:v>4</x:v>
      </x:c>
      <x:c r="D2" s="87" t="n">
        <x:v>365872</x:v>
      </x:c>
      <x:c r="E2" s="87" t="n">
        <x:f t="shared" ref="E2:E26" si="0">IF(AND(ISNUMBER(C2),ISNUMBER(D2)),C2*D2,"Por cotizar")</x:f>
        <x:v>1463488</x:v>
      </x:c>
      <x:c r="F2" s="41" t="str">
        <x:v>Previsión de 4 láminas conservada; esta alternativa requiere nueva optimización con veta, refilado y disco antes de comprar.</x:v>
      </x:c>
    </x:row>
    <x:row r="3" ht="72" customHeight="1">
      <x:c r="A3" s="41" t="str">
        <x:v>Tableros y cantos</x:v>
      </x:c>
      <x:c r="B3" s="41" t="str">
        <x:v>Fondo melamina blanco nevado RH 6 mm, 2,15 × 2,44</x:v>
      </x:c>
      <x:c r="C3" s="85" t="n">
        <x:v>1</x:v>
      </x:c>
      <x:c r="D3" s="87" t="n">
        <x:v>212534</x:v>
      </x:c>
      <x:c r="E3" s="87" t="n">
        <x:f t="shared" si="0">IF(AND(ISNUMBER(C3),ISNUMBER(D3)),C3*D3,"Por cotizar")</x:f>
        <x:v>212534</x:v>
      </x:c>
      <x:c r="F3" s="41" t="str">
        <x:v>Previsión de 1 lámina conservada; 9 fondos de esta alternativa. Optimización de corte pendiente.</x:v>
      </x:c>
    </x:row>
    <x:row r="4" ht="72" customHeight="1">
      <x:c r="A4" s="41" t="str">
        <x:v>Tableros y cantos</x:v>
      </x:c>
      <x:c r="B4" s="41" t="str">
        <x:v>Canto rígido Cartagena 19 × 2 mm · rollo 100 m</x:v>
      </x:c>
      <x:c r="C4" s="85" t="n">
        <x:f>ROUNDUP(Cantos!F4/Cantos!H4,0)</x:f>
        <x:v>1</x:v>
      </x:c>
      <x:c r="D4" s="87" t="n">
        <x:v>531600</x:v>
      </x:c>
      <x:c r="E4" s="87" t="n">
        <x:f t="shared" si="0">IF(AND(ISNUMBER(C4),ISNUMBER(D4)),C4*D4,"Por cotizar")</x:f>
        <x:v>531600</x:v>
      </x:c>
      <x:c r="F4" s="41" t="str">
        <x:v>Precio de la nueva versión: $531.600/rollo. Metros y rollos vinculados a Cantos; validar SKU.</x:v>
      </x:c>
    </x:row>
    <x:row r="5" ht="72" customHeight="1">
      <x:c r="A5" s="41" t="str">
        <x:v>Tableros y cantos</x:v>
      </x:c>
      <x:c r="B5" s="41" t="str">
        <x:v>Canto flexible Cartagena 19 × 0,45 mm · rollo 200 m</x:v>
      </x:c>
      <x:c r="C5" s="85" t="n">
        <x:f>ROUNDUP(Cantos!F5/Cantos!H5,0)</x:f>
        <x:v>1</x:v>
      </x:c>
      <x:c r="D5" s="87" t="n">
        <x:v>285600</x:v>
      </x:c>
      <x:c r="E5" s="87" t="n">
        <x:f t="shared" si="0">IF(AND(ISNUMBER(C5),ISNUMBER(D5)),C5*D5,"Por cotizar")</x:f>
        <x:v>285600</x:v>
      </x:c>
      <x:c r="F5" s="41" t="str">
        <x:v>Precio de la nueva versión: $285.600/rollo. Metros y rollos vinculados a Cantos; validar SKU.</x:v>
      </x:c>
    </x:row>
    <x:row r="6" ht="72" customHeight="1">
      <x:c r="A6" s="41" t="str">
        <x:v>Herrajes</x:v>
      </x:c>
      <x:c r="B6" s="41" t="str">
        <x:v>Perfil gola superior × 3 m</x:v>
      </x:c>
      <x:c r="C6" s="85" t="n">
        <x:v>1</x:v>
      </x:c>
      <x:c r="D6" s="87" t="n">
        <x:v>41215</x:v>
      </x:c>
      <x:c r="E6" s="87" t="n">
        <x:f t="shared" si="0">IF(AND(ISNUMBER(C6),ISNUMBER(D6)),C6*D6,"Por cotizar")</x:f>
        <x:v>41215</x:v>
      </x:c>
      <x:c r="F6" s="41" t="str">
        <x:v>B1 150 + B3/B5/B4 1.800 = 1.950 mm. Interrumpido en horno.</x:v>
      </x:c>
    </x:row>
    <x:row r="7" ht="72" customHeight="1">
      <x:c r="A7" s="41" t="str">
        <x:v>Herrajes</x:v>
      </x:c>
      <x:c r="B7" s="41" t="str">
        <x:v>Perfil gola media × 3 m</x:v>
      </x:c>
      <x:c r="C7" s="85" t="n">
        <x:v>1</x:v>
      </x:c>
      <x:c r="D7" s="87" t="n">
        <x:v>51014</x:v>
      </x:c>
      <x:c r="E7" s="87" t="n">
        <x:f t="shared" si="0">IF(AND(ISNUMBER(C7),ISNUMBER(D7)),C7*D7,"Por cotizar")</x:f>
        <x:v>51014</x:v>
      </x:c>
      <x:c r="F7" s="41" t="str">
        <x:v>B3 700 + B4 400 = 1.100 mm. Una barra 3 m; remates y mecanizados por validar.</x:v>
      </x:c>
    </x:row>
    <x:row r="8" ht="72" customHeight="1">
      <x:c r="A8" s="41" t="str">
        <x:v>Herrajes</x:v>
      </x:c>
      <x:c r="B8" s="41" t="str">
        <x:v>Riel Bonuit HRE550-55N · negro · 550 mm · cierre lento 30 kg · par</x:v>
      </x:c>
      <x:c r="C8" s="85" t="n">
        <x:v>1</x:v>
      </x:c>
      <x:c r="D8" s="87" t="n">
        <x:v>47034</x:v>
      </x:c>
      <x:c r="E8" s="87" t="n">
        <x:f t="shared" si="0">IF(AND(ISNUMBER(C8),ISNUMBER(D8)),C8*D8,"Por cotizar")</x:f>
        <x:v>47034</x:v>
      </x:c>
      <x:c r="F8" s="41" t="str">
        <x:v>Solo cajón cubiertero B3. Vano 670 − 27 = caja 643; interior 613 × 520. Precio previo 47.034 COP/par. B4 lleva plataforma RH sin paredes encima y otro par HRE126-55.</x:v>
      </x:c>
    </x:row>
    <x:row r="9" ht="72" customHeight="1">
      <x:c r="A9" s="41" t="str">
        <x:v>Herrajes</x:v>
      </x:c>
      <x:c r="B9" s="41" t="str">
        <x:v>Bisagra parche HBM897-01 · par</x:v>
      </x:c>
      <x:c r="C9" s="85" t="n">
        <x:f>Herrajes!B2/2</x:f>
        <x:v>12</x:v>
      </x:c>
      <x:c r="D9" s="87" t="n">
        <x:v>17750</x:v>
      </x:c>
      <x:c r="E9" s="87" t="n">
        <x:f t="shared" si="0">IF(AND(ISNUMBER(C9),ISNUMBER(D9)),C9*D9,"Por cotizar")</x:f>
        <x:v>213000</x:v>
      </x:c>
      <x:c r="F9" s="41" t="str">
        <x:v>24 bisagras físicas, dos por puerta: 14 superiores + 10 inferiores. Validar carga y S1 estrecho.</x:v>
      </x:c>
    </x:row>
    <x:row r="10" ht="72" customHeight="1">
      <x:c r="A10" s="41" t="str">
        <x:v>Herrajes</x:v>
      </x:c>
      <x:c r="B10" s="41" t="str">
        <x:v>Platero HSO566-03G · nominal 700 mm · herraje 680 × 245</x:v>
      </x:c>
      <x:c r="C10" s="85" t="n">
        <x:v>1</x:v>
      </x:c>
      <x:c r="D10" s="87" t="n">
        <x:v>63539</x:v>
      </x:c>
      <x:c r="E10" s="87" t="n">
        <x:f t="shared" si="0">IF(AND(ISNUMBER(C10),ISNUMBER(D10)),C10*D10,"Por cotizar")</x:f>
        <x:v>63539</x:v>
      </x:c>
      <x:c r="F10" s="41" t="str">
        <x:v>HSO566-03G gris antracita: precio conservado $63.539. Ficha transcrita por usuario: 680 × 245, carga máxima 7 kg, acero 201 pintado, cuatro fijaciones Ø10; cotas y profundidad de taladro a verificar con pieza real. Marcar en obra.</x:v>
      </x:c>
    </x:row>
    <x:row r="11" ht="72" customHeight="1">
      <x:c r="A11" s="41" t="str">
        <x:v>Herrajes</x:v>
      </x:c>
      <x:c r="B11" s="41" t="str">
        <x:v>Cubiertero HSC910-40 · 360 × 480 × 50 mm</x:v>
      </x:c>
      <x:c r="C11" s="85" t="n">
        <x:v>1</x:v>
      </x:c>
      <x:c r="D11" s="87" t="n">
        <x:v>38791</x:v>
      </x:c>
      <x:c r="E11" s="87" t="n">
        <x:f t="shared" si="0">IF(AND(ISNUMBER(C11),ISNUMBER(D11)),C11*D11,"Por cotizar")</x:f>
        <x:v>38791</x:v>
      </x:c>
      <x:c r="F11" s="41" t="str">
        <x:v>360 × 480 × 50 en interior B3 de 613 × 520; removible a un lado, sin divisor fijo.</x:v>
      </x:c>
    </x:row>
    <x:row r="12" ht="72" customHeight="1">
      <x:c r="A12" s="41" t="str">
        <x:v>Herrajes</x:v>
      </x:c>
      <x:c r="B12" s="41" t="str">
        <x:v>Pata niveladora para zócalo 100 mm</x:v>
      </x:c>
      <x:c r="C12" s="85" t="n">
        <x:v>24</x:v>
      </x:c>
      <x:c r="D12" s="87" t="n">
        <x:v>2042</x:v>
      </x:c>
      <x:c r="E12" s="87" t="n">
        <x:f t="shared" si="0">IF(AND(ISNUMBER(C12),ISNUMBER(D12)),C12*D12,"Por cotizar")</x:f>
        <x:v>49008</x:v>
      </x:c>
      <x:c r="F12" s="41" t="str">
        <x:v>Madecentro</x:v>
      </x:c>
    </x:row>
    <x:row r="13" ht="72" customHeight="1">
      <x:c r="A13" s="41" t="str">
        <x:v>Herrajes</x:v>
      </x:c>
      <x:c r="B13" s="41" t="str">
        <x:v>Colgador regulable para gabinete superior (par)</x:v>
      </x:c>
      <x:c r="C13" s="85" t="n">
        <x:f>Herrajes!B11</x:f>
        <x:v>5</x:v>
      </x:c>
      <x:c r="D13" s="87" t="str">
        <x:v>cotizar</x:v>
      </x:c>
      <x:c r="E13" s="87" t="str">
        <x:f t="shared" si="0">IF(AND(ISNUMBER(C13),ISNUMBER(D13)),C13*D13,"Por cotizar")</x:f>
        <x:v>Por cotizar</x:v>
      </x:c>
      <x:c r="F13" s="41" t="str">
        <x:v>5 gabinetes superiores. Verificar colgadores en S1 de luz 135 y riel mural compatible; sin listones a 45° definidos.</x:v>
      </x:c>
    </x:row>
    <x:row r="14" ht="72" customHeight="1">
      <x:c r="A14" s="41" t="str">
        <x:v>Herrajes</x:v>
      </x:c>
      <x:c r="B14" s="41" t="str">
        <x:v>Soportes de entrepaño y tornillería</x:v>
      </x:c>
      <x:c r="C14" s="85" t="n">
        <x:v>1</x:v>
      </x:c>
      <x:c r="D14" s="87" t="str">
        <x:v>cotizar</x:v>
      </x:c>
      <x:c r="E14" s="87" t="str">
        <x:f t="shared" si="0">IF(AND(ISNUMBER(C14),ISNUMBER(D14)),C14*D14,"Por cotizar")</x:f>
        <x:v>Por cotizar</x:v>
      </x:c>
      <x:c r="F14" s="41" t="str">
        <x:v>24 soportes de entrepaño, tornillería, fijaciones de fondos y anclajes según muro real. No duplicar tornillos incluidos.</x:v>
      </x:c>
    </x:row>
    <x:row r="15" ht="72" customHeight="1">
      <x:c r="A15" s="41" t="str">
        <x:v>Mesón y equipos</x:v>
      </x:c>
      <x:c r="B15" s="41" t="str">
        <x:v>Mesón Crema Marfil 260 × 62 cm · código 519014</x:v>
      </x:c>
      <x:c r="C15" s="85" t="n">
        <x:v>1</x:v>
      </x:c>
      <x:c r="D15" s="87" t="n">
        <x:v>1486300</x:v>
      </x:c>
      <x:c r="E15" s="87" t="n">
        <x:f t="shared" si="0">IF(AND(ISNUMBER(C15),ISNUMBER(D15)),C15*D15,"Por cotizar")</x:f>
        <x:v>1486300</x:v>
      </x:c>
      <x:c r="F15" s="41" t="str">
        <x:v>Placa de 15 mm confirmada por usuario y ficha Homecenter. Precio $1.486.300 conservado. Recortes, material final, apoyos y posible borde engrosado por definir. La ficha mezcla 260/150 cm y granito/cuarzo: confirmar suministro concreto. https://www.homecenter.com.co/homecenter-co/product/519014/meson-granito-natural-crema-marfil-260-cm-x-62-cm/519014/</x:v>
      </x:c>
    </x:row>
    <x:row r="16" ht="72" customHeight="1">
      <x:c r="A16" s="41" t="str">
        <x:v>Mesón y equipos</x:v>
      </x:c>
      <x:c r="B16" s="41" t="str">
        <x:v>Lavaplatos Socoda AS350 satinado · submontar 1 poceta 55 × 43 cm · código 87730</x:v>
      </x:c>
      <x:c r="C16" s="85" t="n">
        <x:v>1</x:v>
      </x:c>
      <x:c r="D16" s="87" t="n">
        <x:v>209900</x:v>
      </x:c>
      <x:c r="E16" s="87" t="n">
        <x:f t="shared" si="0">IF(AND(ISNUMBER(C16),ISNUMBER(D16)),C16*D16,"Por cotizar")</x:f>
        <x:v>209900</x:v>
      </x:c>
      <x:c r="F16" s="41" t="str">
        <x:v>Socoda AS350 satinado, código 87730: $209.900 conservados. 550 × 430 EXTERIORES, profundidad 165 mm. Abertura interior 490 × 370 según ficha descrita por usuario. Submontar: pestaña bajo placa, con anclaje/soporte compatibles. Hueco de corte lo define plantilla Socoda y acabado del borde; 490 × 370 solo referencia 3D. https://www.homecenter.com.co/homecenter-co/product/87730/lavaplatos-de-submontar-1-poceta-55x43-cm-acero-inoxidable-socoda/87730/</x:v>
      </x:c>
    </x:row>
    <x:row r="17" ht="72" customHeight="1">
      <x:c r="A17" s="41" t="str">
        <x:v>Mesón y equipos</x:v>
      </x:c>
      <x:c r="B17" s="41" t="str">
        <x:v>Combo CA3057: campana Tofu negro 60 cm + horno H60EEVAL005 + estufa CCR60-F4P-SBF031</x:v>
      </x:c>
      <x:c r="C17" s="85" t="n">
        <x:v>1</x:v>
      </x:c>
      <x:c r="D17" s="87" t="n">
        <x:v>1864800</x:v>
      </x:c>
      <x:c r="E17" s="87" t="n">
        <x:f t="shared" si="0">IF(AND(ISNUMBER(C17),ISNUMBER(D17)),C17*D17,"Por cotizar")</x:f>
        <x:v>1864800</x:v>
      </x:c>
      <x:c r="F17" s="41" t="str">
        <x:v>Precio aportado por el usuario el 25/10/2026 por el combo completo. Horno mixto 110 V/gas natural; estufa cristal gas natural 60 × 51 cm.</x:v>
      </x:c>
    </x:row>
    <x:row r="18" ht="72" customHeight="1">
      <x:c r="A18" s="41" t="str">
        <x:v>Servicios</x:v>
      </x:c>
      <x:c r="B18" s="41" t="str">
        <x:v>Corte y canteado de piezas</x:v>
      </x:c>
      <x:c r="C18" s="85" t="n">
        <x:v>1</x:v>
      </x:c>
      <x:c r="D18" s="87" t="str">
        <x:v>cotizar</x:v>
      </x:c>
      <x:c r="E18" s="87" t="str">
        <x:f t="shared" si="0">IF(AND(ISNUMBER(C18),ISNUMBER(D18)),C18*D18,"Por cotizar")</x:f>
        <x:v>Por cotizar</x:v>
      </x:c>
      <x:c r="F18" s="41" t="str">
        <x:v>P072–P074 son cortes PROVISIONALES internos: confirmar herraje y bandeja reales antes de cortar. Cantos completos y sellados; sin taladros de platero de fábrica. Incluye armado rígido del frente a bastidor, sin depender solo del canto de 15 mm.</x:v>
      </x:c>
    </x:row>
    <x:row r="19" ht="72" customHeight="1">
      <x:c r="A19" s="41" t="str">
        <x:v>Servicios</x:v>
      </x:c>
      <x:c r="B19" s="41" t="str">
        <x:v>Cortes y pulido del mesón (lavaplatos y estufa)</x:v>
      </x:c>
      <x:c r="C19" s="85" t="n">
        <x:v>1</x:v>
      </x:c>
      <x:c r="D19" s="87" t="str">
        <x:v>cotizar</x:v>
      </x:c>
      <x:c r="E19" s="87" t="str">
        <x:f t="shared" si="0">IF(AND(ISNUMBER(C19),ISNUMBER(D19)),C19*D19,"Por cotizar")</x:f>
        <x:v>Por cotizar</x:v>
      </x:c>
      <x:c r="F19" s="41" t="str">
        <x:v>Plantillas y recortes en placa 15 mm. Lavaplatos 550 × 430 exterior NO es medida de hueco; referencia 3D 490 × 370, plantilla Socoda y tipo de borde mandan. Profundidad 165. Marmolero define radios, tolerancias, apoyos y anclajes; recorte estufa sigue por manual. Borde engrosado opcional por cotizar.</x:v>
      </x:c>
    </x:row>
    <x:row r="20" ht="72" customHeight="1">
      <x:c r="A20" s="41" t="str">
        <x:v>Mesón y equipos</x:v>
      </x:c>
      <x:c r="B20" s="41" t="str">
        <x:v>Grifería de cocina</x:v>
      </x:c>
      <x:c r="C20" s="85" t="n">
        <x:v>1</x:v>
      </x:c>
      <x:c r="D20" s="87" t="str">
        <x:v>cotizar</x:v>
      </x:c>
      <x:c r="E20" s="87" t="str">
        <x:f t="shared" si="0">IF(AND(ISNUMBER(C20),ISNUMBER(D20)),C20*D20,"Por cotizar")</x:f>
        <x:v>Por cotizar</x:v>
      </x:c>
      <x:c r="F20" s="41" t="str">
        <x:v>Seleccionar modelo y conexiones.</x:v>
      </x:c>
    </x:row>
    <x:row r="21" ht="72" customHeight="1">
      <x:c r="A21" s="41" t="str">
        <x:v>Mesón y equipos</x:v>
      </x:c>
      <x:c r="B21" s="41" t="str">
        <x:v>Desagüe, canastilla, sifón y acoples</x:v>
      </x:c>
      <x:c r="C21" s="85" t="n">
        <x:v>1</x:v>
      </x:c>
      <x:c r="D21" s="87" t="str">
        <x:v>cotizar</x:v>
      </x:c>
      <x:c r="E21" s="87" t="str">
        <x:f t="shared" si="0">IF(AND(ISNUMBER(C21),ISNUMBER(D21)),C21*D21,"Por cotizar")</x:f>
        <x:v>Por cotizar</x:v>
      </x:c>
      <x:c r="F21" s="41" t="str">
        <x:v>Sifón y llaves deben permitir retirar el entrepaño del B5. No incluye canasta bajo fregadero.</x:v>
      </x:c>
    </x:row>
    <x:row r="22" ht="72" customHeight="1">
      <x:c r="A22" s="41" t="str">
        <x:v>Mesón y equipos</x:v>
      </x:c>
      <x:c r="B22" s="41" t="str">
        <x:v>Ducto y accesorios de campana</x:v>
      </x:c>
      <x:c r="C22" s="85" t="n">
        <x:v>1</x:v>
      </x:c>
      <x:c r="D22" s="87" t="str">
        <x:v>cotizar</x:v>
      </x:c>
      <x:c r="E22" s="87" t="str">
        <x:f t="shared" si="0">IF(AND(ISNUMBER(C22),ISNUMBER(D22)),C22*D22,"Por cotizar")</x:f>
        <x:v>Por cotizar</x:v>
      </x:c>
      <x:c r="F22" s="41" t="str">
        <x:v>Definir según modelo Haceb, diámetro y salida.</x:v>
      </x:c>
    </x:row>
    <x:row r="23" ht="72" customHeight="1">
      <x:c r="A23" s="41" t="str">
        <x:v>Servicios</x:v>
      </x:c>
      <x:c r="B23" s="40" t="str">
        <x:v>Armado e instalación de muebles y mesón</x:v>
      </x:c>
      <x:c r="C23" s="85" t="n">
        <x:v>1</x:v>
      </x:c>
      <x:c r="D23" s="87" t="str">
        <x:v>cotizar</x:v>
      </x:c>
      <x:c r="E23" s="87" t="str">
        <x:f t="shared" si="0">IF(AND(ISNUMBER(C23),ISNUMBER(D23)),C23*D23,"Por cotizar")</x:f>
        <x:v>Por cotizar</x:v>
      </x:c>
      <x:c r="F23" s="41" t="str">
        <x:v>24 patas: 20 apoyos básicos de cinco módulos + cuatro refuerzos por definir. Anclajes contra desplazamiento, colgadores y soporte del fregadero según muro/cargas.</x:v>
      </x:c>
    </x:row>
    <x:row r="24" ht="72" customHeight="1">
      <x:c r="A24" s="41" t="str">
        <x:v>Servicios</x:v>
      </x:c>
      <x:c r="B24" s="40" t="str">
        <x:v>Transporte y subida de materiales</x:v>
      </x:c>
      <x:c r="C24" s="85" t="n">
        <x:v>1</x:v>
      </x:c>
      <x:c r="D24" s="87" t="str">
        <x:v>cotizar</x:v>
      </x:c>
      <x:c r="E24" s="87" t="str">
        <x:f t="shared" si="0">IF(AND(ISNUMBER(C24),ISNUMBER(D24)),C24*D24,"Por cotizar")</x:f>
        <x:v>Por cotizar</x:v>
      </x:c>
      <x:c r="F24" s="41" t="str">
        <x:v>Ingresar 0 únicamente si se confirma incluido.</x:v>
      </x:c>
    </x:row>
    <x:row r="25" ht="72" customHeight="1">
      <x:c r="A25" s="41" t="str">
        <x:v>Herrajes</x:v>
      </x:c>
      <x:c r="B25" s="40" t="str">
        <x:v>Condimentero Bonuit HSO317-15R · tres niveles · cierre lento</x:v>
      </x:c>
      <x:c r="C25" s="85" t="n">
        <x:v>1</x:v>
      </x:c>
      <x:c r="D25" s="87" t="n">
        <x:v>122902</x:v>
      </x:c>
      <x:c r="E25" s="87" t="n">
        <x:f t="shared" si="0">IF(AND(ISNUMBER(C25),ISNUMBER(D25)),C25*D25,"Por cotizar")</x:f>
        <x:v>122902</x:v>
      </x:c>
      <x:c r="F25" s="41" t="str">
        <x:v>Precio aportado por usuario 26/10/2026. Módulo 150 × 500 × 600, herraje 100 × 446 × 470. Incluye rieles y enganches; no comprar otro par. https://madecentro.com/products/canasta-condimentero-tres-niveles-gris-antracita-cierre-lento-copia</x:v>
      </x:c>
    </x:row>
    <x:row r="26" ht="72" customHeight="1">
      <x:c r="A26" s="41" t="str">
        <x:v>Herrajes</x:v>
      </x:c>
      <x:c r="B26" s="40" t="str">
        <x:v>Basurero Bonuit HSO688-00 · bandeja y 2 recipientes · 12 L</x:v>
      </x:c>
      <x:c r="C26" s="85" t="n">
        <x:v>1</x:v>
      </x:c>
      <x:c r="D26" s="87" t="n">
        <x:v>109700</x:v>
      </x:c>
      <x:c r="E26" s="87" t="n">
        <x:f t="shared" si="0">IF(AND(ISNUMBER(C26),ISNUMBER(D26)),C26*D26,"Por cotizar")</x:f>
        <x:v>109700</x:v>
      </x:c>
      <x:c r="F26" s="41" t="str">
        <x:v>Precio aportado por usuario 26/10/2026. Herraje 485 × 330 × 215, módulo nominal 400. NO incluye sistema extraíble. https://madecentro.com/collections/herrajes-para-cocina/products/hso688-00-basureras-y-estructura-plastica-gris-de-12l-2-basureas-330x485x215mm-para-modulo-de-400</x:v>
      </x:c>
    </x:row>
    <x:row r="27" ht="90" customHeight="1">
      <x:c r="A27" s="41" t="str">
        <x:v>Herrajes</x:v>
      </x:c>
      <x:c r="B27" s="40" t="str">
        <x:v>Riel Mobile HRE126-55 · 550 mm · extensión total 38 kg · cierre normal · par</x:v>
      </x:c>
      <x:c r="C27" s="85" t="n">
        <x:v>1</x:v>
      </x:c>
      <x:c r="D27" s="87" t="n">
        <x:v>12560</x:v>
      </x:c>
      <x:c r="E27" s="88" t="n">
        <x:f>IF(AND(ISNUMBER(C27),ISNUMBER(D27)),C27*D27,"Por cotizar")</x:f>
        <x:v>12560</x:v>
      </x:c>
      <x:c r="F27" s="41" t="str">
        <x:v>Precio consultado 26/10/2026 para variante 55 cm. Incluye par y 12 tornillos. Montaje lateral VERTICAL en largueros inferiores, no acostado. Descuento de ancho, altura y perforación pendientes de ficha HRE126. https://madecentro.com/products/riel-corredera-para-cajon-de-extension-total-carga-media-38-kg?variant=45720301699302</x:v>
      </x:c>
    </x:row>
    <x:row r="28" ht="72" customHeight="1">
      <x:c r="A28" s="41" t="str">
        <x:v>Herrajes</x:v>
      </x:c>
      <x:c r="B28" s="41" t="str">
        <x:v>Riel mural y fijaciones compatibles con colgadores superiores</x:v>
      </x:c>
      <x:c r="C28" s="85" t="n">
        <x:v>1</x:v>
      </x:c>
      <x:c r="D28" s="87" t="str">
        <x:v>cotizar</x:v>
      </x:c>
      <x:c r="E28" s="87" t="str">
        <x:f>IF(AND(ISNUMBER(C28),ISNUMBER(D28)),C28*D28,"Por cotizar")</x:f>
        <x:v>Por cotizar</x:v>
      </x:c>
      <x:c r="F28" s="41" t="str">
        <x:v>Sistema para 5 gabinetes; S1 luz 135. Dimensionar anclajes según farol/muro real, carga y fabricante. No hay suspensión de bajos a 45°.</x:v>
      </x:c>
    </x:row>
    <x:row r="29" ht="72" customHeight="1">
      <x:c r="A29" s="41" t="str">
        <x:v>Mesón y equipos</x:v>
      </x:c>
      <x:c r="B29" s="41" t="str">
        <x:v>Soporte mecánico compatible para lavaplatos de submontar</x:v>
      </x:c>
      <x:c r="C29" s="85" t="n">
        <x:v>1</x:v>
      </x:c>
      <x:c r="D29" s="87" t="str">
        <x:v>cotizar</x:v>
      </x:c>
      <x:c r="E29" s="87" t="str">
        <x:f>IF(AND(ISNUMBER(C29),ISNUMBER(D29)),C29*D29,"Por cotizar")</x:f>
        <x:v>Por cotizar</x:v>
      </x:c>
      <x:c r="F29" s="41" t="str">
        <x:v>Definir con Socoda/marmolero para placa 15 mm. Travesaños no sustituyen la validación del soporte de cubeta y agua.</x:v>
      </x:c>
    </x:row>
    <x:row r="30" ht="72" customHeight="1">
      <x:c r="A30" s="41" t="str">
        <x:v>Accesorios</x:v>
      </x:c>
      <x:c r="B30" s="41" t="str">
        <x:v>Escurridor sobre mesón (opcional)</x:v>
      </x:c>
      <x:c r="C30" s="85" t="n">
        <x:v>1</x:v>
      </x:c>
      <x:c r="D30" s="87" t="str">
        <x:v>cotizar</x:v>
      </x:c>
      <x:c r="E30" s="87" t="str">
        <x:f>IF(AND(ISNUMBER(C30),ISNUMBER(D30)),C30*D30,"Por cotizar")</x:f>
        <x:v>Por cotizar</x:v>
      </x:c>
      <x:c r="F30" s="41" t="str">
        <x:v>Zona derecha de 40 cm; dibujo ilustrativo 375 × 400, confirmar modelo. Escribir 0 solo si ya se tiene y se reutiliza.</x:v>
      </x:c>
    </x:row>
    <x:row r="31" ht="85" customHeight="1">
      <x:c r="A31" s="41" t="str">
        <x:v>Herrajes</x:v>
      </x:c>
      <x:c r="B31" s="41" t="str">
        <x:v>Brazo neumático Bonuit HEC060-03 · 60 N · gris (unidad)</x:v>
      </x:c>
      <x:c r="C31" s="85" t="n">
        <x:v>2</x:v>
      </x:c>
      <x:c r="D31" s="87" t="n">
        <x:v>9126</x:v>
      </x:c>
      <x:c r="E31" s="87" t="n">
        <x:f>IF(AND(ISNUMBER(C31),ISNUMBER(D31)),C31*D31,"Por cotizar")</x:f>
        <x:v>18252</x:v>
      </x:c>
      <x:c r="F31" s="41" t="str">
        <x:v>2 por módulo de 600; 9.126 COP/unidad aportados por usuario 26/10/2026. Incluye platinas y tornillos; requiere bisagras (dos superiores ya previstas, sin duplicarlas). Fuerza y montaje a validar con peso real de puerta; 2,07 kg es aproximación del usuario. https://madecentro.com/products/hec060-03-brazo-neumatico-cierre-lento-60n</x:v>
      </x:c>
    </x:row>
    <x:row r="32" ht="90" customHeight="1">
      <x:c r="A32" s="41" t="str">
        <x:v>Herrajes</x:v>
      </x:c>
      <x:c r="B32" s="41" t="str">
        <x:v>Fijaciones de gola con tornillo · previsión compatible</x:v>
      </x:c>
      <x:c r="C32" s="85" t="n">
        <x:v>10</x:v>
      </x:c>
      <x:c r="D32" s="87" t="n">
        <x:v>2998</x:v>
      </x:c>
      <x:c r="E32" s="87" t="n">
        <x:f>IF(AND(ISNUMBER(C32),ISNUMBER(D32)),C32*D32,"Por cotizar")</x:f>
        <x:v>29980</x:v>
      </x:c>
      <x:c r="F32" s="41" t="str">
        <x:v>8 extremos de cuatro tramos + 2 apoyos intermedios en superior de 1800 mm. Previsión de diseño, no separación certificada. Precio de referencia Mobile: confirmar compatibilidad con gola comprada antes de comprar/mecanizar. https://madecentro.com/products/escuadra-para-perfil-gola-peralm63-64</x:v>
      </x:c>
    </x:row>
    <x:row r="33" ht="30" customHeight="1">
      <x:c r="A33" s="41"/>
      <x:c r="B33" s="41" t="str">
        <x:v>Subtotal Tableros y cantos</x:v>
      </x:c>
      <x:c r="C33" s="41"/>
      <x:c r="D33" s="83"/>
      <x:c r="E33" s="87" t="n">
        <x:f>SUMIF(A2:A32,"Tableros y cantos",E2:E32)</x:f>
        <x:v>2493222</x:v>
      </x:c>
      <x:c r="F33" s="41"/>
    </x:row>
    <x:row r="34" ht="30" customHeight="1">
      <x:c r="A34" s="41"/>
      <x:c r="B34" s="41" t="str">
        <x:v>Subtotal Herrajes</x:v>
      </x:c>
      <x:c r="C34" s="41"/>
      <x:c r="D34" s="83"/>
      <x:c r="E34" s="87" t="n">
        <x:f>SUMIF(A2:A32,"Herrajes",E2:E32)</x:f>
        <x:v>796995</x:v>
      </x:c>
      <x:c r="F34" s="41"/>
    </x:row>
    <x:row r="35" ht="30" customHeight="1">
      <x:c r="A35" s="41"/>
      <x:c r="B35" s="41" t="str">
        <x:v>Subtotal Mesón y equipos</x:v>
      </x:c>
      <x:c r="C35" s="41"/>
      <x:c r="D35" s="83"/>
      <x:c r="E35" s="87" t="n">
        <x:f>SUMIF(A2:A32,"Mesón y equipos",E2:E32)</x:f>
        <x:v>3561000</x:v>
      </x:c>
      <x:c r="F35" s="41"/>
    </x:row>
    <x:row r="36" ht="30" customHeight="1">
      <x:c r="A36" s="41"/>
      <x:c r="B36" s="41" t="str">
        <x:v>Subtotal Servicios</x:v>
      </x:c>
      <x:c r="C36" s="41"/>
      <x:c r="D36" s="41"/>
      <x:c r="E36" s="87" t="n">
        <x:f>SUMIF(A2:A32,"Servicios",E2:E32)</x:f>
        <x:v>0</x:v>
      </x:c>
      <x:c r="F36" s="41"/>
    </x:row>
    <x:row r="37" ht="30" customHeight="1">
      <x:c r="A37" s="41"/>
      <x:c r="B37" s="41" t="str">
        <x:v>Subtotal Accesorios</x:v>
      </x:c>
      <x:c r="C37" s="41"/>
      <x:c r="D37" s="41"/>
      <x:c r="E37" s="87" t="n">
        <x:f>SUMIF(A2:A32,"Accesorios",E2:E32)</x:f>
        <x:v>0</x:v>
      </x:c>
      <x:c r="F37" s="41"/>
    </x:row>
    <x:row r="38" ht="30" customHeight="1">
      <x:c r="A38" s="91"/>
      <x:c r="B38" s="91" t="str">
        <x:v>TOTAL CONOCIDO</x:v>
      </x:c>
      <x:c r="C38" s="91"/>
      <x:c r="D38" s="91"/>
      <x:c r="E38" s="92" t="n">
        <x:f>SUM(E2:E32)</x:f>
        <x:v>6851217</x:v>
      </x:c>
      <x:c r="F38" s="91" t="str">
        <x:v>Parcial: excluye partidas pendientes. Tableros conservan previsión de 4 láminas, sin optimización aprobada.</x:v>
      </x:c>
    </x:row>
    <x:row r="39" ht="30" customHeight="1">
      <x:c r="A39" s="41"/>
      <x:c r="B39" s="41" t="str">
        <x:v>Partidas sin precio</x:v>
      </x:c>
      <x:c r="C39" s="41"/>
      <x:c r="D39" s="41"/>
      <x:c r="E39" s="77" t="n">
        <x:f>ROWS(D2:D32)-COUNT(D2:D32)</x:f>
        <x:v>12</x:v>
      </x:c>
      <x:c r="F39" s="41" t="str">
        <x:v>No equivalen a cero ni están incluidas en el total conocido.</x:v>
      </x:c>
    </x:row>
    <x:row r="40">
      <x:c r="A40" s="41"/>
      <x:c r="B40" s="41" t="str">
        <x:v>TOTAL DEL ALCANCE LISTADO</x:v>
      </x:c>
      <x:c r="C40" s="41"/>
      <x:c r="D40" s="41"/>
      <x:c r="E40" s="87" t="str">
        <x:f>IF(E39=0,E38,"Pendiente de cotizaciones")</x:f>
        <x:v>Pendiente de cotizaciones</x:v>
      </x:c>
      <x:c r="F40" s="41" t="str">
        <x:v>Anclajes, servicios y otros accesorios por cotizar. Compatibilidad de riel y fijaciones gola por confirmar.</x:v>
      </x:c>
    </x:row>
  </x:sheetData>
  <x:conditionalFormatting sqref="D2:D26">
    <x:cfRule type="containsText" dxfId="1" priority="1" operator="containsText" text="cotizar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8671875" defaultRowHeight="14.399999618530273"/>
  <x:cols>
    <x:col min="1" max="1" width="23" hidden="0" customWidth="1"/>
    <x:col min="2" max="2" width="55" hidden="0" customWidth="1"/>
    <x:col min="3" max="3" width="17" hidden="0" customWidth="1"/>
    <x:col min="4" max="4" width="18" hidden="0" customWidth="1"/>
    <x:col min="5" max="5" width="22" hidden="0" customWidth="1"/>
    <x:col min="6" max="6" width="18" hidden="0" customWidth="1"/>
    <x:col min="8" max="8" width="22" hidden="0" customWidth="1"/>
    <x:col min="9" max="9" width="12" hidden="0" customWidth="1"/>
    <x:col min="7" max="7" width="3" hidden="0" customWidth="1"/>
  </x:cols>
  <x:sheetData>
    <x:row r="1" ht="30" customHeight="1">
      <x:c r="A1" s="40" t="str">
        <x:v>Resumen de cantos · alternativa 260</x:v>
      </x:c>
      <x:c r="B1" s="41"/>
      <x:c r="C1" s="41"/>
      <x:c r="D1" s="41"/>
      <x:c r="E1" s="41"/>
      <x:c r="F1" s="41"/>
      <x:c r="G1" s="41"/>
      <x:c r="H1" s="41"/>
      <x:c r="I1" s="41"/>
    </x:row>
    <x:row r="2" ht="30" customHeight="1">
      <x:c r="A2" s="41"/>
      <x:c r="B2" s="41"/>
      <x:c r="C2" s="41"/>
      <x:c r="D2" s="41"/>
      <x:c r="E2" s="41"/>
      <x:c r="F2" s="41"/>
      <x:c r="G2" s="41"/>
      <x:c r="H2" s="41" t="str">
        <x:v>Reserva por borde (m)</x:v>
      </x:c>
      <x:c r="I2" s="78" t="n">
        <x:v>0.05</x:v>
      </x:c>
    </x:row>
    <x:row r="3" ht="42" customHeight="1">
      <x:c r="A3" s="59" t="str">
        <x:v>Tipo</x:v>
      </x:c>
      <x:c r="B3" s="59" t="str">
        <x:v>Dónde va</x:v>
      </x:c>
      <x:c r="C3" s="59" t="str">
        <x:v>Metros netos</x:v>
      </x:c>
      <x:c r="D3" s="59" t="str">
        <x:v>Bordes</x:v>
      </x:c>
      <x:c r="E3" s="59" t="str">
        <x:v>Reserva de máquina</x:v>
      </x:c>
      <x:c r="F3" s="59" t="str">
        <x:v>Metros a pedir</x:v>
      </x:c>
      <x:c r="G3" s="75"/>
      <x:c r="H3" s="75" t="str">
        <x:v>m por rollo</x:v>
      </x:c>
      <x:c r="I3" s="75"/>
    </x:row>
    <x:row r="4" ht="30" customHeight="1">
      <x:c r="A4" s="41" t="str">
        <x:v>Rígido 2 mm</x:v>
      </x:c>
      <x:c r="B4" s="41" t="str">
        <x:v>Frentes/puertas y bordes vistos</x:v>
      </x:c>
      <x:c r="C4" s="76" t="n">
        <x:f>SUMPRODUCT(Despiece!$G$5:$G$78,Despiece!$E$5:$E$78,(Despiece!$H$5:$H$78="2")+(Despiece!$I$5:$I$78="2"))/1000+SUMPRODUCT(Despiece!$G$5:$G$78,Despiece!$F$5:$F$78,(Despiece!$J$5:$J$78="2")+(Despiece!$K$5:$K$78="2"))/1000</x:f>
        <x:v>59.634</x:v>
      </x:c>
      <x:c r="D4" s="77" t="n">
        <x:f>SUMPRODUCT(Despiece!$G$5:$G$78,(Despiece!$H$5:$H$78="2")+(Despiece!$I$5:$I$78="2")+(Despiece!$J$5:$J$78="2")+(Despiece!$K$5:$K$78="2"))</x:f>
        <x:v>119</x:v>
      </x:c>
      <x:c r="E4" s="76" t="n">
        <x:f>D4*$I$2</x:f>
        <x:v>5.95</x:v>
      </x:c>
      <x:c r="F4" s="76" t="n">
        <x:f>ROUNDUP((C4+E4)/5,0)*5</x:f>
        <x:v>70</x:v>
      </x:c>
      <x:c r="G4" s="41"/>
      <x:c r="H4" s="72" t="n">
        <x:v>100</x:v>
      </x:c>
      <x:c r="I4" s="41"/>
    </x:row>
    <x:row r="5" ht="30" customHeight="1">
      <x:c r="A5" s="41" t="str">
        <x:v>Flexible 0,45 mm</x:v>
      </x:c>
      <x:c r="B5" s="41" t="str">
        <x:v>Bordes ocultos, traseros y cajas</x:v>
      </x:c>
      <x:c r="C5" s="76" t="n">
        <x:f>SUMPRODUCT(Despiece!$G$5:$G$78,Despiece!$E$5:$E$78,(Despiece!$H$5:$H$78="0.45")+(Despiece!$I$5:$I$78="0.45"))/1000+SUMPRODUCT(Despiece!$G$5:$G$78,Despiece!$F$5:$F$78,(Despiece!$J$5:$J$78="0.45")+(Despiece!$K$5:$K$78="0.45"))/1000</x:f>
        <x:v>94.604</x:v>
      </x:c>
      <x:c r="D5" s="77" t="n">
        <x:f>SUMPRODUCT(Despiece!$G$5:$G$78,(Despiece!$H$5:$H$78="0.45")+(Despiece!$I$5:$I$78="0.45")+(Despiece!$J$5:$J$78="0.45")+(Despiece!$K$5:$K$78="0.45"))</x:f>
        <x:v>221</x:v>
      </x:c>
      <x:c r="E5" s="76" t="n">
        <x:f>D5*$I$2</x:f>
        <x:v>11.05</x:v>
      </x:c>
      <x:c r="F5" s="76" t="n">
        <x:f>ROUNDUP((C5+E5)/5,0)*5</x:f>
        <x:v>110</x:v>
      </x:c>
      <x:c r="G5" s="41"/>
      <x:c r="H5" s="72" t="n">
        <x:v>200</x:v>
      </x:c>
      <x:c r="I5" s="41"/>
    </x:row>
    <x:row r="6" ht="30" customHeight="1">
      <x:c r="A6" s="41"/>
      <x:c r="B6" s="41"/>
      <x:c r="C6" s="41"/>
      <x:c r="D6" s="41"/>
      <x:c r="E6" s="41"/>
      <x:c r="F6" s="41"/>
      <x:c r="G6" s="41"/>
      <x:c r="H6" s="41"/>
      <x:c r="I6" s="41"/>
    </x:row>
    <x:row r="7" ht="30" customHeight="1">
      <x:c r="A7" s="40" t="str">
        <x:v>Reserva de 5 cm por borde, ajustable según proveedor. Corte teórico no incluye disco ni refilado.</x:v>
      </x:c>
      <x:c r="B7" s="41"/>
      <x:c r="C7" s="41"/>
      <x:c r="D7" s="41"/>
      <x:c r="E7" s="41"/>
      <x:c r="F7" s="41"/>
      <x:c r="G7" s="41"/>
      <x:c r="H7" s="41"/>
      <x:c r="I7" s="41"/>
    </x:row>
    <x:row r="8" ht="30" customHeight="1">
      <x:c r="A8" s="55" t="str">
        <x:v>N°</x:v>
      </x:c>
      <x:c r="B8" s="55" t="str">
        <x:v>Pieza</x:v>
      </x:c>
      <x:c r="C8" s="55" t="str">
        <x:v>Medida (mm)</x:v>
      </x:c>
      <x:c r="D8" s="55" t="str">
        <x:v>Qué hacer</x:v>
      </x:c>
      <x:c r="E8" s="55"/>
      <x:c r="F8" s="55"/>
      <x:c r="G8" s="41"/>
      <x:c r="H8" s="41"/>
      <x:c r="I8" s="41"/>
    </x:row>
    <x:row r="9" ht="30" customHeight="1">
      <x:c r="A9" s="41" t="str">
        <x:v>P010</x:v>
      </x:c>
      <x:c r="B9" s="41" t="str">
        <x:v>B2 Listón frontal de apoyo del mesón (de canto)</x:v>
      </x:c>
      <x:c r="C9" s="41" t="str">
        <x:v>570 × 80</x:v>
      </x:c>
      <x:c r="D9" s="41" t="str">
        <x:v>Validar máquina/canteado y fijación; no omitir protección de bordes.</x:v>
      </x:c>
      <x:c r="E9" s="41"/>
      <x:c r="F9" s="41"/>
      <x:c r="G9" s="41"/>
      <x:c r="H9" s="41"/>
      <x:c r="I9" s="41"/>
    </x:row>
    <x:row r="10" ht="30" customHeight="1">
      <x:c r="A10" s="41" t="str">
        <x:v>P018</x:v>
      </x:c>
      <x:c r="B10" s="41" t="str">
        <x:v>B3 Cajón: costado</x:v>
      </x:c>
      <x:c r="C10" s="41" t="str">
        <x:v>550 × 75</x:v>
      </x:c>
      <x:c r="D10" s="41" t="str">
        <x:v>Validar máquina/canteado y fijación; no omitir protección de bordes.</x:v>
      </x:c>
      <x:c r="E10" s="41"/>
      <x:c r="F10" s="41"/>
      <x:c r="G10" s="41"/>
      <x:c r="H10" s="41"/>
      <x:c r="I10" s="41"/>
    </x:row>
    <x:row r="11" ht="30" customHeight="1">
      <x:c r="A11" s="41" t="str">
        <x:v>P019</x:v>
      </x:c>
      <x:c r="B11" s="41" t="str">
        <x:v>B3 Cajón: frente y trasero interiores</x:v>
      </x:c>
      <x:c r="C11" s="41" t="str">
        <x:v>613 × 75</x:v>
      </x:c>
      <x:c r="D11" s="41" t="str">
        <x:v>Validar máquina/canteado y fijación; no omitir protección de bordes.</x:v>
      </x:c>
      <x:c r="E11" s="41"/>
      <x:c r="F11" s="41"/>
      <x:c r="G11" s="41"/>
      <x:c r="H11" s="41"/>
      <x:c r="I11" s="41"/>
    </x:row>
    <x:row r="12" ht="30" customHeight="1">
      <x:c r="A12" s="41" t="str">
        <x:v>P038</x:v>
      </x:c>
      <x:c r="B12" s="41" t="str">
        <x:v>B6 Zócalo retranqueado (dos tramos)</x:v>
      </x:c>
      <x:c r="C12" s="41" t="str">
        <x:v>1275 × 97</x:v>
      </x:c>
      <x:c r="D12" s="41" t="str">
        <x:v>Validar máquina/canteado y fijación; no omitir protección de bordes.</x:v>
      </x:c>
      <x:c r="E12" s="41"/>
      <x:c r="F12" s="41"/>
      <x:c r="G12" s="41"/>
      <x:c r="H12" s="41"/>
      <x:c r="I12" s="41"/>
    </x:row>
    <x:row r="13" ht="30" customHeight="1">
      <x:c r="A13" s="41" t="str">
        <x:v>P060</x:v>
      </x:c>
      <x:c r="B13" s="41" t="str">
        <x:v>S4 Listón inferior delantero</x:v>
      </x:c>
      <x:c r="C13" s="41" t="str">
        <x:v>685 × 60</x:v>
      </x:c>
      <x:c r="D13" s="41" t="str">
        <x:v>Validar máquina/canteado y fijación; no omitir protección de bordes.</x:v>
      </x:c>
      <x:c r="E13" s="41"/>
      <x:c r="F13" s="41"/>
      <x:c r="G13" s="41"/>
      <x:c r="H13" s="41"/>
      <x:c r="I13" s="41"/>
    </x:row>
    <x:row r="14" ht="30" customHeight="1">
      <x:c r="A14" s="41" t="str">
        <x:v>P061</x:v>
      </x:c>
      <x:c r="B14" s="41" t="str">
        <x:v>S4 Listón inferior trasero</x:v>
      </x:c>
      <x:c r="C14" s="41" t="str">
        <x:v>685 × 80</x:v>
      </x:c>
      <x:c r="D14" s="41" t="str">
        <x:v>Validar máquina/canteado y fijación; no omitir protección de bordes.</x:v>
      </x:c>
      <x:c r="E14" s="41"/>
      <x:c r="F14" s="41"/>
      <x:c r="G14" s="41"/>
      <x:c r="H14" s="41"/>
      <x:c r="I14" s="41"/>
    </x:row>
    <x:row r="15" ht="48" customHeight="1">
      <x:c r="A15" s="41" t="str">
        <x:v>P071</x:v>
      </x:c>
      <x:c r="B15" s="41" t="str">
        <x:v>S2 faja de agarre</x:v>
      </x:c>
      <x:c r="C15" s="41" t="str">
        <x:v>570 × 60</x:v>
      </x:c>
      <x:c r="D15" s="41" t="str">
        <x:v>Faja fija, no perfil gola metálico. Canto de 2 mm en borde largo de agarre; validar mecanizado de 60 mm.</x:v>
      </x:c>
      <x:c r="E15" s="41"/>
      <x:c r="F15" s="41"/>
      <x:c r="G15" s="41"/>
      <x:c r="H15" s="41"/>
      <x:c r="I15" s="41"/>
    </x:row>
    <x:row r="16" ht="48" customHeight="1">
      <x:c r="A16" s="100" t="str">
        <x:v>P072–P074</x:v>
      </x:c>
      <x:c r="B16" s="100" t="str">
        <x:v>B4 bastidor provisional</x:v>
      </x:c>
      <x:c r="C16" s="100" t="str">
        <x:v>Plataforma + 4 listones</x:v>
      </x:c>
      <x:c r="D16" s="100" t="str">
        <x:v>Todo canto 0,45; confirmar dimensiones con riel y bandeja antes de cantear.</x:v>
      </x:c>
    </x:row>
  </x:sheetData>
  <x:mergeCells>
    <x:mergeCell ref="A7:I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8671875" defaultRowHeight="14.399999618530273"/>
  <x:cols>
    <x:col min="1" max="1" width="16" hidden="0" customWidth="1"/>
    <x:col min="2" max="2" width="30" hidden="0" customWidth="1"/>
    <x:col min="3" max="3" width="125" hidden="0" customWidth="1"/>
    <x:col min="4" max="4" width="26" hidden="0" customWidth="1"/>
    <x:col min="5" max="5" width="78" hidden="0" customWidth="1"/>
  </x:cols>
  <x:sheetData>
    <x:row r="1" ht="30" customHeight="1">
      <x:c r="A1" s="41"/>
      <x:c r="B1" s="41"/>
      <x:c r="C1" s="41"/>
      <x:c r="D1" s="41"/>
      <x:c r="E1" s="41"/>
    </x:row>
    <x:row r="2" ht="30" customHeight="1">
      <x:c r="A2" s="41" t="str">
        <x:v>Revisión · alternativa 260</x:v>
      </x:c>
      <x:c r="B2" s="41"/>
      <x:c r="C2" s="41"/>
      <x:c r="D2" s="41"/>
      <x:c r="E2" s="41"/>
    </x:row>
    <x:row r="3" ht="30" customHeight="1">
      <x:c r="A3" s="41"/>
      <x:c r="B3" s="41"/>
      <x:c r="C3" s="41"/>
      <x:c r="D3" s="41"/>
      <x:c r="E3" s="41"/>
    </x:row>
    <x:row r="4" ht="42" customHeight="1">
      <x:c r="A4" s="75" t="str">
        <x:v>Estado</x:v>
      </x:c>
      <x:c r="B4" s="75" t="str">
        <x:v>Tema</x:v>
      </x:c>
      <x:c r="C4" s="75" t="str">
        <x:v>Cambio o acción</x:v>
      </x:c>
      <x:c r="D4" s="75" t="str">
        <x:v>Ubicación</x:v>
      </x:c>
      <x:c r="E4" s="75" t="str">
        <x:v>Base / fuente</x:v>
      </x:c>
    </x:row>
    <x:row r="5" ht="72" customHeight="1">
      <x:c r="A5" s="41" t="str">
        <x:v>Aplicado</x:v>
      </x:c>
      <x:c r="B5" s="41" t="str">
        <x:v>Distribución</x:v>
      </x:c>
      <x:c r="C5" s="41" t="str">
        <x:v>150 + 600 + 700 + 700 + 400 = 2550. Terminal 15 y vuelos 15/20: mesón 2600; 200 libres a ambos extremos del muro.</x:v>
      </x:c>
      <x:c r="D5" s="41" t="str">
        <x:v>B1/B2/B3/B5/B4</x:v>
      </x:c>
      <x:c r="E5" s="41" t="str">
        <x:v>Dibujo y decisiones del usuario 26/10/2026</x:v>
      </x:c>
    </x:row>
    <x:row r="6" ht="72" customHeight="1">
      <x:c r="A6" s="41" t="str">
        <x:v>Aplicado</x:v>
      </x:c>
      <x:c r="B6" s="41" t="str">
        <x:v>Puertas y cubiertero</x:v>
      </x:c>
      <x:c r="C6" s="41" t="str">
        <x:v>B3 conserva solo un cajón arriba y dos puertas abajo con entrepaño. Caja 643 × 550; base inferior de 15, paredes 75, interior 613 × 520.</x:v>
      </x:c>
      <x:c r="D6" s="41" t="str">
        <x:v>B3</x:v>
      </x:c>
      <x:c r="E6" s="41" t="str">
        <x:v>Medidas calculadas con vano 670 y descuento de riel 27</x:v>
      </x:c>
    </x:row>
    <x:row r="7" ht="72" customHeight="1">
      <x:c r="A7" s="41" t="str">
        <x:v>Aplicado</x:v>
      </x:c>
      <x:c r="B7" s="41" t="str">
        <x:v>Basurero separado</x:v>
      </x:c>
      <x:c r="C7" s="41" t="str">
        <x:v>Puerta superior 402 × 397 con bisagras; frente inferior 302 × 397 extraíble. Entrepaño fijo y=425–440; los 215 mm del recipiente no incluyen mecanismo ni holgura.</x:v>
      </x:c>
      <x:c r="D7" s="41" t="str">
        <x:v>B4</x:v>
      </x:c>
      <x:c r="E7" s="41" t="str">
        <x:v>HSO688-00 · usuario</x:v>
      </x:c>
    </x:row>
    <x:row r="8" ht="100" customHeight="1">
      <x:c r="A8" s="41" t="str">
        <x:v>Pendiente</x:v>
      </x:c>
      <x:c r="B8" s="41" t="str">
        <x:v>Mecanismo basurero</x:v>
      </x:c>
      <x:c r="C8" s="41" t="str">
        <x:v>Elegido HRE126-55: 12.560 COP/par, cierre normal 38 kg. P072–P074 PROVISIONALES: plataforma 343 × 550, 2 largueros 550 × 60 y 2 travesaños 313 × 60 debajo. Ancho supone 27 mm de descuento aún NO confirmado para este riel. Validar bandeja real y fijación rígida del frente.</x:v>
      </x:c>
      <x:c r="D8" s="41" t="str">
        <x:v>B4; Compras</x:v>
      </x:c>
      <x:c r="E8" s="41" t="str">
        <x:v>Precio consultado 26/10/2026 para variante 55 cm. Incluye par y 12 tornillos. Montaje lateral VERTICAL en largueros inferiores, no acostado. Descuento de ancho, altura y perforación pendientes de ficha HRE126. https://madecentro.com/products/riel-corredera-para-cajon-de-extension-total-carga-media-38-kg?variant=45720301699302</x:v>
      </x:c>
    </x:row>
    <x:row r="9" ht="72" customHeight="1">
      <x:c r="A9" s="41" t="str">
        <x:v>Pendiente</x:v>
      </x:c>
      <x:c r="B9" s="41" t="str">
        <x:v>Nicho y ventilación horno</x:v>
      </x:c>
      <x:c r="C9" s="41" t="str">
        <x:v>Módulo exterior 600 con vano de caja 570. Haceb publica ruteo 540 × 540 × 605; ajustar tapetas, apoyos y ventilación según manual exacto antes de cortar. No asumir hueco 600 ni ensanchar a 650 por el frente.</x:v>
      </x:c>
      <x:c r="D9" s="41" t="str">
        <x:v>B2</x:v>
      </x:c>
      <x:c r="E9" s="41" t="str">
        <x:v>https://www.haceb.com/horno-mixto-60-cm-pa-inox-negro-gas-natural-120v-haceb-9003167/p</x:v>
      </x:c>
    </x:row>
    <x:row r="10" ht="72" customHeight="1">
      <x:c r="A10" s="41" t="str">
        <x:v>Pendiente</x:v>
      </x:c>
      <x:c r="B10" s="41" t="str">
        <x:v>Recorte y apoyo de mesón</x:v>
      </x:c>
      <x:c r="C10" s="41" t="str">
        <x:v>Lavaplatos exterior 550 × 430, apertura 3D 490 × 370, centro x2030/z310. Plantilla Socoda y marmolero mandan. Corte estufa aún por manual; placa de 15 mm.</x:v>
      </x:c>
      <x:c r="D10" s="41" t="str">
        <x:v>B2/B5</x:v>
      </x:c>
      <x:c r="E10" s="41" t="str">
        <x:v>Se conserva equipo Socoda AS350; geometría ilustrativa</x:v>
      </x:c>
    </x:row>
    <x:row r="11" ht="72" customHeight="1">
      <x:c r="A11" s="41" t="str">
        <x:v>Pendiente</x:v>
      </x:c>
      <x:c r="B11" s="41" t="str">
        <x:v>Entrepaño bajo lavaplatos</x:v>
      </x:c>
      <x:c r="C11" s="41" t="str">
        <x:v>Entrepaño 668 × 520 removible; cortar y sellar rebaje de sifón y tuberías en obra. No poner división vertical que atraviese la cubeta. Sin HSO228-90R.</x:v>
      </x:c>
      <x:c r="D11" s="41" t="str">
        <x:v>B5</x:v>
      </x:c>
      <x:c r="E11" s="41" t="str">
        <x:v>Distribución propuesta del usuario</x:v>
      </x:c>
    </x:row>
    <x:row r="12" ht="72" customHeight="1">
      <x:c r="A12" s="41" t="str">
        <x:v>Pendiente</x:v>
      </x:c>
      <x:c r="B12" s="41" t="str">
        <x:v>Anclaje superior</x:v>
      </x:c>
      <x:c r="C12" s="41" t="str">
        <x:v>5 pares de colgadores; escoger riel y fijaciones según muro real/cargas. Comprobar su cabida en luz 135 de S1. No hay listón a 45° dimensionado.</x:v>
      </x:c>
      <x:c r="D12" s="41" t="str">
        <x:v>S1–S5</x:v>
      </x:c>
      <x:c r="E12" s="41" t="str">
        <x:v>No existe cálculo de cargas del muro</x:v>
      </x:c>
    </x:row>
    <x:row r="13" ht="72" customHeight="1">
      <x:c r="A13" s="41" t="str">
        <x:v>Aplicado</x:v>
      </x:c>
      <x:c r="B13" s="41" t="str">
        <x:v>Apoyo inferior</x:v>
      </x:c>
      <x:c r="C13" s="41" t="str">
        <x:v>24 patas previstas: 20 básicas en cinco módulos y cuatro refuerzos. Fijación al muro contra desplazamiento por definir; no son muebles suspendidos.</x:v>
      </x:c>
      <x:c r="D13" s="41" t="str">
        <x:v>Bajos</x:v>
      </x:c>
      <x:c r="E13" s="41" t="str">
        <x:v>Alcance de patas conservado</x:v>
      </x:c>
    </x:row>
    <x:row r="14" ht="72" customHeight="1">
      <x:c r="A14" s="41" t="str">
        <x:v>Pendiente</x:v>
      </x:c>
      <x:c r="B14" s="41" t="str">
        <x:v>Platero</x:v>
      </x:c>
      <x:c r="C14" s="41" t="str">
        <x:v>Se conserva S4 exterior715/luz685 y herraje680 ×245, 7 kg máximo. Cuatro pines Ø10 se marcan con el herraje en obra; sin perforación de fábrica.</x:v>
      </x:c>
      <x:c r="D14" s="41" t="str">
        <x:v>S4</x:v>
      </x:c>
      <x:c r="E14" s="41" t="str">
        <x:v>Ficha previa descrita por usuario</x:v>
      </x:c>
    </x:row>
    <x:row r="15" ht="72" customHeight="1">
      <x:c r="A15" s="41" t="str">
        <x:v>Aplicado</x:v>
      </x:c>
      <x:c r="B15" s="41" t="str">
        <x:v>Campana alineada</x:v>
      </x:c>
      <x:c r="C15" s="41" t="str">
        <x:v>S2 y B2 x380–980. Centro x680. S1 se reduce a 165; S3 685, S4 715, S5 400.</x:v>
      </x:c>
      <x:c r="D15" s="41" t="str">
        <x:v>Superiores</x:v>
      </x:c>
      <x:c r="E15" s="41" t="str">
        <x:v>Nueva distribución</x:v>
      </x:c>
    </x:row>
    <x:row r="16" ht="72" customHeight="1">
      <x:c r="A16" s="41" t="str">
        <x:v>Pendiente</x:v>
      </x:c>
      <x:c r="B16" s="41" t="str">
        <x:v>Optimización tablero y cortes</x:v>
      </x:c>
      <x:c r="C16" s="41" t="str">
        <x:v>Previsión 4 láminas RH15 y 1 fondo6. 85 piezas de 15 y 9 fondos; incluye cinco piezas provisionales del bastidor B4. Confirmar medidas internas antes de optimizar con veta, disco y refilado.</x:v>
      </x:c>
      <x:c r="D16" s="41" t="str">
        <x:v>Despiece/Cantos/Compras</x:v>
      </x:c>
      <x:c r="E16" s="41" t="str">
        <x:v>No se traslada el encaje verificado de la versión anterior</x:v>
      </x:c>
    </x:row>
    <x:row r="17" ht="72" customHeight="1">
      <x:c r="A17" s="41" t="str">
        <x:v>Aplicado</x:v>
      </x:c>
      <x:c r="B17" s="41" t="str">
        <x:v>Precios solicitados</x:v>
      </x:c>
      <x:c r="C17" s="41" t="str">
        <x:v>Condimentero HSO317-15R 122.902 COP y basurero HSO688-00 109.700 COP. Quitar antiguo HSO460-30 y canasta HSO228-90R. Rieles B3 pasan de tres pares a uno.</x:v>
      </x:c>
      <x:c r="D17" s="41" t="str">
        <x:v>Compras</x:v>
      </x:c>
      <x:c r="E17" s="41" t="str">
        <x:v>Precios aportados por usuario 26/10/2026</x:v>
      </x:c>
    </x:row>
    <x:row r="18" ht="72" customHeight="1">
      <x:c r="A18" s="41" t="str">
        <x:v>Pendiente</x:v>
      </x:c>
      <x:c r="B18" s="41" t="str">
        <x:v>Escurridor y gola</x:v>
      </x:c>
      <x:c r="C18" s="41" t="str">
        <x:v>Escurridor ilustrativo 375 ×400 sobre zona derecha; elegir medida real y bandeja antigoteo. Gola superior 1950 y media 1100; remates, esquinas y unión a frentes por proveedor.</x:v>
      </x:c>
      <x:c r="D18" s="41" t="str">
        <x:v>B4; mesón</x:v>
      </x:c>
      <x:c r="E18" s="41" t="str">
        <x:v>Accesorio de referencia, precio pendiente</x:v>
      </x:c>
    </x:row>
    <x:row r="19" ht="72" customHeight="1">
      <x:c r="A19" s="41" t="str">
        <x:v>Pendiente</x:v>
      </x:c>
      <x:c r="B19" s="41" t="str">
        <x:v>Armado y unión base B3</x:v>
      </x:c>
      <x:c r="C19" s="41" t="str">
        <x:v>Base de cajón aplicada por debajo. Proveedor define pretaladro, uniones y refuerzos según carga; no hay cálculo estructural. Proteger recortes y cantos del área húmeda.</x:v>
      </x:c>
      <x:c r="D19" s="41" t="str">
        <x:v>B3/B5</x:v>
      </x:c>
      <x:c r="E19" s="41" t="str">
        <x:v>Detalles de fabricación por validar</x:v>
      </x:c>
    </x:row>
    <x:row r="20" ht="90" customHeight="1">
      <x:c r="A20" s="41" t="str">
        <x:v>Aplicado</x:v>
      </x:c>
      <x:c r="B20" s="41" t="str">
        <x:v>Abatible sobre campana</x:v>
      </x:c>
      <x:c r="C20" s="41" t="str">
        <x:v>Puerta S2 347 × 597, bisagras en borde superior; abre hacia arriba a 90°. Faja fija 570 × 60, x395–965/z286–301/y1770–1830. Reverso puerta z326: retranqueo 25. Piso sube a y1840–1855 para acceso de dedos.</x:v>
      </x:c>
      <x:c r="D20" s="41" t="str">
        <x:v>S2; P047/P049/P071</x:v>
      </x:c>
      <x:c r="E20" s="41" t="str">
        <x:v>Fotos del usuario 26/10/2026; geometría propuesta</x:v>
      </x:c>
    </x:row>
    <x:row r="21" ht="90" customHeight="1">
      <x:c r="A21" s="41" t="str">
        <x:v>Pendiente</x:v>
      </x:c>
      <x:c r="B21" s="41" t="str">
        <x:v>Brazos y montaje S2</x:v>
      </x:c>
      <x:c r="C21" s="41" t="str">
        <x:v>2 HEC060-03 grises a 9.126 COP/u: 18.252. Requiere bisagras, ya contempladas. Peso aproximado 2,07 kg aportado por usuario; confirmar con puerta real y tabla por altura, fuerza y cotas del fabricante. Mantener espacio central de ducto y ventilación de campana; no usar el 3D como plantilla de taladros.</x:v>
      </x:c>
      <x:c r="D21" s="41" t="str">
        <x:v>Herrajes 18; Compras 31</x:v>
      </x:c>
      <x:c r="E21" s="41" t="str">
        <x:v>https://madecentro.com/products/hec060-03-brazo-neumatico-cierre-lento-60n</x:v>
      </x:c>
    </x:row>
    <x:row r="22" ht="100" customHeight="1">
      <x:c r="A22" s="41" t="str">
        <x:v>Pendiente</x:v>
      </x:c>
      <x:c r="B22" s="41" t="str">
        <x:v>Golas y sus fijaciones</x:v>
      </x:c>
      <x:c r="C22" s="41" t="str">
        <x:v>4 tramos: superior 150 y 1800; media 700 y 400. Previsión 10 fijaciones: 8 en extremos + 2 intermedias en superior largo. Precio 2.998 COP/u aportado por usuario y consultado. Confirmar referencia compatible y distribución con fabricante; sin separación certificada.</x:v>
      </x:c>
      <x:c r="D22" s="41" t="str">
        <x:v>Herrajes 19; Compras 32</x:v>
      </x:c>
      <x:c r="E22" s="41" t="str">
        <x:v>https://madecentro.com/products/escuadra-para-perfil-gola-peralm63-64</x:v>
      </x:c>
    </x:row>
    <x:row r="23" ht="100" customHeight="1">
      <x:c r="A23" s="41" t="str">
        <x:v>Pendiente</x:v>
      </x:c>
      <x:c r="B23" s="41" t="str">
        <x:v>Ajuste interno bastidor basurero</x:v>
      </x:c>
      <x:c r="C23" s="41" t="str">
        <x:v>Plataforma y180–195, bastidor y120–180; bandeja y195–410; entrepaño empieza y425: holgura superior ilustrativa 15 mm y piso a bastidor 5 mm. Ajustar internamente al riel real; fachada y frentes sin cambios. Riel montado vertical, no acostado. Bandeja apoyada, no colgada por pestaña.</x:v>
      </x:c>
      <x:c r="D23" s="41" t="str">
        <x:v>B4; P072–P074</x:v>
      </x:c>
      <x:c r="E23" s="41" t="str">
        <x:v>Medidas ilustrativas; confirmar montaje con piezas reales</x:v>
      </x:c>
    </x:row>
    <x:row r="24" ht="100.05000305175781" customHeight="1">
      <x:c r="A24" s="24"/>
      <x:c r="B24" s="24"/>
      <x:c r="C24" s="24"/>
      <x:c r="D24" s="24"/>
      <x:c r="E24" s="24"/>
    </x:row>
    <x:row r="25" ht="100.05000305175781" customHeight="1">
      <x:c r="A25" s="24"/>
      <x:c r="B25" s="24"/>
      <x:c r="C25" s="24"/>
      <x:c r="D25" s="24"/>
      <x:c r="E25" s="24"/>
    </x:row>
    <x:row r="26" ht="100.05000305175781" customHeight="1">
      <x:c r="A26" s="24"/>
      <x:c r="B26" s="24"/>
      <x:c r="C26" s="24"/>
      <x:c r="D26" s="24"/>
      <x:c r="E26" s="24"/>
    </x:row>
    <x:row r="27" ht="100.05000305175781" customHeight="1">
      <x:c r="A27" s="24"/>
      <x:c r="B27" s="24"/>
      <x:c r="C27" s="24"/>
      <x:c r="D27" s="24"/>
      <x:c r="E27" s="24"/>
    </x:row>
    <x:row r="28" ht="100.05000305175781" customHeight="1">
      <x:c r="A28" s="24"/>
      <x:c r="B28" s="24"/>
      <x:c r="C28" s="24"/>
      <x:c r="D28" s="24"/>
      <x:c r="E28" s="24"/>
    </x:row>
    <x:row r="29" ht="100.05000305175781" customHeight="1">
      <x:c r="A29" s="24"/>
      <x:c r="B29" s="24"/>
      <x:c r="C29" s="24"/>
      <x:c r="D29" s="24"/>
      <x:c r="E29" s="24"/>
    </x:row>
    <x:row r="30" ht="100.05000305175781" customHeight="1">
      <x:c r="A30" s="24"/>
      <x:c r="B30" s="24"/>
      <x:c r="C30" s="24"/>
      <x:c r="D30" s="24"/>
      <x:c r="E30" s="24"/>
    </x:row>
    <x:row r="31" ht="100.05000305175781" customHeight="1">
      <x:c r="A31" s="24"/>
      <x:c r="B31" s="24"/>
      <x:c r="C31" s="24"/>
      <x:c r="D31" s="24"/>
      <x:c r="E31" s="24"/>
    </x:row>
    <x:row r="32" ht="100.05000305175781" customHeight="1">
      <x:c r="A32" s="24"/>
      <x:c r="B32" s="24"/>
      <x:c r="C32" s="24"/>
      <x:c r="D32" s="24"/>
      <x:c r="E32" s="24"/>
    </x:row>
    <x:row r="33" ht="100.05000305175781" customHeight="1">
      <x:c r="A33" s="24"/>
      <x:c r="B33" s="24"/>
      <x:c r="C33" s="24"/>
      <x:c r="D33" s="24"/>
      <x:c r="E33" s="24"/>
    </x:row>
    <x:row r="34" ht="100.05000305175781" customHeight="1">
      <x:c r="A34" s="21"/>
      <x:c r="B34" s="21"/>
      <x:c r="C34" s="21"/>
      <x:c r="D34" s="21"/>
      <x:c r="E34" s="21"/>
    </x:row>
    <x:row r="35" ht="100.05000305175781" customHeight="1">
      <x:c r="A35" s="21"/>
      <x:c r="B35" s="21"/>
      <x:c r="C35" s="21"/>
      <x:c r="D35" s="21"/>
      <x:c r="E35" s="21"/>
    </x:row>
    <x:row r="36" ht="72" customHeight="1">
      <x:c r="A36" s="21"/>
      <x:c r="B36" s="21"/>
      <x:c r="C36" s="21"/>
      <x:c r="D36" s="21"/>
      <x:c r="E36" s="21"/>
    </x:row>
    <x:row r="37" ht="72" customHeight="1">
      <x:c r="A37" s="21"/>
      <x:c r="B37" s="21"/>
      <x:c r="C37" s="21"/>
      <x:c r="D37" s="21"/>
      <x:c r="E37" s="21"/>
    </x:row>
  </x:sheetData>
  <x:conditionalFormatting sqref="A5:A21">
    <x:cfRule type="containsText" dxfId="0" priority="1" operator="containsText" text="Pendien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baseColWidth="10" defaultColWidth="8.88671875" defaultRowHeight="14.399999618530273"/>
  <x:cols>
    <x:col min="1" max="1" width="44" hidden="0" customWidth="1"/>
    <x:col min="2" max="6" width="17" customWidth="1"/>
    <x:col min="7" max="7" width="120" hidden="0" customWidth="1"/>
    <x:col min="8" max="8" width="35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41"/>
      <x:c r="B1" s="41"/>
      <x:c r="C1" s="41"/>
      <x:c r="D1" s="41"/>
      <x:c r="E1" s="41"/>
      <x:c r="F1" s="41"/>
      <x:c r="G1" s="41"/>
      <x:c r="H1" s="41"/>
    </x:row>
    <x:row r="2" ht="30" customHeight="1">
      <x:c r="A2" s="41" t="str">
        <x:v>Alternativa 260 · condimentero, puertas y basurero</x:v>
      </x:c>
      <x:c r="B2" s="41"/>
      <x:c r="C2" s="41"/>
      <x:c r="D2" s="41"/>
      <x:c r="E2" s="41"/>
      <x:c r="F2" s="41"/>
      <x:c r="G2" s="41"/>
      <x:c r="H2" s="41"/>
    </x:row>
    <x:row r="3" ht="30" customHeight="1">
      <x:c r="A3" s="41" t="str">
        <x:v>Muro (mm)</x:v>
      </x:c>
      <x:c r="B3" s="98" t="n">
        <x:v>3000</x:v>
      </x:c>
      <x:c r="C3" s="41"/>
      <x:c r="D3" s="41"/>
      <x:c r="E3" s="41"/>
      <x:c r="F3" s="41"/>
      <x:c r="G3" s="41"/>
      <x:c r="H3" s="41"/>
    </x:row>
    <x:row r="4" ht="30" customHeight="1">
      <x:c r="A4" s="41" t="str">
        <x:v>Mesón (mm)</x:v>
      </x:c>
      <x:c r="B4" s="98" t="n">
        <x:v>2600</x:v>
      </x:c>
      <x:c r="C4" s="41"/>
      <x:c r="D4" s="41"/>
      <x:c r="E4" s="41"/>
      <x:c r="F4" s="41"/>
      <x:c r="G4" s="41"/>
      <x:c r="H4" s="41"/>
    </x:row>
    <x:row r="5" ht="30" customHeight="1">
      <x:c r="A5" s="41" t="str">
        <x:v>Separación a esquina (mm)</x:v>
      </x:c>
      <x:c r="B5" s="98" t="n">
        <x:v>200</x:v>
      </x:c>
      <x:c r="C5" s="41"/>
      <x:c r="D5" s="41"/>
      <x:c r="E5" s="41"/>
      <x:c r="F5" s="41"/>
      <x:c r="G5" s="41"/>
      <x:c r="H5" s="41"/>
    </x:row>
    <x:row r="6" ht="30" customHeight="1">
      <x:c r="A6" s="41" t="str">
        <x:v>Inicio mesón (mm)</x:v>
      </x:c>
      <x:c r="B6" s="41" t="n">
        <x:f>B3-B5-B4</x:f>
        <x:v>200</x:v>
      </x:c>
      <x:c r="C6" s="41"/>
      <x:c r="D6" s="41"/>
      <x:c r="E6" s="41"/>
      <x:c r="F6" s="41"/>
      <x:c r="G6" s="41"/>
      <x:c r="H6" s="41"/>
    </x:row>
    <x:row r="7" ht="30" customHeight="1">
      <x:c r="A7" s="41" t="str">
        <x:v>Final mesón (mm)</x:v>
      </x:c>
      <x:c r="B7" s="41" t="n">
        <x:f>B3-B5</x:f>
        <x:v>2800</x:v>
      </x:c>
      <x:c r="C7" s="41"/>
      <x:c r="D7" s="41"/>
      <x:c r="E7" s="41"/>
      <x:c r="F7" s="41"/>
      <x:c r="G7" s="41"/>
      <x:c r="H7" s="41"/>
    </x:row>
    <x:row r="8" ht="30" customHeight="1">
      <x:c r="A8" s="41" t="str">
        <x:v>Vuelo lado libre (mm)</x:v>
      </x:c>
      <x:c r="B8" s="98" t="n">
        <x:v>15</x:v>
      </x:c>
      <x:c r="C8" s="41"/>
      <x:c r="D8" s="41"/>
      <x:c r="E8" s="41"/>
      <x:c r="F8" s="41"/>
      <x:c r="G8" s="41"/>
      <x:c r="H8" s="41"/>
    </x:row>
    <x:row r="9" ht="30" customHeight="1">
      <x:c r="A9" s="41"/>
      <x:c r="B9" s="41"/>
      <x:c r="C9" s="41"/>
      <x:c r="D9" s="41"/>
      <x:c r="E9" s="41"/>
      <x:c r="F9" s="41"/>
      <x:c r="G9" s="41"/>
      <x:c r="H9" s="41"/>
    </x:row>
    <x:row r="10" ht="30" customHeight="1">
      <x:c r="A10" s="41"/>
      <x:c r="B10" s="41"/>
      <x:c r="C10" s="41"/>
      <x:c r="D10" s="41"/>
      <x:c r="E10" s="41"/>
      <x:c r="F10" s="41"/>
      <x:c r="G10" s="41"/>
      <x:c r="H10" s="41"/>
    </x:row>
    <x:row r="11" ht="42" customHeight="1">
      <x:c r="A11" s="75" t="str">
        <x:v>Elemento</x:v>
      </x:c>
      <x:c r="B11" s="75" t="str">
        <x:v>Inicio x (mm)</x:v>
      </x:c>
      <x:c r="C11" s="75" t="str">
        <x:v>Final x (mm)</x:v>
      </x:c>
      <x:c r="D11" s="75" t="str">
        <x:v>Ancho (mm)</x:v>
      </x:c>
      <x:c r="E11" s="75" t="str">
        <x:v>Alto (mm)</x:v>
      </x:c>
      <x:c r="F11" s="75" t="str">
        <x:v>Fondo (mm)</x:v>
      </x:c>
      <x:c r="G11" s="75" t="str">
        <x:v>Colocación</x:v>
      </x:c>
      <x:c r="H11" s="75" t="str">
        <x:v>Origen</x:v>
      </x:c>
    </x:row>
    <x:row r="12" ht="62" customHeight="1">
      <x:c r="A12" s="41" t="str">
        <x:v>Mesón</x:v>
      </x:c>
      <x:c r="B12" s="49" t="n">
        <x:f>B6</x:f>
        <x:v>200</x:v>
      </x:c>
      <x:c r="C12" s="49" t="n">
        <x:f>B7</x:f>
        <x:v>2800</x:v>
      </x:c>
      <x:c r="D12" s="49" t="n">
        <x:f>B4</x:f>
        <x:v>2600</x:v>
      </x:c>
      <x:c r="E12" s="49" t="n">
        <x:v>15</x:v>
      </x:c>
      <x:c r="F12" s="49" t="n">
        <x:v>620</x:v>
      </x:c>
      <x:c r="G12" s="41" t="str">
        <x:v>Cara inferior 885; superior 900.</x:v>
      </x:c>
      <x:c r="H12" s="41" t="str">
        <x:v>Mesón seleccionado</x:v>
      </x:c>
    </x:row>
    <x:row r="13" ht="62" customHeight="1">
      <x:c r="A13" s="41" t="str">
        <x:v>B6 Costado</x:v>
      </x:c>
      <x:c r="B13" s="49" t="n">
        <x:v>215</x:v>
      </x:c>
      <x:c r="C13" s="49" t="n">
        <x:v>230</x:v>
      </x:c>
      <x:c r="D13" s="49" t="n">
        <x:v>15</x:v>
      </x:c>
      <x:c r="E13" s="49" t="n">
        <x:v>882</x:v>
      </x:c>
      <x:c r="F13" s="49" t="n">
        <x:v>595</x:v>
      </x:c>
      <x:c r="G13" s="41" t="str">
        <x:v>Elevado 3 mm del piso.</x:v>
      </x:c>
      <x:c r="H13" s="41" t="str">
        <x:v>Despiece</x:v>
      </x:c>
    </x:row>
    <x:row r="14" ht="62" customHeight="1">
      <x:c r="A14" s="41" t="str">
        <x:v>B1 Condimentero 15</x:v>
      </x:c>
      <x:c r="B14" s="49" t="n">
        <x:v>230</x:v>
      </x:c>
      <x:c r="C14" s="49" t="n">
        <x:v>380</x:v>
      </x:c>
      <x:c r="D14" s="49" t="n">
        <x:v>150</x:v>
      </x:c>
      <x:c r="E14" s="49" t="n">
        <x:v>785</x:v>
      </x:c>
      <x:c r="F14" s="49" t="n">
        <x:v>580</x:v>
      </x:c>
      <x:c r="G14" s="41" t="str">
        <x:v>HSO317-15R: módulo 150, herraje 100 × 446 × 470. Rieles y enganches incluidos; montaje por ficha.</x:v>
      </x:c>
      <x:c r="H14" s="41" t="str">
        <x:v>Despiece de esta alternativa</x:v>
      </x:c>
    </x:row>
    <x:row r="15" ht="62" customHeight="1">
      <x:c r="A15" s="41" t="str">
        <x:v>B2 Horno y estufa 60</x:v>
      </x:c>
      <x:c r="B15" s="49" t="n">
        <x:v>380</x:v>
      </x:c>
      <x:c r="C15" s="49" t="n">
        <x:v>980</x:v>
      </x:c>
      <x:c r="D15" s="49" t="n">
        <x:v>600</x:v>
      </x:c>
      <x:c r="E15" s="49" t="n">
        <x:v>785</x:v>
      </x:c>
      <x:c r="F15" s="49" t="n">
        <x:v>580</x:v>
      </x:c>
      <x:c r="G15" s="41" t="str">
        <x:v>Horno H60EEVAL005. Vano de caja 570; nicho, tapetas, apoyos y ventilación por manual exacto.</x:v>
      </x:c>
      <x:c r="H15" s="41" t="str">
        <x:v>Despiece de esta alternativa</x:v>
      </x:c>
    </x:row>
    <x:row r="16" ht="62" customHeight="1">
      <x:c r="A16" s="41" t="str">
        <x:v>B3 Cubiertero y puertas 70</x:v>
      </x:c>
      <x:c r="B16" s="49" t="n">
        <x:v>980</x:v>
      </x:c>
      <x:c r="C16" s="49" t="n">
        <x:v>1680</x:v>
      </x:c>
      <x:c r="D16" s="49" t="n">
        <x:v>700</x:v>
      </x:c>
      <x:c r="E16" s="49" t="n">
        <x:v>785</x:v>
      </x:c>
      <x:c r="F16" s="49" t="n">
        <x:v>580</x:v>
      </x:c>
      <x:c r="G16" s="41" t="str">
        <x:v>Un cajón superior: caja 643 × 550, interior 613 × 520. Debajo: dos puertas y un entrepaño regulable.</x:v>
      </x:c>
      <x:c r="H16" s="41" t="str">
        <x:v>Despiece de esta alternativa</x:v>
      </x:c>
    </x:row>
    <x:row r="17" ht="62" customHeight="1">
      <x:c r="A17" s="41" t="str">
        <x:v>B5 Lavaplatos 70</x:v>
      </x:c>
      <x:c r="B17" s="49" t="n">
        <x:v>1680</x:v>
      </x:c>
      <x:c r="C17" s="49" t="n">
        <x:v>2380</x:v>
      </x:c>
      <x:c r="D17" s="49" t="n">
        <x:v>700</x:v>
      </x:c>
      <x:c r="E17" s="49" t="n">
        <x:v>785</x:v>
      </x:c>
      <x:c r="F17" s="49" t="n">
        <x:v>580</x:v>
      </x:c>
      <x:c r="G17" s="41" t="str">
        <x:v>Socoda exterior 550 × 430. Entrepaño desmontable con recorte para sifón en obra; sin canasta HSO228-90R.</x:v>
      </x:c>
      <x:c r="H17" s="41" t="str">
        <x:v>Despiece de esta alternativa</x:v>
      </x:c>
    </x:row>
    <x:row r="18" ht="110" customHeight="1">
      <x:c r="A18" s="41" t="str">
        <x:v>B4 Basurero y puerta 40</x:v>
      </x:c>
      <x:c r="B18" s="49" t="n">
        <x:v>2380</x:v>
      </x:c>
      <x:c r="C18" s="49" t="n">
        <x:v>2780</x:v>
      </x:c>
      <x:c r="D18" s="49" t="n">
        <x:v>400</x:v>
      </x:c>
      <x:c r="E18" s="49" t="n">
        <x:v>785</x:v>
      </x:c>
      <x:c r="F18" s="49" t="n">
        <x:v>580</x:v>
      </x:c>
      <x:c r="G18" s="41" t="str">
        <x:v>Plataforma RH15 sobre bastidor inferior de 60 mm; bandeja 330 × 485 × 215 apoyada y desmontable. P072–P074 provisionales: ancho 343 supone descuento total 27; confirmar HRE126-55, holguras, plantilla real y fijación del frente antes de cortar. Sin cambios de fachada.</x:v>
      </x:c>
      <x:c r="H18" s="41" t="str">
        <x:v>Despiece de esta alternativa</x:v>
      </x:c>
    </x:row>
    <x:row r="19" ht="62" customHeight="1">
      <x:c r="A19" s="41" t="str">
        <x:v>S1 Alacena 16,5</x:v>
      </x:c>
      <x:c r="B19" s="49" t="n">
        <x:v>215</x:v>
      </x:c>
      <x:c r="C19" s="49" t="n">
        <x:v>380</x:v>
      </x:c>
      <x:c r="D19" s="49" t="n">
        <x:v>165</x:v>
      </x:c>
      <x:c r="E19" s="49" t="n">
        <x:v>700</x:v>
      </x:c>
      <x:c r="F19" s="49" t="n">
        <x:v>320</x:v>
      </x:c>
      <x:c r="G19" s="41" t="str">
        <x:v>Caja estrecha de luz 135: verificar cabida de colgadores. Alineada con costado libre y campana.</x:v>
      </x:c>
      <x:c r="H19" s="41" t="str">
        <x:v>Despiece de esta alternativa</x:v>
      </x:c>
    </x:row>
    <x:row r="20" ht="62" customHeight="1">
      <x:c r="A20" s="41" t="str">
        <x:v>S2 Gabinete ducto 60</x:v>
      </x:c>
      <x:c r="B20" s="49" t="n">
        <x:v>380</x:v>
      </x:c>
      <x:c r="C20" s="49" t="n">
        <x:v>980</x:v>
      </x:c>
      <x:c r="D20" s="49" t="n">
        <x:v>600</x:v>
      </x:c>
      <x:c r="E20" s="49" t="n">
        <x:v>350</x:v>
      </x:c>
      <x:c r="F20" s="49" t="n">
        <x:v>320</x:v>
      </x:c>
      <x:c r="G20" s="41" t="str">
        <x:v>Puerta única 347 × 597 abatible 90° hacia arriba, dos bisagras superiores y dos brazos HEC060-03 grises. Faja fija 570 × 60, retranqueada 25 mm respecto al reverso de puerta; piso elevado 40 mm. Montaje, fuerza y ducto por ficha/manual.</x:v>
      </x:c>
      <x:c r="H20" s="41" t="str">
        <x:v>Despiece de esta alternativa</x:v>
      </x:c>
    </x:row>
    <x:row r="21" ht="62" customHeight="1">
      <x:c r="A21" s="41" t="str">
        <x:v>S3 Alacena 68,5</x:v>
      </x:c>
      <x:c r="B21" s="49" t="n">
        <x:v>980</x:v>
      </x:c>
      <x:c r="C21" s="49" t="n">
        <x:v>1665</x:v>
      </x:c>
      <x:c r="D21" s="49" t="n">
        <x:v>685</x:v>
      </x:c>
      <x:c r="E21" s="49" t="n">
        <x:v>700</x:v>
      </x:c>
      <x:c r="F21" s="49" t="n">
        <x:v>320</x:v>
      </x:c>
      <x:c r="G21" s="41" t="str">
        <x:v>División central; dos entrepaños regulables y dos puertas.</x:v>
      </x:c>
      <x:c r="H21" s="41" t="str">
        <x:v>Despiece de esta alternativa</x:v>
      </x:c>
    </x:row>
    <x:row r="22" ht="62" customHeight="1">
      <x:c r="A22" s="41" t="str">
        <x:v>S4 Platero 71,5</x:v>
      </x:c>
      <x:c r="B22" s="49" t="n">
        <x:v>1665</x:v>
      </x:c>
      <x:c r="C22" s="49" t="n">
        <x:v>2380</x:v>
      </x:c>
      <x:c r="D22" s="49" t="n">
        <x:v>715</x:v>
      </x:c>
      <x:c r="E22" s="49" t="n">
        <x:v>700</x:v>
      </x:c>
      <x:c r="F22" s="49" t="n">
        <x:v>320</x:v>
      </x:c>
      <x:c r="G22" s="41" t="str">
        <x:v>HSO566-03G 680 × 245 en luz 685. Se conserva herraje, 7 kg máx.; taladros en obra.</x:v>
      </x:c>
      <x:c r="H22" s="41" t="str">
        <x:v>Despiece de esta alternativa</x:v>
      </x:c>
    </x:row>
    <x:row r="23" ht="62" customHeight="1">
      <x:c r="A23" s="41" t="str">
        <x:v>S5 Alacena 40</x:v>
      </x:c>
      <x:c r="B23" s="49" t="n">
        <x:v>2380</x:v>
      </x:c>
      <x:c r="C23" s="49" t="n">
        <x:v>2780</x:v>
      </x:c>
      <x:c r="D23" s="49" t="n">
        <x:v>400</x:v>
      </x:c>
      <x:c r="E23" s="49" t="n">
        <x:v>700</x:v>
      </x:c>
      <x:c r="F23" s="49" t="n">
        <x:v>320</x:v>
      </x:c>
      <x:c r="G23" s="41" t="str">
        <x:v>Un entrepaño; sobre la zona del escurridor de mesón.</x:v>
      </x:c>
      <x:c r="H23" s="41" t="str">
        <x:v>Despiece de esta alternativa</x:v>
      </x:c>
    </x:row>
    <x:row r="24" ht="30" customHeight="1">
      <x:c r="A24" s="41"/>
      <x:c r="B24" s="49"/>
      <x:c r="C24" s="49"/>
      <x:c r="D24" s="49"/>
      <x:c r="E24" s="49"/>
      <x:c r="F24" s="49"/>
      <x:c r="G24" s="41"/>
      <x:c r="H24" s="41"/>
    </x:row>
    <x:row r="25" ht="30" customHeight="1">
      <x:c r="A25" s="41" t="str">
        <x:v>Suma módulos inferiores (mm)</x:v>
      </x:c>
      <x:c r="B25" s="49" t="n">
        <x:f>SUM(D14:D18)</x:f>
        <x:v>2550</x:v>
      </x:c>
      <x:c r="C25" s="49"/>
      <x:c r="D25" s="49"/>
      <x:c r="E25" s="49"/>
      <x:c r="F25" s="49"/>
      <x:c r="G25" s="41"/>
      <x:c r="H25" s="41"/>
    </x:row>
    <x:row r="26" ht="30" customHeight="1">
      <x:c r="A26" s="41" t="str">
        <x:v>Terminal y vuelos (mm)</x:v>
      </x:c>
      <x:c r="B26" s="49" t="n">
        <x:v>50</x:v>
      </x:c>
      <x:c r="C26" s="49"/>
      <x:c r="D26" s="49"/>
      <x:c r="E26" s="49"/>
      <x:c r="F26" s="49"/>
      <x:c r="G26" s="41"/>
      <x:c r="H26" s="41"/>
    </x:row>
    <x:row r="27" ht="30" customHeight="1">
      <x:c r="A27" s="41" t="str">
        <x:v>Comprobación mesón (mm)</x:v>
      </x:c>
      <x:c r="B27" s="49" t="n">
        <x:f>B25+B26</x:f>
        <x:v>2600</x:v>
      </x:c>
      <x:c r="C27" s="49"/>
      <x:c r="D27" s="49"/>
      <x:c r="E27" s="49"/>
      <x:c r="F27" s="49"/>
      <x:c r="G27" s="41"/>
      <x:c r="H27" s="41"/>
    </x:row>
    <x:row r="28" ht="30" customHeight="1">
      <x:c r="A28" s="41" t="str">
        <x:v>Piezas RH15</x:v>
      </x:c>
      <x:c r="B28" s="49" t="n">
        <x:v>85</x:v>
      </x:c>
      <x:c r="C28" s="49"/>
      <x:c r="D28" s="49"/>
      <x:c r="E28" s="49"/>
      <x:c r="F28" s="49"/>
      <x:c r="G28" s="41"/>
      <x:c r="H28" s="41"/>
    </x:row>
    <x:row r="29" ht="30" customHeight="1">
      <x:c r="A29" s="41" t="str">
        <x:v>Fondos 6 mm</x:v>
      </x:c>
      <x:c r="B29" s="41" t="n">
        <x:v>9</x:v>
      </x:c>
      <x:c r="C29" s="41"/>
      <x:c r="D29" s="41"/>
      <x:c r="E29" s="41"/>
      <x:c r="F29" s="41"/>
      <x:c r="G29" s="41"/>
      <x:c r="H29" s="41"/>
    </x:row>
    <x:row r="30" ht="30" customHeight="1">
      <x:c r="A30" s="41" t="str">
        <x:v>Las cotas x parten del extremo izquierdo del muro de 3000. Medidas del mesón incluyen los vuelos; anchuras de módulos incluyen ambos costados.</x:v>
      </x:c>
      <x:c r="B30" s="41"/>
      <x:c r="C30" s="41"/>
      <x:c r="D30" s="41"/>
      <x:c r="E30" s="41"/>
      <x:c r="F30" s="41"/>
      <x:c r="G30" s="41"/>
      <x:c r="H30" s="41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</x:sheetData>
  <x:pageMargins left="0.7" right="0.7" top="0.75" bottom="0.75" header="0.3" footer="0.3"/>
</x:worksheet>
</file>