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7e4bb88fb3ffb2f3/Desktop/proyecto_terraza/"/>
    </mc:Choice>
  </mc:AlternateContent>
  <xr:revisionPtr revIDLastSave="228" documentId="11_1010BCAFECFCD321D5BDC7783D3CA87A8D0287D7" xr6:coauthVersionLast="47" xr6:coauthVersionMax="47" xr10:uidLastSave="{5348D65A-8D40-4341-AEFE-74741A86B40C}"/>
  <bookViews>
    <workbookView xWindow="-108" yWindow="-108" windowWidth="23256" windowHeight="13896" xr2:uid="{00000000-000D-0000-FFFF-FFFF00000000}"/>
  </bookViews>
  <sheets>
    <sheet name="Despiece" sheetId="1" r:id="rId1"/>
    <sheet name="Pedido de corte" sheetId="7" r:id="rId2"/>
    <sheet name="Compras" sheetId="3" r:id="rId3"/>
    <sheet name="Cantos" sheetId="2" r:id="rId4"/>
    <sheet name="Pendientes" sheetId="8" r:id="rId5"/>
    <sheet name="Decisiones" sheetId="9"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7" l="1"/>
  <c r="F21" i="3"/>
  <c r="F20" i="3"/>
  <c r="F19" i="3"/>
  <c r="F18" i="3"/>
  <c r="F17" i="3"/>
  <c r="F16" i="3"/>
  <c r="F15" i="3"/>
  <c r="F14" i="3"/>
  <c r="F13" i="3"/>
  <c r="F12" i="3"/>
  <c r="F11" i="3"/>
  <c r="F10" i="3"/>
  <c r="F7" i="3"/>
  <c r="D8" i="2"/>
  <c r="E8" i="2" s="1"/>
  <c r="C8" i="2"/>
  <c r="F8" i="2" s="1"/>
  <c r="H8" i="2" s="1"/>
  <c r="C9" i="3" s="1"/>
  <c r="F9" i="3" s="1"/>
  <c r="D7" i="2"/>
  <c r="E7" i="2" s="1"/>
  <c r="C7" i="2"/>
  <c r="F7" i="2" s="1"/>
  <c r="H7" i="2" s="1"/>
  <c r="C8" i="3" s="1"/>
  <c r="F8" i="3" s="1"/>
  <c r="M30" i="7"/>
  <c r="K30" i="7"/>
  <c r="J30" i="7"/>
  <c r="I30" i="7"/>
  <c r="H30" i="7"/>
  <c r="G30" i="7"/>
  <c r="F30" i="7"/>
  <c r="E30" i="7"/>
  <c r="D30" i="7"/>
  <c r="C30" i="7"/>
  <c r="B30" i="7"/>
  <c r="A30" i="7"/>
  <c r="M29" i="7"/>
  <c r="K29" i="7"/>
  <c r="J29" i="7"/>
  <c r="I29" i="7"/>
  <c r="H29" i="7"/>
  <c r="G29" i="7"/>
  <c r="E29" i="7"/>
  <c r="D29" i="7"/>
  <c r="C29" i="7"/>
  <c r="B29" i="7"/>
  <c r="A29" i="7"/>
  <c r="M28" i="7"/>
  <c r="K28" i="7"/>
  <c r="J28" i="7"/>
  <c r="I28" i="7"/>
  <c r="H28" i="7"/>
  <c r="G28" i="7"/>
  <c r="F28" i="7"/>
  <c r="E28" i="7"/>
  <c r="D28" i="7"/>
  <c r="C28" i="7"/>
  <c r="B28" i="7"/>
  <c r="A28" i="7"/>
  <c r="M27" i="7"/>
  <c r="K27" i="7"/>
  <c r="J27" i="7"/>
  <c r="I27" i="7"/>
  <c r="H27" i="7"/>
  <c r="G27" i="7"/>
  <c r="F27" i="7"/>
  <c r="E27" i="7"/>
  <c r="D27" i="7"/>
  <c r="C27" i="7"/>
  <c r="B27" i="7"/>
  <c r="A27" i="7"/>
  <c r="M26" i="7"/>
  <c r="K26" i="7"/>
  <c r="J26" i="7"/>
  <c r="I26" i="7"/>
  <c r="H26" i="7"/>
  <c r="G26" i="7"/>
  <c r="F26" i="7"/>
  <c r="E26" i="7"/>
  <c r="D26" i="7"/>
  <c r="C26" i="7"/>
  <c r="B26" i="7"/>
  <c r="A26" i="7"/>
  <c r="M25" i="7"/>
  <c r="K25" i="7"/>
  <c r="J25" i="7"/>
  <c r="I25" i="7"/>
  <c r="H25" i="7"/>
  <c r="G25" i="7"/>
  <c r="F25" i="7"/>
  <c r="E25" i="7"/>
  <c r="D25" i="7"/>
  <c r="C25" i="7"/>
  <c r="B25" i="7"/>
  <c r="A25" i="7"/>
  <c r="M24" i="7"/>
  <c r="K24" i="7"/>
  <c r="J24" i="7"/>
  <c r="I24" i="7"/>
  <c r="H24" i="7"/>
  <c r="G24" i="7"/>
  <c r="F24" i="7"/>
  <c r="E24" i="7"/>
  <c r="D24" i="7"/>
  <c r="C24" i="7"/>
  <c r="B24" i="7"/>
  <c r="A24" i="7"/>
  <c r="M23" i="7"/>
  <c r="K23" i="7"/>
  <c r="J23" i="7"/>
  <c r="I23" i="7"/>
  <c r="H23" i="7"/>
  <c r="G23" i="7"/>
  <c r="F23" i="7"/>
  <c r="E23" i="7"/>
  <c r="D23" i="7"/>
  <c r="C23" i="7"/>
  <c r="B23" i="7"/>
  <c r="A23" i="7"/>
  <c r="M22" i="7"/>
  <c r="K22" i="7"/>
  <c r="J22" i="7"/>
  <c r="I22" i="7"/>
  <c r="H22" i="7"/>
  <c r="G22" i="7"/>
  <c r="F22" i="7"/>
  <c r="E22" i="7"/>
  <c r="D22" i="7"/>
  <c r="C22" i="7"/>
  <c r="B22" i="7"/>
  <c r="A22" i="7"/>
  <c r="M21" i="7"/>
  <c r="K21" i="7"/>
  <c r="J21" i="7"/>
  <c r="I21" i="7"/>
  <c r="H21" i="7"/>
  <c r="G21" i="7"/>
  <c r="F21" i="7"/>
  <c r="E21" i="7"/>
  <c r="D21" i="7"/>
  <c r="C21" i="7"/>
  <c r="B21" i="7"/>
  <c r="A21" i="7"/>
  <c r="M20" i="7"/>
  <c r="K20" i="7"/>
  <c r="J20" i="7"/>
  <c r="I20" i="7"/>
  <c r="H20" i="7"/>
  <c r="G20" i="7"/>
  <c r="F20" i="7"/>
  <c r="E20" i="7"/>
  <c r="D20" i="7"/>
  <c r="C20" i="7"/>
  <c r="B20" i="7"/>
  <c r="A20" i="7"/>
  <c r="M19" i="7"/>
  <c r="K19" i="7"/>
  <c r="J19" i="7"/>
  <c r="I19" i="7"/>
  <c r="H19" i="7"/>
  <c r="G19" i="7"/>
  <c r="F19" i="7"/>
  <c r="E19" i="7"/>
  <c r="D19" i="7"/>
  <c r="C19" i="7"/>
  <c r="B19" i="7"/>
  <c r="A19" i="7"/>
  <c r="M18" i="7"/>
  <c r="K18" i="7"/>
  <c r="J18" i="7"/>
  <c r="I18" i="7"/>
  <c r="H18" i="7"/>
  <c r="G18" i="7"/>
  <c r="F18" i="7"/>
  <c r="E18" i="7"/>
  <c r="D18" i="7"/>
  <c r="C18" i="7"/>
  <c r="B18" i="7"/>
  <c r="A18" i="7"/>
  <c r="M17" i="7"/>
  <c r="L17" i="7"/>
  <c r="N17" i="7" s="1"/>
  <c r="K17" i="7"/>
  <c r="J17" i="7"/>
  <c r="I17" i="7"/>
  <c r="H17" i="7"/>
  <c r="G17" i="7"/>
  <c r="F17" i="7"/>
  <c r="E17" i="7"/>
  <c r="D17" i="7"/>
  <c r="C17" i="7"/>
  <c r="B17" i="7"/>
  <c r="A17" i="7"/>
  <c r="M16" i="7"/>
  <c r="K16" i="7"/>
  <c r="J16" i="7"/>
  <c r="I16" i="7"/>
  <c r="H16" i="7"/>
  <c r="G16" i="7"/>
  <c r="F16" i="7"/>
  <c r="E16" i="7"/>
  <c r="D16" i="7"/>
  <c r="C16" i="7"/>
  <c r="B16" i="7"/>
  <c r="A16" i="7"/>
  <c r="M15" i="7"/>
  <c r="K15" i="7"/>
  <c r="J15" i="7"/>
  <c r="I15" i="7"/>
  <c r="H15" i="7"/>
  <c r="G15" i="7"/>
  <c r="F15" i="7"/>
  <c r="E15" i="7"/>
  <c r="D15" i="7"/>
  <c r="C15" i="7"/>
  <c r="B15" i="7"/>
  <c r="A15" i="7"/>
  <c r="M14" i="7"/>
  <c r="K14" i="7"/>
  <c r="J14" i="7"/>
  <c r="I14" i="7"/>
  <c r="H14" i="7"/>
  <c r="G14" i="7"/>
  <c r="F14" i="7"/>
  <c r="E14" i="7"/>
  <c r="D14" i="7"/>
  <c r="C14" i="7"/>
  <c r="B14" i="7"/>
  <c r="A14" i="7"/>
  <c r="M13" i="7"/>
  <c r="K13" i="7"/>
  <c r="J13" i="7"/>
  <c r="I13" i="7"/>
  <c r="H13" i="7"/>
  <c r="G13" i="7"/>
  <c r="F13" i="7"/>
  <c r="E13" i="7"/>
  <c r="D13" i="7"/>
  <c r="C13" i="7"/>
  <c r="B13" i="7"/>
  <c r="A13" i="7"/>
  <c r="M12" i="7"/>
  <c r="K12" i="7"/>
  <c r="J12" i="7"/>
  <c r="I12" i="7"/>
  <c r="H12" i="7"/>
  <c r="G12" i="7"/>
  <c r="F12" i="7"/>
  <c r="E12" i="7"/>
  <c r="D12" i="7"/>
  <c r="C12" i="7"/>
  <c r="B12" i="7"/>
  <c r="A12" i="7"/>
  <c r="M11" i="7"/>
  <c r="L11" i="7"/>
  <c r="N11" i="7" s="1"/>
  <c r="K11" i="7"/>
  <c r="J11" i="7"/>
  <c r="I11" i="7"/>
  <c r="H11" i="7"/>
  <c r="G11" i="7"/>
  <c r="F11" i="7"/>
  <c r="E11" i="7"/>
  <c r="D11" i="7"/>
  <c r="C11" i="7"/>
  <c r="B11" i="7"/>
  <c r="A11" i="7"/>
  <c r="M10" i="7"/>
  <c r="K10" i="7"/>
  <c r="J10" i="7"/>
  <c r="I10" i="7"/>
  <c r="H10" i="7"/>
  <c r="G10" i="7"/>
  <c r="F10" i="7"/>
  <c r="E10" i="7"/>
  <c r="D10" i="7"/>
  <c r="C10" i="7"/>
  <c r="B10" i="7"/>
  <c r="A10" i="7"/>
  <c r="M9" i="7"/>
  <c r="K9" i="7"/>
  <c r="J9" i="7"/>
  <c r="I9" i="7"/>
  <c r="H9" i="7"/>
  <c r="G9" i="7"/>
  <c r="F9" i="7"/>
  <c r="E9" i="7"/>
  <c r="D9" i="7"/>
  <c r="C9" i="7"/>
  <c r="B9" i="7"/>
  <c r="A9" i="7"/>
  <c r="M8" i="7"/>
  <c r="K8" i="7"/>
  <c r="J8" i="7"/>
  <c r="I8" i="7"/>
  <c r="H8" i="7"/>
  <c r="G8" i="7"/>
  <c r="F8" i="7"/>
  <c r="E8" i="7"/>
  <c r="D8" i="7"/>
  <c r="C8" i="7"/>
  <c r="B8" i="7"/>
  <c r="A8" i="7"/>
  <c r="M7" i="7"/>
  <c r="K7" i="7"/>
  <c r="J7" i="7"/>
  <c r="I7" i="7"/>
  <c r="H7" i="7"/>
  <c r="G7" i="7"/>
  <c r="F7" i="7"/>
  <c r="E7" i="7"/>
  <c r="D7" i="7"/>
  <c r="C7" i="7"/>
  <c r="B7" i="7"/>
  <c r="A7" i="7"/>
  <c r="D32" i="1"/>
  <c r="N30" i="1"/>
  <c r="M30" i="1"/>
  <c r="L30" i="7" s="1"/>
  <c r="N30" i="7" s="1"/>
  <c r="H30" i="1"/>
  <c r="N29" i="1"/>
  <c r="M29" i="1"/>
  <c r="L29" i="7" s="1"/>
  <c r="N29" i="7" s="1"/>
  <c r="H29" i="1"/>
  <c r="N28" i="1"/>
  <c r="M28" i="1"/>
  <c r="L28" i="7" s="1"/>
  <c r="N28" i="7" s="1"/>
  <c r="H28" i="1"/>
  <c r="N27" i="1"/>
  <c r="M27" i="1"/>
  <c r="L27" i="7" s="1"/>
  <c r="N27" i="7" s="1"/>
  <c r="H27" i="1"/>
  <c r="N26" i="1"/>
  <c r="M26" i="1"/>
  <c r="L26" i="7" s="1"/>
  <c r="N26" i="7" s="1"/>
  <c r="H26" i="1"/>
  <c r="N25" i="1"/>
  <c r="M25" i="1"/>
  <c r="L25" i="7" s="1"/>
  <c r="N25" i="7" s="1"/>
  <c r="H25" i="1"/>
  <c r="N24" i="1"/>
  <c r="M24" i="1"/>
  <c r="H24" i="1"/>
  <c r="N23" i="1"/>
  <c r="M23" i="1"/>
  <c r="L23" i="7" s="1"/>
  <c r="N23" i="7" s="1"/>
  <c r="H23" i="1"/>
  <c r="N22" i="1"/>
  <c r="M22" i="1"/>
  <c r="L22" i="7" s="1"/>
  <c r="N22" i="7" s="1"/>
  <c r="H22" i="1"/>
  <c r="N21" i="1"/>
  <c r="M21" i="1"/>
  <c r="L21" i="7" s="1"/>
  <c r="N21" i="7" s="1"/>
  <c r="H21" i="1"/>
  <c r="N20" i="1"/>
  <c r="M20" i="1"/>
  <c r="L20" i="7" s="1"/>
  <c r="N20" i="7" s="1"/>
  <c r="H20" i="1"/>
  <c r="N19" i="1"/>
  <c r="M19" i="1"/>
  <c r="L19" i="7" s="1"/>
  <c r="N19" i="7" s="1"/>
  <c r="H19" i="1"/>
  <c r="N18" i="1"/>
  <c r="M18" i="1"/>
  <c r="H18" i="1"/>
  <c r="N17" i="1"/>
  <c r="M17" i="1"/>
  <c r="H17" i="1"/>
  <c r="N16" i="1"/>
  <c r="M16" i="1"/>
  <c r="L16" i="7" s="1"/>
  <c r="N16" i="7" s="1"/>
  <c r="H16" i="1"/>
  <c r="N15" i="1"/>
  <c r="M15" i="1"/>
  <c r="L15" i="7" s="1"/>
  <c r="N15" i="7" s="1"/>
  <c r="H15" i="1"/>
  <c r="N14" i="1"/>
  <c r="M14" i="1"/>
  <c r="L14" i="7" s="1"/>
  <c r="N14" i="7" s="1"/>
  <c r="H14" i="1"/>
  <c r="N13" i="1"/>
  <c r="M13" i="1"/>
  <c r="L13" i="7" s="1"/>
  <c r="N13" i="7" s="1"/>
  <c r="H13" i="1"/>
  <c r="N12" i="1"/>
  <c r="M12" i="1"/>
  <c r="L12" i="7" s="1"/>
  <c r="N12" i="7" s="1"/>
  <c r="H12" i="1"/>
  <c r="N11" i="1"/>
  <c r="M11" i="1"/>
  <c r="H11" i="1"/>
  <c r="N10" i="1"/>
  <c r="M10" i="1"/>
  <c r="L10" i="7" s="1"/>
  <c r="N10" i="7" s="1"/>
  <c r="H10" i="1"/>
  <c r="N9" i="1"/>
  <c r="M9" i="1"/>
  <c r="L9" i="7" s="1"/>
  <c r="N9" i="7" s="1"/>
  <c r="H9" i="1"/>
  <c r="N8" i="1"/>
  <c r="M8" i="1"/>
  <c r="L8" i="7" s="1"/>
  <c r="N8" i="7" s="1"/>
  <c r="H8" i="1"/>
  <c r="N7" i="1"/>
  <c r="M7" i="1"/>
  <c r="L7" i="7" s="1"/>
  <c r="H7" i="1"/>
  <c r="L24" i="7" l="1"/>
  <c r="N24" i="7" s="1"/>
  <c r="L18" i="7"/>
  <c r="G34" i="7" s="1"/>
  <c r="G39" i="7" s="1"/>
  <c r="H32" i="1"/>
  <c r="G38" i="7"/>
  <c r="F38" i="7"/>
  <c r="F42" i="7" s="1"/>
  <c r="F46" i="7" s="1"/>
  <c r="G35" i="7"/>
  <c r="F34" i="7"/>
  <c r="G33" i="7"/>
  <c r="F39" i="7" s="1"/>
  <c r="F33" i="7"/>
  <c r="N7" i="7"/>
  <c r="F22" i="3"/>
  <c r="F35" i="7" l="1"/>
  <c r="N18" i="7"/>
  <c r="G42" i="7"/>
  <c r="G46" i="7" s="1"/>
</calcChain>
</file>

<file path=xl/sharedStrings.xml><?xml version="1.0" encoding="utf-8"?>
<sst xmlns="http://schemas.openxmlformats.org/spreadsheetml/2006/main" count="480" uniqueCount="299">
  <si>
    <t>Clóset principal 195: despiece independiente</t>
  </si>
  <si>
    <t>Cuerpo 195 × 56 × 238 cm; 58,5 cm hasta las manijas. RH15 como cocina. Despiece exclusivo del clóset.</t>
  </si>
  <si>
    <t>E/F: medidas terminadas y veta en E. I/J paralelos a E, K/L paralelos a F. Cortes teóricos sin sierra ni refilado.</t>
  </si>
  <si>
    <t>ID</t>
  </si>
  <si>
    <t>Grupo</t>
  </si>
  <si>
    <t>Pieza</t>
  </si>
  <si>
    <t>Cant.</t>
  </si>
  <si>
    <t>Largo veta mm</t>
  </si>
  <si>
    <t>Ancho mm</t>
  </si>
  <si>
    <t>Espesor mm</t>
  </si>
  <si>
    <t>Área m²</t>
  </si>
  <si>
    <t>Canto L1</t>
  </si>
  <si>
    <t>Canto L2</t>
  </si>
  <si>
    <t>Canto A1</t>
  </si>
  <si>
    <t>Canto A2</t>
  </si>
  <si>
    <t>Corte largo mm</t>
  </si>
  <si>
    <t>Corte ancho mm</t>
  </si>
  <si>
    <t>Estado</t>
  </si>
  <si>
    <t>Nota de fabricación</t>
  </si>
  <si>
    <t>C3-001</t>
  </si>
  <si>
    <t>EST</t>
  </si>
  <si>
    <t>Lateral exterior</t>
  </si>
  <si>
    <t>2</t>
  </si>
  <si>
    <t>—</t>
  </si>
  <si>
    <t>0.45</t>
  </si>
  <si>
    <t>Diseño elegido</t>
  </si>
  <si>
    <t>Cuerpo de 56 cm; hojas hasta 55 cm. Las manijas sobresalen hasta 58,5 cm desde el fondo.</t>
  </si>
  <si>
    <t>C3-002</t>
  </si>
  <si>
    <t>Divisor central</t>
  </si>
  <si>
    <t>Divisor de 49 cm: deja 10 mm respecto a la hoja interior, ubicada a 50 cm del fondo.</t>
  </si>
  <si>
    <t>C3-003</t>
  </si>
  <si>
    <t>B1</t>
  </si>
  <si>
    <t>Piso sobre base</t>
  </si>
  <si>
    <t>Uniones y mecanizados según montaje.</t>
  </si>
  <si>
    <t>C3-004</t>
  </si>
  <si>
    <t>Tapa superior</t>
  </si>
  <si>
    <t>Tapa de 505 mm: llega hasta el listón de pino 4×4 cm (P3-01), que sostiene el riel. Se une a laterales y divisor; el listón queda a ras de su cara superior.</t>
  </si>
  <si>
    <t>C3-005</t>
  </si>
  <si>
    <t>Fondo RH15</t>
  </si>
  <si>
    <t>Panel trasero del mismo RH15 y acabado. Útil de colgado hasta la hoja trasera: 485 mm.</t>
  </si>
  <si>
    <t>C3-006</t>
  </si>
  <si>
    <t>Piso de maletero</t>
  </si>
  <si>
    <t>Maletero interior accesible por las hojas corredizas; carga liviana.</t>
  </si>
  <si>
    <t>C3-007</t>
  </si>
  <si>
    <t>Refuerzo frontal de maletero</t>
  </si>
  <si>
    <t>De canto. Apoyos y unión al tablero por definir antes de fabricar.</t>
  </si>
  <si>
    <t>C3-008</t>
  </si>
  <si>
    <t>Refuerzo trasero de maletero</t>
  </si>
  <si>
    <t>De canto. No atribuir rigidez al pegado sobre canto decorativo.</t>
  </si>
  <si>
    <t>C3-009</t>
  </si>
  <si>
    <t>B2</t>
  </si>
  <si>
    <t>C3-010</t>
  </si>
  <si>
    <t>C3-011</t>
  </si>
  <si>
    <t>C3-012</t>
  </si>
  <si>
    <t>C3-013</t>
  </si>
  <si>
    <t>C3-014</t>
  </si>
  <si>
    <t>C3-015</t>
  </si>
  <si>
    <t>Frente de cajón</t>
  </si>
  <si>
    <t>Sin manija. Separación vertical de 30 mm. Se añadieron 50 mm de tolerancia lateral al cajonero: frente termina en x842 y hoja abierta comienza en x910 (68 mm libres).</t>
  </si>
  <si>
    <t>C3-016</t>
  </si>
  <si>
    <t>Costado de cajón</t>
  </si>
  <si>
    <t>C3-017</t>
  </si>
  <si>
    <t>Base aplicada de cajón</t>
  </si>
  <si>
    <t>Caja exterior 803 × 450: vano 830 menos 27 mm de riel lateral HRE320.</t>
  </si>
  <si>
    <t>C3-018</t>
  </si>
  <si>
    <t>Frente / trasero interior de cajón</t>
  </si>
  <si>
    <t>C3-019</t>
  </si>
  <si>
    <t>Refuerzo bajo base de cajón</t>
  </si>
  <si>
    <t>De canto. Uniones por dimensionar; la capacidad del riel no certifica la caja.</t>
  </si>
  <si>
    <t>C3-020</t>
  </si>
  <si>
    <t>BASE</t>
  </si>
  <si>
    <t>Zócalo frontal</t>
  </si>
  <si>
    <t>C3-021</t>
  </si>
  <si>
    <t>Travesaño trasero de base</t>
  </si>
  <si>
    <t>C3-022</t>
  </si>
  <si>
    <t>Travesaño de base</t>
  </si>
  <si>
    <t>C3-023</t>
  </si>
  <si>
    <t>PUERTAS</t>
  </si>
  <si>
    <t>Hoja corrediza RH15</t>
  </si>
  <si>
    <t>Pendiente plantilla</t>
  </si>
  <si>
    <t>C3-024</t>
  </si>
  <si>
    <t>Solapa frontal</t>
  </si>
  <si>
    <t>Cubre el frente superior (riel y borde alto de las hojas), como en el clóset real: 12 cm de alto, sobresale 15 mm delante del cuerpo de 56 cm. Se fija a los cantos delanteros de los laterales y a dos tacos de pino de 15 mm (sobrantes del listón) atornillados al frente del listón. Canto rígido abajo y en los extremos; el borde alto va contra el cielo raso.</t>
  </si>
  <si>
    <t>TOTAL RH15</t>
  </si>
  <si>
    <t>Área neta</t>
  </si>
  <si>
    <t>Listón de pino (bastidor del riel) fuera de este total: ver hoja Compras.</t>
  </si>
  <si>
    <t>Observaciones fijas por pieza</t>
  </si>
  <si>
    <t>Pedido de corte y canteado · clóset principal 195</t>
  </si>
  <si>
    <t>¿El proveedor pide medida terminada y descuenta el canto? (SÍ/NO)</t>
  </si>
  <si>
    <t>Rebaje superior para el listón de pino 4 × 4 en taller.</t>
  </si>
  <si>
    <t>Veta horizontal: frente de 824 de ancho, queda detrás de las hojas.</t>
  </si>
  <si>
    <t>Supuestos por confirmar en la sucursal: Q2 cambia la medida que se pide; Q3 y Q4 marcan qué piezas pueden rechazar.</t>
  </si>
  <si>
    <t>Módulo / grupo</t>
  </si>
  <si>
    <t>Material</t>
  </si>
  <si>
    <t>Largo a pedir (veta)</t>
  </si>
  <si>
    <t>Ancho a pedir</t>
  </si>
  <si>
    <t>Largo 1</t>
  </si>
  <si>
    <t>Largo 2</t>
  </si>
  <si>
    <t>Corto 1</t>
  </si>
  <si>
    <t>Corto 2</t>
  </si>
  <si>
    <t>Canteo</t>
  </si>
  <si>
    <t>Medida terminada</t>
  </si>
  <si>
    <t>Observaciones</t>
  </si>
  <si>
    <t>Metros netos de canto</t>
  </si>
  <si>
    <t>Normal</t>
  </si>
  <si>
    <t>Pequeña</t>
  </si>
  <si>
    <t>Rígido 2 mm</t>
  </si>
  <si>
    <t>Flexible 0,45 mm</t>
  </si>
  <si>
    <t>Piezas (unidades)</t>
  </si>
  <si>
    <t>Bordes a cantear a mano</t>
  </si>
  <si>
    <t>Metros netos</t>
  </si>
  <si>
    <t>Desperdicio por borde a mano (m)</t>
  </si>
  <si>
    <t>Margen de seguridad</t>
  </si>
  <si>
    <t>Clóset compacto: cantos exclusivos</t>
  </si>
  <si>
    <t>Reserva/borde m</t>
  </si>
  <si>
    <t>Rígido 2 mm en caras vistas; flexible 0,45 en bordes vistos interiores, superiores e inferiores. Sin canto en bordes ocultos contra otra pieza o el muro. Reserva editable, 5 cm por borde.</t>
  </si>
  <si>
    <t>Tipo</t>
  </si>
  <si>
    <t>Aplicación</t>
  </si>
  <si>
    <t>Bordes</t>
  </si>
  <si>
    <t>Reserva m</t>
  </si>
  <si>
    <t>Metros a pedir</t>
  </si>
  <si>
    <t>m por rollo</t>
  </si>
  <si>
    <t>Rollos</t>
  </si>
  <si>
    <t>Rígido 19 × 2</t>
  </si>
  <si>
    <t>Hojas, frentes y bordes vistos de estructura</t>
  </si>
  <si>
    <t>Flexible 19 × 0,45</t>
  </si>
  <si>
    <t>Bordes vistos interiores, superiores e inferiores, y base</t>
  </si>
  <si>
    <t>Piezas estrechas: la base (C3-020 a C3-022) conserva canto en los 4 bordes por estar junto al piso; las demás llevan canto solo en bordes vistos. Confirmar preparación de uniones con el taller.</t>
  </si>
  <si>
    <t>Clóset compacto: compras independientes</t>
  </si>
  <si>
    <t>Cinco láminas es un encaje encontrado sin rotar por veta; no representa un mínimo demostrado.</t>
  </si>
  <si>
    <t>Referencia</t>
  </si>
  <si>
    <t>Uso</t>
  </si>
  <si>
    <t>Cantidad</t>
  </si>
  <si>
    <t>Unidad</t>
  </si>
  <si>
    <t>Precio COP</t>
  </si>
  <si>
    <t>Importe COP</t>
  </si>
  <si>
    <t>Detalle</t>
  </si>
  <si>
    <t>Fuente / fecha</t>
  </si>
  <si>
    <t>RH15 Cartagena</t>
  </si>
  <si>
    <t>Tablero 2440 × 2150</t>
  </si>
  <si>
    <t>lámina</t>
  </si>
  <si>
    <t>Misma referencia cocina</t>
  </si>
  <si>
    <t>44 piezas RH15, más el listón de pino del bastidor (fila Pino). Encaje encontrado en 5 láminas, con sierra 4 mm y refilado 10 mm por lado. La presencia de fondos y hojas grandes aumenta consumo. Proveedor define plano final.</t>
  </si>
  <si>
    <t>Canto rígido Cartagena</t>
  </si>
  <si>
    <t>Rollo 19 × 2 mm</t>
  </si>
  <si>
    <t>rollo</t>
  </si>
  <si>
    <t>Referencia cocina</t>
  </si>
  <si>
    <t>Canto flexible Cartagena</t>
  </si>
  <si>
    <t>Rollo 19 × 0,45 mm</t>
  </si>
  <si>
    <t>HRE320-45</t>
  </si>
  <si>
    <t>Riel lateral 450 mm</t>
  </si>
  <si>
    <t>par</t>
  </si>
  <si>
    <t>Precio aportado</t>
  </si>
  <si>
    <t>FSCPCM20</t>
  </si>
  <si>
    <t>Kit Peralma para dos hojas</t>
  </si>
  <si>
    <t>kit</t>
  </si>
  <si>
    <t>Candidato</t>
  </si>
  <si>
    <t>Kit publicado: 4 rodamientos, 1 guía, 1 tope y tornillos. Identificar si coinciden con la guía y el amortiguador descritos por el usuario, antes de añadir accesorios. Cada hoja RH pesa 21,3 kg sin herrajes (10,05 kg/m², dato de Madecentro); el kit indica 30 kg: preguntar si es por hoja o por kit de dos.</t>
  </si>
  <si>
    <t>https://madecentro.com/products/kit-de-accesorios-para-sistema-colgante; precio aportado por usuario.</t>
  </si>
  <si>
    <t>PERALMA50B · 2 m</t>
  </si>
  <si>
    <t>Riel colgante superior para 2 hojas</t>
  </si>
  <si>
    <t>barra</t>
  </si>
  <si>
    <t>Barra 2 m para recorrido 1920 mm. Referencia real: zona de 70 mm de fondo, hojas entre 500 y 550 mm, cuerpo hasta 560. El riel se atornilla al listón de pino del bastidor (no a la tapa). Guía inferior sin apoyo de peso; no hay riel inferior de carga. Confirmar sección y taladros del sistema.</t>
  </si>
  <si>
    <t>https://madecentro.com/products/sistema-corredizo-colgate-x-3mtr</t>
  </si>
  <si>
    <t>HMA310-02</t>
  </si>
  <si>
    <t>Manija tubular CC96 mm</t>
  </si>
  <si>
    <t>unidad</t>
  </si>
  <si>
    <t>Una manija vertical en el extremo exterior de cada hoja.35 mm de saliente: fondo máximo 585 mm. Dos centros 96 mm; largo representado 119 mm. Las manijas no sustituyen una certificación de rigidez del tablero.</t>
  </si>
  <si>
    <t>Usuario: $2.743/unidad. https://madecentro.com/products/hma310-02-manija-310-acero-inox-cc-96-mm-rectangular-alta</t>
  </si>
  <si>
    <t>Verificar con FSCPCM20</t>
  </si>
  <si>
    <t>Tope plástico amortiguado</t>
  </si>
  <si>
    <t>conjunto</t>
  </si>
  <si>
    <t>Verificar incluido</t>
  </si>
  <si>
    <t>Detrás de la hoja exterior, conserva 50 mm de desfase y evita invertir el orden de hojas. Cota de pérdida de recorrido aportada por el usuario. Verificar si viene en el kit; no duplicar compra. La guía inferior tampoco se compra dos veces.</t>
  </si>
  <si>
    <t>Descripción y fotos del clóset real del usuario; referencia comercial pendiente.</t>
  </si>
  <si>
    <t>Por elegir</t>
  </si>
  <si>
    <t>Barras para colgar</t>
  </si>
  <si>
    <t>tramo</t>
  </si>
  <si>
    <t>Cotizar</t>
  </si>
  <si>
    <t>Una ilustrada 810 mm y dos 1055 mm. Barra baja derecha desmontable. Medidas de corte reales según soportes elegidos.</t>
  </si>
  <si>
    <t>Modelo; no representa una referencia comercial confirmada.</t>
  </si>
  <si>
    <t>Soportes de barra</t>
  </si>
  <si>
    <t>Dos por barra. Fijación y carga para RH15 por confirmar.</t>
  </si>
  <si>
    <t>Montaje pendiente.</t>
  </si>
  <si>
    <t>Por dimensionar</t>
  </si>
  <si>
    <t>Apoyos de base</t>
  </si>
  <si>
    <t>Dos bajo cada lateral/divisor. El modelo dibuja 20 mm de apoyo y base total 100 mm; producto y regulación por elegir.</t>
  </si>
  <si>
    <t>Geometría propuesta.</t>
  </si>
  <si>
    <t>Uniones y anclajes</t>
  </si>
  <si>
    <t>lote</t>
  </si>
  <si>
    <t>Montaje y sustrato real.</t>
  </si>
  <si>
    <t>Pino · por cotizar</t>
  </si>
  <si>
    <t>Listón 4×4 cm · bastidor del riel</t>
  </si>
  <si>
    <t>listón</t>
  </si>
  <si>
    <t>Listón de pino de 4×4 cm que va de lateral a lateral: 1920 mm libres más el encaje en cada lateral (máx. 7 mm por lado). Pedir de 2,0 m o más, recto, seco y sin nudos grandes; sobra para 2 tacos de 15 mm. Va encajonado y atornillado a los laterales; el riel (50 mm) se atornilla a su cara inferior y sobresale ~5 mm por lado. El clóset real usa 7×3 cm; se cambió a 4×4 por disponibilidad. Confirmar rebaje y tornillos con el instalador.</t>
  </si>
  <si>
    <t>Descripción del clóset real del usuario, 27/10/2026; precio pendiente.</t>
  </si>
  <si>
    <t>Tornillos del bastidor y del riel</t>
  </si>
  <si>
    <t>Tornillos para madera y aglomerado en cada extremo del listón y para el riel; el kit del sistema puede traer los suyos. Escuadras solo si el rebaje en los laterales queda corto.</t>
  </si>
  <si>
    <t>Por cotizar</t>
  </si>
  <si>
    <t>Corte, canteado e instalación</t>
  </si>
  <si>
    <t>servicio</t>
  </si>
  <si>
    <t>Confirmar plantilla de las hojas y perfiles, guías y topes adicionales, veta y suministro. Mantener todo este presupuesto independiente.</t>
  </si>
  <si>
    <t>Proveedor.</t>
  </si>
  <si>
    <t>SUBTOTAL PARCIAL</t>
  </si>
  <si>
    <t>Tema</t>
  </si>
  <si>
    <t>Puerta de habitación</t>
  </si>
  <si>
    <t>Hoja 900 mm; eje a 520 mm del muro donde apoya el fondo del clóset.</t>
  </si>
  <si>
    <t>Confirmación del usuario 27/10/2026.</t>
  </si>
  <si>
    <t>Ancho propuesto</t>
  </si>
  <si>
    <t>El modelo sitúa el eje a 2880 mm del muro izquierdo. Extremo del giro=2880−900=1980. Restando 10 mm de separación izquierda y 20 mm de margen: ancho 1950 mm. Confirmar posición lateral del eje antes de fabricar.</t>
  </si>
  <si>
    <t>Geometría de la terraza y medidas confirmadas.</t>
  </si>
  <si>
    <t>Ubicación y franja libre</t>
  </si>
  <si>
    <t>1+195+94=290 cm. Se reduce 93 cm respecto a 288. El hueco derecho es reserva de giro; no un paso peatonal libre de 94 cm.</t>
  </si>
  <si>
    <t>Cálculo de ubicación.</t>
  </si>
  <si>
    <t>Fondo interior</t>
  </si>
  <si>
    <t>Zona de referencia 490–560 mm. Hoja interior 500–515; exterior 535–550. Cuerpo 560 y manijas hasta 585. Fondo RH15 de 0–15 deja 485 mm útiles. Los 7 cm son la zona de referencia del marco, no un espesor adicional del cuerpo.</t>
  </si>
  <si>
    <t>Medidas y aclaraciones del usuario / modelo.</t>
  </si>
  <si>
    <t>Distribución</t>
  </si>
  <si>
    <t>Útiles 830 y 1075 mm. Se redujo el cajonero de 880 a 830 mm para sumar 50 mm de tolerancia de instalación, además del descuento ya aplicado por el tope. Se mantienen 1950 mm exteriores. Colgado corto arriba, doble colgado derecho con barra inferior desmontable y maleteros interiores.</t>
  </si>
  <si>
    <t>Acceso a cajones</t>
  </si>
  <si>
    <t>Hoja exterior izquierda e interior derecha; anchos 975, solape 30 y desfase mínimo 50. Desplazamiento y abertura libre 895. Frentes 824 en cuerpo 830: máximo x 842, hoja apilada comienza en x 910, dejando 68 mm de margen al tablero. Incluso con 50 mm adicionales de pérdida de recorrido quedaría un margen geométrico de 18 mm. El visor bloquea cruce de hojas y cajones tapados.</t>
  </si>
  <si>
    <t>Tope descrito por el usuario y control geométrico.</t>
  </si>
  <si>
    <t>Cajas y correderas</t>
  </si>
  <si>
    <t>Exterior 803×450; base RH15 aplicada, paredes 155 y refuerzo 40 inferior. Frente 824×210. Tres frentes con 30 mm de separación, sin manijas.803=830−27 de la familia HRE320. Confirmar fijación y carga útil.</t>
  </si>
  <si>
    <t>Geometría y ficha de rieles.</t>
  </si>
  <si>
    <t>Hojas y sistema corredizo</t>
  </si>
  <si>
    <t>Material y alcance</t>
  </si>
  <si>
    <t>Misma referencia RH15 Cartagena que la cocina final. Despiece y compras exclusivos del clóset compacto; no se han fusionado con cocina ni baño.</t>
  </si>
  <si>
    <t>Solicitud del usuario y Excel de cocina.</t>
  </si>
  <si>
    <t>Montaje en altura</t>
  </si>
  <si>
    <t>Cantos</t>
  </si>
  <si>
    <t>Se retira el canto de los bordes ocultos contra otra pieza o el muro (fondos RH15 sin canto). Se conservan bordes vistos, el superior de laterales y divisor, y los 4 bordes de la base (C3-020 a C3-022). Cortes M/N pasan a fórmula según los cantos. Flexible 89,4 → 39,0 m netos; rígido sin cambio.</t>
  </si>
  <si>
    <t>Análisis geométrico del modelo 3D y decisión del usuario 27/10/2026.</t>
  </si>
  <si>
    <t>SÍ</t>
  </si>
  <si>
    <t>Medidas en mm; largo en sentido de veta. R = rígido 2 mm · F = flexible 0,45 mm · — = sin canto. Se cantean únicamente los bordes indicados; orientar las piezas según el montaje.</t>
  </si>
  <si>
    <t>Dimensión menor mínima de tablero que admite la canteadora (mm)</t>
  </si>
  <si>
    <t>Piezas pequeñas: clasificación según el tamaño del tablero antes de cantear. Si la máquina las rechaza, usar el corte indicado en Observaciones y cantear en el armado. Medidas de corte a 0,01 mm; el proveedor confirma tolerancias y límites Q2–Q4.</t>
  </si>
  <si>
    <t>Dimensión mayor mínima de tablero que admite la canteadora (mm)</t>
  </si>
  <si>
    <t>Canto para acabado manual · previsión sujeta a la entrega</t>
  </si>
  <si>
    <t>Estimado con desperdicio y reserva (m)</t>
  </si>
  <si>
    <t>Previsión para las piezas pequeñas, no garantía de cuáles canteará Madecentro. Incluye 10 cm extra por borde y 20 % de reserva; ambos valores son editables. Al recibir las piezas, ajustar el objetivo si faltan otros bordes o si el proveedor canteó parte de ellos.</t>
  </si>
  <si>
    <t>Objetivo revisado con reserva (m; opcional)</t>
  </si>
  <si>
    <t>Metros ya disponibles para cantear en casa</t>
  </si>
  <si>
    <t>Metros faltantes por comprar</t>
  </si>
  <si>
    <t>Dejar el objetivo revisado vacío para usar el estimado. Si ya hay canto comprado o sobrante de rollos, anotarlo en metros disponibles. No sumar este material dos veces al presupuesto. Precio por metro suelto y pegante por cotizar con el proveedor.</t>
  </si>
  <si>
    <t>Cantidad exclusiva de este clóset, calculada en Cantos. No se han descontado sobrantes de otros muebles. Para acabado manual: ver «Metros faltantes por comprar» al final de Pedido de corte; descontar material ya disponible. Precio por metro suelto y pegante por cotizar.</t>
  </si>
  <si>
    <t>Confirmar SKU, suministro y canteado de piezas estrechas. Con el criterio de bordes vistos, cocina y clóset juntos necesitan unos 90 m de canto flexible: caben en un solo rollo de 200 m si se compran juntos. Para acabado manual: ver «Metros faltantes por comprar» al final de Pedido de corte; descontar material ya disponible. Precio por metro suelto y pegante por cotizar.</t>
  </si>
  <si>
    <t>Presupuesto parcial del clóset principal. Precios de referencia; materiales independientes de la cocina.</t>
  </si>
  <si>
    <t>Vano 830 − 27 = caja 803 × 450. Los 45 kg nominales del par no certifican la caja ni la carga útil. Incluye 12 tornillos de 12 mm por par. Confirmar uniones.</t>
  </si>
  <si>
    <t>Usuario; ficha HRE320/330 rev. 15/05/25.</t>
  </si>
  <si>
    <t>Pendientes antes de cortar y armar · clóset principal 195</t>
  </si>
  <si>
    <t>Solo lo que falta resolver. Lo ya decidido está en la hoja Decisiones; el despiece y el 3D ya lo reflejan.</t>
  </si>
  <si>
    <t>N°</t>
  </si>
  <si>
    <t>Qué falta</t>
  </si>
  <si>
    <t>Qué bloquea</t>
  </si>
  <si>
    <t>Quién lo define</t>
  </si>
  <si>
    <t>Posición del eje de la puerta</t>
  </si>
  <si>
    <t>Confirmar en obra que el eje de la puerta de la habitación está a 2880 mm del muro izquierdo: el ancho de 1950 depende de esa cota (2880 − 900 − 10 − 20).</t>
  </si>
  <si>
    <t>Todo el corte</t>
  </si>
  <si>
    <t>Medición en obra</t>
  </si>
  <si>
    <t>Proveedor de corte</t>
  </si>
  <si>
    <t>Confirmar Q2–Q4 del Pedido de corte (medida terminada y tamaño mínimo que cantea). Encaje previsto en 5 láminas.</t>
  </si>
  <si>
    <t>Pedido de corte</t>
  </si>
  <si>
    <t>Sucursal Madecentro</t>
  </si>
  <si>
    <t>Proveedor del sistema</t>
  </si>
  <si>
    <t>Bastidor del riel</t>
  </si>
  <si>
    <t>Rebaje en los laterales para el listón de pino 4 × 4 (máx. ≈7 mm), tornillos y tacos de la solapa. Revisar en obra si el listón baja con 43 kg; si baja, añadir un apoyo sobre el divisor.</t>
  </si>
  <si>
    <t>Rebaje de C3-001 en taller</t>
  </si>
  <si>
    <t>Instalador</t>
  </si>
  <si>
    <t>Cajones</t>
  </si>
  <si>
    <t>Confirmar la fijación de las cajas y la carga útil con los rieles HRE320-45 (caja 803 × 450).</t>
  </si>
  <si>
    <t>Armado</t>
  </si>
  <si>
    <t>Ficha HRE320</t>
  </si>
  <si>
    <t>Anclajes</t>
  </si>
  <si>
    <t>Anclaje al muro posterior e izquierdo; el extremo derecho queda libre. Definir tornillería y uniones de los fondos.</t>
  </si>
  <si>
    <t>Instalación</t>
  </si>
  <si>
    <t>Altura 2380 en hueco de 2400 (diagonal ≈2445): armar de pie o por partes; la nivelación consume los 20 mm superiores.</t>
  </si>
  <si>
    <t>Taller</t>
  </si>
  <si>
    <t>Accesorios</t>
  </si>
  <si>
    <t>Ajustar el tope (50 mm de desfase) y las manijas CC96 a los accesorios reales; taladros en obra. Elegir barras, soportes y apoyos de base.</t>
  </si>
  <si>
    <t>Compras y armado</t>
  </si>
  <si>
    <t>Usuario / instalador</t>
  </si>
  <si>
    <t>Decisiones aplicadas · clóset principal 195</t>
  </si>
  <si>
    <t>Registro de lo ya resuelto; el despiece y el 3D ya lo reflejan.</t>
  </si>
  <si>
    <t>Decisión</t>
  </si>
  <si>
    <t>Fecha / fuente</t>
  </si>
  <si>
    <t>despiece-cocina.xlsx, Compras; precio de referencia 27/10/2026.</t>
  </si>
  <si>
    <t>despiece-cocina.xlsx, Compras.</t>
  </si>
  <si>
    <t>Elegida</t>
  </si>
  <si>
    <t>Incluye fijación de fondos, estructura y refuerzos de RH; el bastidor del riel se lista aparte. El extremo derecho queda libre: no puede anclarse al muro lateral derecho. Definir anclaje posterior y lateral izquierdo según muro.</t>
  </si>
  <si>
    <t>Incluye 2 manijas por $5.486. Quedan listón de pino, tornillos, barras, apoyos, uniones, anclajes y servicios. Verificar accesorios incluidos. No hay PERALM93 presupuestado en este diseño.</t>
  </si>
  <si>
    <t>Geometría del diseño.</t>
  </si>
  <si>
    <t>Pedida 20 mm más alta (2195 en vez de 2175): en el armado, con el riel y los carros puestos, recortar el borde superior —tapado por la solapa— hasta que la guía inferior sujete la hoja. Nunca debe quedar corta.</t>
  </si>
  <si>
    <t>Confirmar con el kit Peralma FSCPCM20 la carga (hojas de ≈21,3 kg; el kit indica 30 kg: ¿por hoja o por kit?) y si trae el tope amortiguado. La altura final de las hojas se ajusta en el armado.</t>
  </si>
  <si>
    <t>Compra del kit; recorte de C3-023 en el armado</t>
  </si>
  <si>
    <t>Hojas con sobremedida</t>
  </si>
  <si>
    <t>Las hojas se piden de 2195 × 975 (20 mm más altas) y se recortan arriba en el armado, con el riel y los carros puestos, hasta que la guía inferior sujete la hoja. El borde recortado queda tapado por la solapa. La medida terminada de diseño sigue siendo 2175.</t>
  </si>
  <si>
    <t>Decisión del usuario 27/10/2026</t>
  </si>
  <si>
    <t>Medida terminada 2175 × 975, solape 30. Se pide de 2195 (20 mm más alta) y se recorta arriba en el armado, con el riel y los carros puestos, hasta que la guía inferior sujete la hoja; el borde recortado queda tapado por la solapa. Altura = hueco bajo el listón (2340−115) menos 50 mm del sistema. Sin perfil vertical, como el clóset del usuario. Tope conserva desfase de 50 mm entre hojas.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</si>
</sst>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
    <numFmt numFmtId="165" formatCode="0.000"/>
    <numFmt numFmtId="166" formatCode="\$#,##0"/>
  </numFmts>
  <fonts count="9" x14ac:knownFonts="1">
    <font>
      <sz val="10"/>
      <name val="Arial"/>
      <family val="2"/>
    </font>
    <font>
      <sz val="10"/>
      <name val="Arial"/>
    </font>
    <font>
      <sz val="16"/>
      <name val="Arial"/>
    </font>
    <font>
      <b/>
      <sz val="10"/>
      <color rgb="FFFFFFFF"/>
      <name val="Arial"/>
    </font>
    <font>
      <b/>
      <sz val="14"/>
      <name val="Arial"/>
      <family val="2"/>
    </font>
    <font>
      <b/>
      <sz val="10"/>
      <name val="Arial"/>
      <family val="2"/>
    </font>
    <font>
      <b/>
      <sz val="10"/>
      <color rgb="FFFFFFFF"/>
      <name val="Arial"/>
      <family val="2"/>
    </font>
    <font>
      <i/>
      <sz val="10"/>
      <name val="Arial"/>
      <family val="2"/>
    </font>
    <font>
      <sz val="10"/>
      <color rgb="FF0000FF"/>
      <name val="Arial"/>
      <family val="2"/>
    </font>
  </fonts>
  <fills count="10">
    <fill>
      <patternFill patternType="none"/>
    </fill>
    <fill>
      <patternFill patternType="gray125"/>
    </fill>
    <fill>
      <patternFill patternType="solid">
        <fgColor rgb="FF253B35"/>
      </patternFill>
    </fill>
    <fill>
      <patternFill patternType="solid">
        <fgColor rgb="FFFFF2CC"/>
      </patternFill>
    </fill>
    <fill>
      <patternFill patternType="solid">
        <fgColor rgb="FFEAF0E3"/>
      </patternFill>
    </fill>
    <fill>
      <patternFill patternType="solid">
        <fgColor rgb="FF253B35"/>
      </patternFill>
    </fill>
    <fill>
      <patternFill patternType="solid">
        <fgColor rgb="FFFFF2CC"/>
      </patternFill>
    </fill>
    <fill>
      <patternFill patternType="solid">
        <fgColor rgb="FFFFF2CC"/>
      </patternFill>
    </fill>
    <fill>
      <patternFill patternType="solid">
        <fgColor rgb="FFEAF0E3"/>
      </patternFill>
    </fill>
    <fill>
      <patternFill patternType="solid">
        <fgColor rgb="FF253B35"/>
        <bgColor indexed="64"/>
      </patternFill>
    </fill>
  </fills>
  <borders count="2">
    <border>
      <left/>
      <right/>
      <top/>
      <bottom/>
      <diagonal/>
    </border>
    <border>
      <left style="thin">
        <color rgb="FFD3DCD9"/>
      </left>
      <right style="thin">
        <color rgb="FFD3DCD9"/>
      </right>
      <top style="thin">
        <color rgb="FFD3DCD9"/>
      </top>
      <bottom style="thin">
        <color rgb="FFD3DCD9"/>
      </bottom>
      <diagonal/>
    </border>
  </borders>
  <cellStyleXfs count="1">
    <xf numFmtId="0" fontId="0" fillId="0" borderId="0"/>
  </cellStyleXfs>
  <cellXfs count="42">
    <xf numFmtId="0" fontId="0" fillId="0" borderId="0" xfId="0"/>
    <xf numFmtId="0" fontId="1" fillId="0" borderId="0" xfId="0" applyFont="1" applyAlignment="1">
      <alignment vertical="center"/>
    </xf>
    <xf numFmtId="0" fontId="2" fillId="0" borderId="0" xfId="0" applyFont="1" applyAlignment="1">
      <alignment vertical="center"/>
    </xf>
    <xf numFmtId="0" fontId="3" fillId="2" borderId="0" xfId="0" applyFont="1" applyFill="1" applyAlignment="1">
      <alignment vertical="center" wrapText="1"/>
    </xf>
    <xf numFmtId="0" fontId="1" fillId="0" borderId="0" xfId="0" applyFont="1" applyAlignment="1">
      <alignment vertical="center" wrapText="1"/>
    </xf>
    <xf numFmtId="164" fontId="1" fillId="0" borderId="0" xfId="0" applyNumberFormat="1" applyFont="1" applyAlignment="1">
      <alignment vertical="center"/>
    </xf>
    <xf numFmtId="2" fontId="1" fillId="0" borderId="0" xfId="0" applyNumberFormat="1" applyFont="1" applyAlignment="1">
      <alignment vertical="center"/>
    </xf>
    <xf numFmtId="0" fontId="1" fillId="3" borderId="0" xfId="0" applyFont="1" applyFill="1" applyAlignment="1">
      <alignment vertical="center"/>
    </xf>
    <xf numFmtId="165" fontId="1" fillId="0" borderId="0" xfId="0" applyNumberFormat="1" applyFont="1" applyAlignment="1">
      <alignment vertical="center"/>
    </xf>
    <xf numFmtId="166" fontId="1" fillId="0" borderId="0" xfId="0" applyNumberFormat="1" applyFont="1" applyAlignment="1">
      <alignment vertical="center"/>
    </xf>
    <xf numFmtId="0" fontId="1" fillId="4" borderId="0" xfId="0" applyFont="1" applyFill="1" applyAlignment="1">
      <alignment vertical="center"/>
    </xf>
    <xf numFmtId="166" fontId="1" fillId="4" borderId="0" xfId="0" applyNumberFormat="1" applyFont="1" applyFill="1" applyAlignment="1">
      <alignment vertical="center"/>
    </xf>
    <xf numFmtId="49" fontId="1" fillId="0" borderId="0" xfId="0" applyNumberFormat="1" applyFont="1" applyAlignment="1">
      <alignment vertical="center"/>
    </xf>
    <xf numFmtId="49" fontId="1" fillId="0" borderId="0" xfId="0" applyNumberFormat="1" applyFont="1" applyAlignment="1">
      <alignment vertical="center" wrapText="1"/>
    </xf>
    <xf numFmtId="49" fontId="0" fillId="0" borderId="0" xfId="0" applyNumberFormat="1"/>
    <xf numFmtId="49" fontId="4" fillId="0" borderId="0" xfId="0" applyNumberFormat="1" applyFont="1"/>
    <xf numFmtId="49" fontId="5" fillId="0" borderId="0" xfId="0" applyNumberFormat="1" applyFont="1"/>
    <xf numFmtId="49" fontId="7" fillId="0" borderId="0" xfId="0" applyNumberFormat="1" applyFont="1"/>
    <xf numFmtId="49" fontId="5" fillId="6" borderId="0" xfId="0" applyNumberFormat="1" applyFont="1" applyFill="1"/>
    <xf numFmtId="49" fontId="6" fillId="5" borderId="1" xfId="0" applyNumberFormat="1" applyFont="1" applyFill="1" applyBorder="1" applyAlignment="1">
      <alignment vertical="center"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5" fillId="0" borderId="0" xfId="0" applyFont="1"/>
    <xf numFmtId="2" fontId="5" fillId="0" borderId="0" xfId="0" applyNumberFormat="1" applyFont="1"/>
    <xf numFmtId="1" fontId="5" fillId="0" borderId="0" xfId="0" applyNumberFormat="1" applyFont="1"/>
    <xf numFmtId="1" fontId="5" fillId="6" borderId="0" xfId="0" applyNumberFormat="1" applyFont="1" applyFill="1"/>
    <xf numFmtId="1" fontId="0" fillId="0" borderId="0" xfId="0" applyNumberFormat="1"/>
    <xf numFmtId="2" fontId="0" fillId="0" borderId="0" xfId="0" applyNumberFormat="1"/>
    <xf numFmtId="2" fontId="0" fillId="6" borderId="0" xfId="0" applyNumberFormat="1" applyFill="1"/>
    <xf numFmtId="9" fontId="0" fillId="6" borderId="0" xfId="0" applyNumberFormat="1" applyFill="1"/>
    <xf numFmtId="2" fontId="5" fillId="0" borderId="1" xfId="0" applyNumberFormat="1" applyFont="1" applyBorder="1"/>
    <xf numFmtId="2" fontId="8" fillId="7" borderId="0" xfId="0" applyNumberFormat="1" applyFont="1" applyFill="1"/>
    <xf numFmtId="0" fontId="5" fillId="8" borderId="0" xfId="0" applyFont="1" applyFill="1"/>
    <xf numFmtId="2" fontId="5" fillId="8" borderId="0" xfId="0" applyNumberFormat="1" applyFont="1" applyFill="1"/>
    <xf numFmtId="49" fontId="6" fillId="9" borderId="1" xfId="0" applyNumberFormat="1" applyFont="1" applyFill="1" applyBorder="1" applyAlignment="1">
      <alignment vertical="top" wrapText="1"/>
    </xf>
    <xf numFmtId="0" fontId="0" fillId="0" borderId="1" xfId="0" applyBorder="1" applyAlignment="1">
      <alignment vertical="top" wrapText="1"/>
    </xf>
    <xf numFmtId="49" fontId="0" fillId="0" borderId="1" xfId="0" applyNumberFormat="1" applyBorder="1" applyAlignment="1">
      <alignment vertical="top" wrapText="1"/>
    </xf>
    <xf numFmtId="49" fontId="1" fillId="4" borderId="0" xfId="0" applyNumberFormat="1" applyFont="1" applyFill="1" applyAlignment="1">
      <alignment vertical="center" wrapText="1"/>
    </xf>
    <xf numFmtId="49" fontId="7" fillId="0" borderId="0" xfId="0" applyNumberFormat="1" applyFont="1" applyAlignment="1">
      <alignment wrapText="1"/>
    </xf>
    <xf numFmtId="0" fontId="0" fillId="0" borderId="0" xfId="0"/>
    <xf numFmtId="0" fontId="0" fillId="0" borderId="0" xfId="0"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AF0E3"/>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53B35"/>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34"/>
  <sheetViews>
    <sheetView showGridLines="0" tabSelected="1" workbookViewId="0">
      <pane ySplit="6" topLeftCell="A7" activePane="bottomLeft" state="frozen"/>
      <selection pane="bottomLeft"/>
    </sheetView>
  </sheetViews>
  <sheetFormatPr baseColWidth="10" defaultColWidth="8.6640625" defaultRowHeight="13.2" x14ac:dyDescent="0.25"/>
  <cols>
    <col min="1" max="1" width="10" customWidth="1"/>
    <col min="2" max="2" width="12" customWidth="1"/>
    <col min="3" max="3" width="32" customWidth="1"/>
    <col min="4" max="4" width="8" customWidth="1"/>
    <col min="5" max="6" width="13" customWidth="1"/>
    <col min="7" max="8" width="12" customWidth="1"/>
    <col min="9" max="12" width="11" customWidth="1"/>
    <col min="13" max="14" width="14" customWidth="1"/>
    <col min="15" max="15" width="24" customWidth="1"/>
    <col min="16" max="16" width="85" customWidth="1"/>
  </cols>
  <sheetData>
    <row r="1" spans="1:16" ht="15" customHeight="1" x14ac:dyDescent="0.25">
      <c r="A1" s="1"/>
      <c r="B1" s="1"/>
      <c r="C1" s="1"/>
      <c r="D1" s="1"/>
      <c r="E1" s="1"/>
      <c r="F1" s="1"/>
      <c r="G1" s="1"/>
      <c r="H1" s="1"/>
      <c r="I1" s="1"/>
      <c r="J1" s="1"/>
      <c r="K1" s="1"/>
      <c r="L1" s="1"/>
      <c r="M1" s="1"/>
      <c r="N1" s="1"/>
      <c r="O1" s="1"/>
      <c r="P1" s="1"/>
    </row>
    <row r="2" spans="1:16" ht="19.5" customHeight="1" x14ac:dyDescent="0.25">
      <c r="A2" s="2" t="s">
        <v>0</v>
      </c>
      <c r="B2" s="1"/>
      <c r="C2" s="1"/>
      <c r="D2" s="1"/>
      <c r="E2" s="1"/>
      <c r="F2" s="1"/>
      <c r="G2" s="1"/>
      <c r="H2" s="1"/>
      <c r="I2" s="1"/>
      <c r="J2" s="1"/>
      <c r="K2" s="1"/>
      <c r="L2" s="1"/>
      <c r="M2" s="1"/>
      <c r="N2" s="1"/>
      <c r="O2" s="1"/>
      <c r="P2" s="1"/>
    </row>
    <row r="3" spans="1:16" ht="15" customHeight="1" x14ac:dyDescent="0.25">
      <c r="A3" s="1" t="s">
        <v>1</v>
      </c>
      <c r="B3" s="1"/>
      <c r="C3" s="1"/>
      <c r="D3" s="1"/>
      <c r="E3" s="1"/>
      <c r="F3" s="1"/>
      <c r="G3" s="1"/>
      <c r="H3" s="1"/>
      <c r="I3" s="1"/>
      <c r="J3" s="1"/>
      <c r="K3" s="1"/>
      <c r="L3" s="1"/>
      <c r="M3" s="1"/>
      <c r="N3" s="1"/>
      <c r="O3" s="1"/>
      <c r="P3" s="1"/>
    </row>
    <row r="4" spans="1:16" ht="15" customHeight="1" x14ac:dyDescent="0.25">
      <c r="A4" s="1" t="s">
        <v>2</v>
      </c>
      <c r="B4" s="1"/>
      <c r="C4" s="1"/>
      <c r="D4" s="1"/>
      <c r="E4" s="1"/>
      <c r="F4" s="1"/>
      <c r="G4" s="1"/>
      <c r="H4" s="1"/>
      <c r="I4" s="1"/>
      <c r="J4" s="1"/>
      <c r="K4" s="1"/>
      <c r="L4" s="1"/>
      <c r="M4" s="1"/>
      <c r="N4" s="1"/>
      <c r="O4" s="1"/>
      <c r="P4" s="1"/>
    </row>
    <row r="5" spans="1:16" ht="15" customHeight="1" x14ac:dyDescent="0.25">
      <c r="A5" s="1"/>
      <c r="B5" s="1"/>
      <c r="C5" s="1"/>
      <c r="D5" s="1"/>
      <c r="E5" s="1"/>
      <c r="F5" s="1"/>
      <c r="G5" s="1"/>
      <c r="H5" s="1"/>
      <c r="I5" s="1"/>
      <c r="J5" s="1"/>
      <c r="K5" s="1"/>
      <c r="L5" s="1"/>
      <c r="M5" s="1"/>
      <c r="N5" s="1"/>
      <c r="O5" s="1"/>
      <c r="P5" s="1"/>
    </row>
    <row r="6" spans="1:16" ht="42" customHeight="1" x14ac:dyDescent="0.25">
      <c r="A6" s="3" t="s">
        <v>3</v>
      </c>
      <c r="B6" s="3" t="s">
        <v>4</v>
      </c>
      <c r="C6" s="3" t="s">
        <v>5</v>
      </c>
      <c r="D6" s="3" t="s">
        <v>6</v>
      </c>
      <c r="E6" s="3" t="s">
        <v>7</v>
      </c>
      <c r="F6" s="3" t="s">
        <v>8</v>
      </c>
      <c r="G6" s="3" t="s">
        <v>9</v>
      </c>
      <c r="H6" s="3" t="s">
        <v>10</v>
      </c>
      <c r="I6" s="3" t="s">
        <v>11</v>
      </c>
      <c r="J6" s="3" t="s">
        <v>12</v>
      </c>
      <c r="K6" s="3" t="s">
        <v>13</v>
      </c>
      <c r="L6" s="3" t="s">
        <v>14</v>
      </c>
      <c r="M6" s="3" t="s">
        <v>15</v>
      </c>
      <c r="N6" s="3" t="s">
        <v>16</v>
      </c>
      <c r="O6" s="3" t="s">
        <v>17</v>
      </c>
      <c r="P6" s="3" t="s">
        <v>18</v>
      </c>
    </row>
    <row r="7" spans="1:16" ht="54" customHeight="1" x14ac:dyDescent="0.25">
      <c r="A7" s="1" t="s">
        <v>19</v>
      </c>
      <c r="B7" s="1" t="s">
        <v>20</v>
      </c>
      <c r="C7" s="4" t="s">
        <v>21</v>
      </c>
      <c r="D7" s="1">
        <v>2</v>
      </c>
      <c r="E7" s="1">
        <v>2280</v>
      </c>
      <c r="F7" s="1">
        <v>560</v>
      </c>
      <c r="G7" s="1">
        <v>15</v>
      </c>
      <c r="H7" s="5">
        <f t="shared" ref="H7:H30" si="0">D7*E7*F7/1000000</f>
        <v>2.5535999999999999</v>
      </c>
      <c r="I7" s="12" t="s">
        <v>22</v>
      </c>
      <c r="J7" s="12" t="s">
        <v>23</v>
      </c>
      <c r="K7" s="12" t="s">
        <v>24</v>
      </c>
      <c r="L7" s="12" t="s">
        <v>24</v>
      </c>
      <c r="M7" s="6">
        <f t="shared" ref="M7:M30" si="1">E7-IF(K7="2",2,IF(K7="0.45",0.45,0))-IF(L7="2",2,IF(L7="0.45",0.45,0))</f>
        <v>2279.1000000000004</v>
      </c>
      <c r="N7" s="6">
        <f t="shared" ref="N7:N30" si="2">F7-IF(I7="2",2,IF(I7="0.45",0.45,0))-IF(J7="2",2,IF(J7="0.45",0.45,0))</f>
        <v>558</v>
      </c>
      <c r="O7" s="7" t="s">
        <v>25</v>
      </c>
      <c r="P7" s="4" t="s">
        <v>26</v>
      </c>
    </row>
    <row r="8" spans="1:16" ht="54" customHeight="1" x14ac:dyDescent="0.25">
      <c r="A8" s="1" t="s">
        <v>27</v>
      </c>
      <c r="B8" s="1" t="s">
        <v>20</v>
      </c>
      <c r="C8" s="4" t="s">
        <v>28</v>
      </c>
      <c r="D8" s="1">
        <v>1</v>
      </c>
      <c r="E8" s="1">
        <v>2280</v>
      </c>
      <c r="F8" s="1">
        <v>490</v>
      </c>
      <c r="G8" s="1">
        <v>15</v>
      </c>
      <c r="H8" s="5">
        <f t="shared" si="0"/>
        <v>1.1172</v>
      </c>
      <c r="I8" s="12" t="s">
        <v>22</v>
      </c>
      <c r="J8" s="12" t="s">
        <v>23</v>
      </c>
      <c r="K8" s="12" t="s">
        <v>24</v>
      </c>
      <c r="L8" s="12" t="s">
        <v>23</v>
      </c>
      <c r="M8" s="6">
        <f t="shared" si="1"/>
        <v>2279.5500000000002</v>
      </c>
      <c r="N8" s="6">
        <f t="shared" si="2"/>
        <v>488</v>
      </c>
      <c r="O8" s="7" t="s">
        <v>25</v>
      </c>
      <c r="P8" s="4" t="s">
        <v>29</v>
      </c>
    </row>
    <row r="9" spans="1:16" ht="54" customHeight="1" x14ac:dyDescent="0.25">
      <c r="A9" s="1" t="s">
        <v>30</v>
      </c>
      <c r="B9" s="1" t="s">
        <v>31</v>
      </c>
      <c r="C9" s="4" t="s">
        <v>32</v>
      </c>
      <c r="D9" s="1">
        <v>1</v>
      </c>
      <c r="E9" s="1">
        <v>830</v>
      </c>
      <c r="F9" s="1">
        <v>560</v>
      </c>
      <c r="G9" s="1">
        <v>15</v>
      </c>
      <c r="H9" s="5">
        <f t="shared" si="0"/>
        <v>0.46479999999999999</v>
      </c>
      <c r="I9" s="12" t="s">
        <v>22</v>
      </c>
      <c r="J9" s="12" t="s">
        <v>23</v>
      </c>
      <c r="K9" s="12" t="s">
        <v>24</v>
      </c>
      <c r="L9" s="12" t="s">
        <v>23</v>
      </c>
      <c r="M9" s="6">
        <f t="shared" si="1"/>
        <v>829.55</v>
      </c>
      <c r="N9" s="6">
        <f t="shared" si="2"/>
        <v>558</v>
      </c>
      <c r="O9" s="7" t="s">
        <v>25</v>
      </c>
      <c r="P9" s="4" t="s">
        <v>33</v>
      </c>
    </row>
    <row r="10" spans="1:16" ht="54" customHeight="1" x14ac:dyDescent="0.25">
      <c r="A10" s="1" t="s">
        <v>34</v>
      </c>
      <c r="B10" s="1" t="s">
        <v>31</v>
      </c>
      <c r="C10" s="4" t="s">
        <v>35</v>
      </c>
      <c r="D10" s="1">
        <v>1</v>
      </c>
      <c r="E10" s="1">
        <v>830</v>
      </c>
      <c r="F10" s="1">
        <v>505</v>
      </c>
      <c r="G10" s="1">
        <v>15</v>
      </c>
      <c r="H10" s="5">
        <f t="shared" si="0"/>
        <v>0.41915000000000002</v>
      </c>
      <c r="I10" s="12" t="s">
        <v>24</v>
      </c>
      <c r="J10" s="12" t="s">
        <v>23</v>
      </c>
      <c r="K10" s="12" t="s">
        <v>23</v>
      </c>
      <c r="L10" s="12" t="s">
        <v>23</v>
      </c>
      <c r="M10" s="6">
        <f t="shared" si="1"/>
        <v>830</v>
      </c>
      <c r="N10" s="6">
        <f t="shared" si="2"/>
        <v>504.55</v>
      </c>
      <c r="O10" s="7" t="s">
        <v>25</v>
      </c>
      <c r="P10" s="4" t="s">
        <v>36</v>
      </c>
    </row>
    <row r="11" spans="1:16" ht="54" customHeight="1" x14ac:dyDescent="0.25">
      <c r="A11" s="1" t="s">
        <v>37</v>
      </c>
      <c r="B11" s="1" t="s">
        <v>31</v>
      </c>
      <c r="C11" s="4" t="s">
        <v>38</v>
      </c>
      <c r="D11" s="1">
        <v>1</v>
      </c>
      <c r="E11" s="1">
        <v>2250</v>
      </c>
      <c r="F11" s="1">
        <v>830</v>
      </c>
      <c r="G11" s="1">
        <v>15</v>
      </c>
      <c r="H11" s="5">
        <f t="shared" si="0"/>
        <v>1.8674999999999999</v>
      </c>
      <c r="I11" s="12" t="s">
        <v>23</v>
      </c>
      <c r="J11" s="12" t="s">
        <v>23</v>
      </c>
      <c r="K11" s="12" t="s">
        <v>23</v>
      </c>
      <c r="L11" s="12" t="s">
        <v>23</v>
      </c>
      <c r="M11" s="6">
        <f t="shared" si="1"/>
        <v>2250</v>
      </c>
      <c r="N11" s="6">
        <f t="shared" si="2"/>
        <v>830</v>
      </c>
      <c r="O11" s="7" t="s">
        <v>25</v>
      </c>
      <c r="P11" s="4" t="s">
        <v>39</v>
      </c>
    </row>
    <row r="12" spans="1:16" ht="54" customHeight="1" x14ac:dyDescent="0.25">
      <c r="A12" s="1" t="s">
        <v>40</v>
      </c>
      <c r="B12" s="1" t="s">
        <v>31</v>
      </c>
      <c r="C12" s="4" t="s">
        <v>41</v>
      </c>
      <c r="D12" s="1">
        <v>1</v>
      </c>
      <c r="E12" s="1">
        <v>830</v>
      </c>
      <c r="F12" s="1">
        <v>475</v>
      </c>
      <c r="G12" s="1">
        <v>15</v>
      </c>
      <c r="H12" s="5">
        <f t="shared" si="0"/>
        <v>0.39424999999999999</v>
      </c>
      <c r="I12" s="12" t="s">
        <v>22</v>
      </c>
      <c r="J12" s="12" t="s">
        <v>23</v>
      </c>
      <c r="K12" s="12" t="s">
        <v>23</v>
      </c>
      <c r="L12" s="12" t="s">
        <v>23</v>
      </c>
      <c r="M12" s="6">
        <f t="shared" si="1"/>
        <v>830</v>
      </c>
      <c r="N12" s="6">
        <f t="shared" si="2"/>
        <v>473</v>
      </c>
      <c r="O12" s="7" t="s">
        <v>25</v>
      </c>
      <c r="P12" s="4" t="s">
        <v>42</v>
      </c>
    </row>
    <row r="13" spans="1:16" ht="54" customHeight="1" x14ac:dyDescent="0.25">
      <c r="A13" s="1" t="s">
        <v>43</v>
      </c>
      <c r="B13" s="1" t="s">
        <v>31</v>
      </c>
      <c r="C13" s="4" t="s">
        <v>44</v>
      </c>
      <c r="D13" s="1">
        <v>1</v>
      </c>
      <c r="E13" s="1">
        <v>830</v>
      </c>
      <c r="F13" s="1">
        <v>80</v>
      </c>
      <c r="G13" s="1">
        <v>15</v>
      </c>
      <c r="H13" s="5">
        <f t="shared" si="0"/>
        <v>6.6400000000000001E-2</v>
      </c>
      <c r="I13" s="12" t="s">
        <v>24</v>
      </c>
      <c r="J13" s="12" t="s">
        <v>23</v>
      </c>
      <c r="K13" s="12" t="s">
        <v>23</v>
      </c>
      <c r="L13" s="12" t="s">
        <v>23</v>
      </c>
      <c r="M13" s="6">
        <f t="shared" si="1"/>
        <v>830</v>
      </c>
      <c r="N13" s="6">
        <f t="shared" si="2"/>
        <v>79.55</v>
      </c>
      <c r="O13" s="7" t="s">
        <v>25</v>
      </c>
      <c r="P13" s="4" t="s">
        <v>45</v>
      </c>
    </row>
    <row r="14" spans="1:16" ht="54" customHeight="1" x14ac:dyDescent="0.25">
      <c r="A14" s="1" t="s">
        <v>46</v>
      </c>
      <c r="B14" s="1" t="s">
        <v>31</v>
      </c>
      <c r="C14" s="4" t="s">
        <v>47</v>
      </c>
      <c r="D14" s="1">
        <v>1</v>
      </c>
      <c r="E14" s="1">
        <v>830</v>
      </c>
      <c r="F14" s="1">
        <v>100</v>
      </c>
      <c r="G14" s="1">
        <v>15</v>
      </c>
      <c r="H14" s="5">
        <f t="shared" si="0"/>
        <v>8.3000000000000004E-2</v>
      </c>
      <c r="I14" s="12" t="s">
        <v>24</v>
      </c>
      <c r="J14" s="12" t="s">
        <v>23</v>
      </c>
      <c r="K14" s="12" t="s">
        <v>23</v>
      </c>
      <c r="L14" s="12" t="s">
        <v>23</v>
      </c>
      <c r="M14" s="6">
        <f t="shared" si="1"/>
        <v>830</v>
      </c>
      <c r="N14" s="6">
        <f t="shared" si="2"/>
        <v>99.55</v>
      </c>
      <c r="O14" s="7" t="s">
        <v>25</v>
      </c>
      <c r="P14" s="4" t="s">
        <v>48</v>
      </c>
    </row>
    <row r="15" spans="1:16" ht="54" customHeight="1" x14ac:dyDescent="0.25">
      <c r="A15" s="1" t="s">
        <v>49</v>
      </c>
      <c r="B15" s="1" t="s">
        <v>50</v>
      </c>
      <c r="C15" s="4" t="s">
        <v>32</v>
      </c>
      <c r="D15" s="1">
        <v>1</v>
      </c>
      <c r="E15" s="1">
        <v>1075</v>
      </c>
      <c r="F15" s="1">
        <v>560</v>
      </c>
      <c r="G15" s="1">
        <v>15</v>
      </c>
      <c r="H15" s="5">
        <f t="shared" si="0"/>
        <v>0.60199999999999998</v>
      </c>
      <c r="I15" s="12" t="s">
        <v>22</v>
      </c>
      <c r="J15" s="12" t="s">
        <v>23</v>
      </c>
      <c r="K15" s="12" t="s">
        <v>24</v>
      </c>
      <c r="L15" s="12" t="s">
        <v>23</v>
      </c>
      <c r="M15" s="6">
        <f t="shared" si="1"/>
        <v>1074.55</v>
      </c>
      <c r="N15" s="6">
        <f t="shared" si="2"/>
        <v>558</v>
      </c>
      <c r="O15" s="7" t="s">
        <v>25</v>
      </c>
      <c r="P15" s="4" t="s">
        <v>33</v>
      </c>
    </row>
    <row r="16" spans="1:16" ht="54" customHeight="1" x14ac:dyDescent="0.25">
      <c r="A16" s="1" t="s">
        <v>51</v>
      </c>
      <c r="B16" s="1" t="s">
        <v>50</v>
      </c>
      <c r="C16" s="4" t="s">
        <v>35</v>
      </c>
      <c r="D16" s="1">
        <v>1</v>
      </c>
      <c r="E16" s="1">
        <v>1075</v>
      </c>
      <c r="F16" s="1">
        <v>505</v>
      </c>
      <c r="G16" s="1">
        <v>15</v>
      </c>
      <c r="H16" s="5">
        <f t="shared" si="0"/>
        <v>0.542875</v>
      </c>
      <c r="I16" s="12" t="s">
        <v>24</v>
      </c>
      <c r="J16" s="12" t="s">
        <v>23</v>
      </c>
      <c r="K16" s="12" t="s">
        <v>23</v>
      </c>
      <c r="L16" s="12" t="s">
        <v>23</v>
      </c>
      <c r="M16" s="6">
        <f t="shared" si="1"/>
        <v>1075</v>
      </c>
      <c r="N16" s="6">
        <f t="shared" si="2"/>
        <v>504.55</v>
      </c>
      <c r="O16" s="7" t="s">
        <v>25</v>
      </c>
      <c r="P16" s="4" t="s">
        <v>36</v>
      </c>
    </row>
    <row r="17" spans="1:16" ht="54" customHeight="1" x14ac:dyDescent="0.25">
      <c r="A17" s="1" t="s">
        <v>52</v>
      </c>
      <c r="B17" s="1" t="s">
        <v>50</v>
      </c>
      <c r="C17" s="4" t="s">
        <v>38</v>
      </c>
      <c r="D17" s="1">
        <v>1</v>
      </c>
      <c r="E17" s="1">
        <v>2250</v>
      </c>
      <c r="F17" s="1">
        <v>1075</v>
      </c>
      <c r="G17" s="1">
        <v>15</v>
      </c>
      <c r="H17" s="5">
        <f t="shared" si="0"/>
        <v>2.4187500000000002</v>
      </c>
      <c r="I17" s="12" t="s">
        <v>23</v>
      </c>
      <c r="J17" s="12" t="s">
        <v>23</v>
      </c>
      <c r="K17" s="12" t="s">
        <v>23</v>
      </c>
      <c r="L17" s="12" t="s">
        <v>23</v>
      </c>
      <c r="M17" s="6">
        <f t="shared" si="1"/>
        <v>2250</v>
      </c>
      <c r="N17" s="6">
        <f t="shared" si="2"/>
        <v>1075</v>
      </c>
      <c r="O17" s="7" t="s">
        <v>25</v>
      </c>
      <c r="P17" s="4" t="s">
        <v>39</v>
      </c>
    </row>
    <row r="18" spans="1:16" ht="54" customHeight="1" x14ac:dyDescent="0.25">
      <c r="A18" s="1" t="s">
        <v>53</v>
      </c>
      <c r="B18" s="1" t="s">
        <v>50</v>
      </c>
      <c r="C18" s="4" t="s">
        <v>41</v>
      </c>
      <c r="D18" s="1">
        <v>1</v>
      </c>
      <c r="E18" s="1">
        <v>1075</v>
      </c>
      <c r="F18" s="1">
        <v>475</v>
      </c>
      <c r="G18" s="1">
        <v>15</v>
      </c>
      <c r="H18" s="5">
        <f t="shared" si="0"/>
        <v>0.510625</v>
      </c>
      <c r="I18" s="12" t="s">
        <v>22</v>
      </c>
      <c r="J18" s="12" t="s">
        <v>23</v>
      </c>
      <c r="K18" s="12" t="s">
        <v>23</v>
      </c>
      <c r="L18" s="12" t="s">
        <v>23</v>
      </c>
      <c r="M18" s="6">
        <f t="shared" si="1"/>
        <v>1075</v>
      </c>
      <c r="N18" s="6">
        <f t="shared" si="2"/>
        <v>473</v>
      </c>
      <c r="O18" s="7" t="s">
        <v>25</v>
      </c>
      <c r="P18" s="4" t="s">
        <v>42</v>
      </c>
    </row>
    <row r="19" spans="1:16" ht="54" customHeight="1" x14ac:dyDescent="0.25">
      <c r="A19" s="1" t="s">
        <v>54</v>
      </c>
      <c r="B19" s="1" t="s">
        <v>50</v>
      </c>
      <c r="C19" s="4" t="s">
        <v>44</v>
      </c>
      <c r="D19" s="1">
        <v>1</v>
      </c>
      <c r="E19" s="1">
        <v>1075</v>
      </c>
      <c r="F19" s="1">
        <v>80</v>
      </c>
      <c r="G19" s="1">
        <v>15</v>
      </c>
      <c r="H19" s="5">
        <f t="shared" si="0"/>
        <v>8.5999999999999993E-2</v>
      </c>
      <c r="I19" s="12" t="s">
        <v>24</v>
      </c>
      <c r="J19" s="12" t="s">
        <v>23</v>
      </c>
      <c r="K19" s="12" t="s">
        <v>23</v>
      </c>
      <c r="L19" s="12" t="s">
        <v>23</v>
      </c>
      <c r="M19" s="6">
        <f t="shared" si="1"/>
        <v>1075</v>
      </c>
      <c r="N19" s="6">
        <f t="shared" si="2"/>
        <v>79.55</v>
      </c>
      <c r="O19" s="7" t="s">
        <v>25</v>
      </c>
      <c r="P19" s="4" t="s">
        <v>45</v>
      </c>
    </row>
    <row r="20" spans="1:16" ht="54" customHeight="1" x14ac:dyDescent="0.25">
      <c r="A20" s="1" t="s">
        <v>55</v>
      </c>
      <c r="B20" s="1" t="s">
        <v>50</v>
      </c>
      <c r="C20" s="4" t="s">
        <v>47</v>
      </c>
      <c r="D20" s="1">
        <v>1</v>
      </c>
      <c r="E20" s="1">
        <v>1075</v>
      </c>
      <c r="F20" s="1">
        <v>100</v>
      </c>
      <c r="G20" s="1">
        <v>15</v>
      </c>
      <c r="H20" s="5">
        <f t="shared" si="0"/>
        <v>0.1075</v>
      </c>
      <c r="I20" s="12" t="s">
        <v>24</v>
      </c>
      <c r="J20" s="12" t="s">
        <v>23</v>
      </c>
      <c r="K20" s="12" t="s">
        <v>23</v>
      </c>
      <c r="L20" s="12" t="s">
        <v>23</v>
      </c>
      <c r="M20" s="6">
        <f t="shared" si="1"/>
        <v>1075</v>
      </c>
      <c r="N20" s="6">
        <f t="shared" si="2"/>
        <v>99.55</v>
      </c>
      <c r="O20" s="7" t="s">
        <v>25</v>
      </c>
      <c r="P20" s="4" t="s">
        <v>48</v>
      </c>
    </row>
    <row r="21" spans="1:16" ht="54" customHeight="1" x14ac:dyDescent="0.25">
      <c r="A21" s="1" t="s">
        <v>56</v>
      </c>
      <c r="B21" s="1" t="s">
        <v>31</v>
      </c>
      <c r="C21" s="4" t="s">
        <v>57</v>
      </c>
      <c r="D21" s="1">
        <v>3</v>
      </c>
      <c r="E21" s="1">
        <v>824</v>
      </c>
      <c r="F21" s="1">
        <v>210</v>
      </c>
      <c r="G21" s="1">
        <v>15</v>
      </c>
      <c r="H21" s="5">
        <f t="shared" si="0"/>
        <v>0.51912000000000003</v>
      </c>
      <c r="I21" s="12" t="s">
        <v>22</v>
      </c>
      <c r="J21" s="12" t="s">
        <v>22</v>
      </c>
      <c r="K21" s="12" t="s">
        <v>22</v>
      </c>
      <c r="L21" s="12" t="s">
        <v>22</v>
      </c>
      <c r="M21" s="6">
        <f t="shared" si="1"/>
        <v>820</v>
      </c>
      <c r="N21" s="6">
        <f t="shared" si="2"/>
        <v>206</v>
      </c>
      <c r="O21" s="7" t="s">
        <v>25</v>
      </c>
      <c r="P21" s="4" t="s">
        <v>58</v>
      </c>
    </row>
    <row r="22" spans="1:16" ht="54" customHeight="1" x14ac:dyDescent="0.25">
      <c r="A22" s="1" t="s">
        <v>59</v>
      </c>
      <c r="B22" s="1" t="s">
        <v>31</v>
      </c>
      <c r="C22" s="4" t="s">
        <v>60</v>
      </c>
      <c r="D22" s="1">
        <v>6</v>
      </c>
      <c r="E22" s="1">
        <v>450</v>
      </c>
      <c r="F22" s="1">
        <v>155</v>
      </c>
      <c r="G22" s="1">
        <v>15</v>
      </c>
      <c r="H22" s="5">
        <f t="shared" si="0"/>
        <v>0.41849999999999998</v>
      </c>
      <c r="I22" s="12" t="s">
        <v>24</v>
      </c>
      <c r="J22" s="12" t="s">
        <v>23</v>
      </c>
      <c r="K22" s="12" t="s">
        <v>24</v>
      </c>
      <c r="L22" s="12" t="s">
        <v>23</v>
      </c>
      <c r="M22" s="6">
        <f t="shared" si="1"/>
        <v>449.55</v>
      </c>
      <c r="N22" s="6">
        <f t="shared" si="2"/>
        <v>154.55000000000001</v>
      </c>
      <c r="O22" s="7" t="s">
        <v>25</v>
      </c>
      <c r="P22" s="4" t="s">
        <v>33</v>
      </c>
    </row>
    <row r="23" spans="1:16" ht="54" customHeight="1" x14ac:dyDescent="0.25">
      <c r="A23" s="1" t="s">
        <v>61</v>
      </c>
      <c r="B23" s="1" t="s">
        <v>31</v>
      </c>
      <c r="C23" s="4" t="s">
        <v>62</v>
      </c>
      <c r="D23" s="1">
        <v>3</v>
      </c>
      <c r="E23" s="1">
        <v>803</v>
      </c>
      <c r="F23" s="1">
        <v>450</v>
      </c>
      <c r="G23" s="1">
        <v>15</v>
      </c>
      <c r="H23" s="5">
        <f t="shared" si="0"/>
        <v>1.08405</v>
      </c>
      <c r="I23" s="12" t="s">
        <v>24</v>
      </c>
      <c r="J23" s="12" t="s">
        <v>23</v>
      </c>
      <c r="K23" s="12" t="s">
        <v>24</v>
      </c>
      <c r="L23" s="12" t="s">
        <v>24</v>
      </c>
      <c r="M23" s="6">
        <f t="shared" si="1"/>
        <v>802.09999999999991</v>
      </c>
      <c r="N23" s="6">
        <f t="shared" si="2"/>
        <v>449.55</v>
      </c>
      <c r="O23" s="7" t="s">
        <v>25</v>
      </c>
      <c r="P23" s="4" t="s">
        <v>63</v>
      </c>
    </row>
    <row r="24" spans="1:16" ht="54" customHeight="1" x14ac:dyDescent="0.25">
      <c r="A24" s="1" t="s">
        <v>64</v>
      </c>
      <c r="B24" s="1" t="s">
        <v>31</v>
      </c>
      <c r="C24" s="4" t="s">
        <v>65</v>
      </c>
      <c r="D24" s="1">
        <v>6</v>
      </c>
      <c r="E24" s="1">
        <v>773</v>
      </c>
      <c r="F24" s="1">
        <v>155</v>
      </c>
      <c r="G24" s="1">
        <v>15</v>
      </c>
      <c r="H24" s="5">
        <f t="shared" si="0"/>
        <v>0.71889000000000003</v>
      </c>
      <c r="I24" s="12" t="s">
        <v>24</v>
      </c>
      <c r="J24" s="12" t="s">
        <v>23</v>
      </c>
      <c r="K24" s="12" t="s">
        <v>23</v>
      </c>
      <c r="L24" s="12" t="s">
        <v>23</v>
      </c>
      <c r="M24" s="6">
        <f t="shared" si="1"/>
        <v>773</v>
      </c>
      <c r="N24" s="6">
        <f t="shared" si="2"/>
        <v>154.55000000000001</v>
      </c>
      <c r="O24" s="7" t="s">
        <v>25</v>
      </c>
      <c r="P24" s="4" t="s">
        <v>33</v>
      </c>
    </row>
    <row r="25" spans="1:16" ht="54" customHeight="1" x14ac:dyDescent="0.25">
      <c r="A25" s="1" t="s">
        <v>66</v>
      </c>
      <c r="B25" s="1" t="s">
        <v>31</v>
      </c>
      <c r="C25" s="4" t="s">
        <v>67</v>
      </c>
      <c r="D25" s="1">
        <v>3</v>
      </c>
      <c r="E25" s="1">
        <v>803</v>
      </c>
      <c r="F25" s="1">
        <v>40</v>
      </c>
      <c r="G25" s="1">
        <v>15</v>
      </c>
      <c r="H25" s="5">
        <f t="shared" si="0"/>
        <v>9.6360000000000001E-2</v>
      </c>
      <c r="I25" s="12" t="s">
        <v>24</v>
      </c>
      <c r="J25" s="12" t="s">
        <v>23</v>
      </c>
      <c r="K25" s="12" t="s">
        <v>24</v>
      </c>
      <c r="L25" s="12" t="s">
        <v>24</v>
      </c>
      <c r="M25" s="6">
        <f t="shared" si="1"/>
        <v>802.09999999999991</v>
      </c>
      <c r="N25" s="6">
        <f t="shared" si="2"/>
        <v>39.549999999999997</v>
      </c>
      <c r="O25" s="7" t="s">
        <v>25</v>
      </c>
      <c r="P25" s="4" t="s">
        <v>68</v>
      </c>
    </row>
    <row r="26" spans="1:16" ht="54" customHeight="1" x14ac:dyDescent="0.25">
      <c r="A26" s="1" t="s">
        <v>69</v>
      </c>
      <c r="B26" s="1" t="s">
        <v>70</v>
      </c>
      <c r="C26" s="4" t="s">
        <v>71</v>
      </c>
      <c r="D26" s="1">
        <v>1</v>
      </c>
      <c r="E26" s="1">
        <v>1950</v>
      </c>
      <c r="F26" s="1">
        <v>92</v>
      </c>
      <c r="G26" s="1">
        <v>15</v>
      </c>
      <c r="H26" s="5">
        <f t="shared" si="0"/>
        <v>0.1794</v>
      </c>
      <c r="I26" s="12" t="s">
        <v>24</v>
      </c>
      <c r="J26" s="12" t="s">
        <v>24</v>
      </c>
      <c r="K26" s="12" t="s">
        <v>24</v>
      </c>
      <c r="L26" s="12" t="s">
        <v>24</v>
      </c>
      <c r="M26" s="6">
        <f t="shared" si="1"/>
        <v>1949.1</v>
      </c>
      <c r="N26" s="6">
        <f t="shared" si="2"/>
        <v>91.1</v>
      </c>
      <c r="O26" s="7" t="s">
        <v>25</v>
      </c>
      <c r="P26" s="4" t="s">
        <v>33</v>
      </c>
    </row>
    <row r="27" spans="1:16" ht="54" customHeight="1" x14ac:dyDescent="0.25">
      <c r="A27" s="1" t="s">
        <v>72</v>
      </c>
      <c r="B27" s="1" t="s">
        <v>70</v>
      </c>
      <c r="C27" s="4" t="s">
        <v>73</v>
      </c>
      <c r="D27" s="1">
        <v>1</v>
      </c>
      <c r="E27" s="1">
        <v>1950</v>
      </c>
      <c r="F27" s="1">
        <v>80</v>
      </c>
      <c r="G27" s="1">
        <v>15</v>
      </c>
      <c r="H27" s="5">
        <f t="shared" si="0"/>
        <v>0.156</v>
      </c>
      <c r="I27" s="12" t="s">
        <v>24</v>
      </c>
      <c r="J27" s="12" t="s">
        <v>24</v>
      </c>
      <c r="K27" s="12" t="s">
        <v>24</v>
      </c>
      <c r="L27" s="12" t="s">
        <v>24</v>
      </c>
      <c r="M27" s="6">
        <f t="shared" si="1"/>
        <v>1949.1</v>
      </c>
      <c r="N27" s="6">
        <f t="shared" si="2"/>
        <v>79.099999999999994</v>
      </c>
      <c r="O27" s="7" t="s">
        <v>25</v>
      </c>
      <c r="P27" s="4" t="s">
        <v>33</v>
      </c>
    </row>
    <row r="28" spans="1:16" ht="54" customHeight="1" x14ac:dyDescent="0.25">
      <c r="A28" s="1" t="s">
        <v>74</v>
      </c>
      <c r="B28" s="1" t="s">
        <v>70</v>
      </c>
      <c r="C28" s="4" t="s">
        <v>75</v>
      </c>
      <c r="D28" s="1">
        <v>3</v>
      </c>
      <c r="E28" s="1">
        <v>480</v>
      </c>
      <c r="F28" s="1">
        <v>80</v>
      </c>
      <c r="G28" s="1">
        <v>15</v>
      </c>
      <c r="H28" s="5">
        <f t="shared" si="0"/>
        <v>0.1152</v>
      </c>
      <c r="I28" s="12" t="s">
        <v>24</v>
      </c>
      <c r="J28" s="12" t="s">
        <v>24</v>
      </c>
      <c r="K28" s="12" t="s">
        <v>24</v>
      </c>
      <c r="L28" s="12" t="s">
        <v>24</v>
      </c>
      <c r="M28" s="6">
        <f t="shared" si="1"/>
        <v>479.1</v>
      </c>
      <c r="N28" s="6">
        <f t="shared" si="2"/>
        <v>79.099999999999994</v>
      </c>
      <c r="O28" s="7" t="s">
        <v>25</v>
      </c>
      <c r="P28" s="4" t="s">
        <v>33</v>
      </c>
    </row>
    <row r="29" spans="1:16" ht="54" customHeight="1" x14ac:dyDescent="0.25">
      <c r="A29" s="1" t="s">
        <v>76</v>
      </c>
      <c r="B29" s="1" t="s">
        <v>77</v>
      </c>
      <c r="C29" s="4" t="s">
        <v>78</v>
      </c>
      <c r="D29" s="1">
        <v>2</v>
      </c>
      <c r="E29" s="1">
        <v>2175</v>
      </c>
      <c r="F29" s="1">
        <v>975</v>
      </c>
      <c r="G29" s="1">
        <v>15</v>
      </c>
      <c r="H29" s="5">
        <f t="shared" si="0"/>
        <v>4.24125</v>
      </c>
      <c r="I29" s="12" t="s">
        <v>22</v>
      </c>
      <c r="J29" s="12" t="s">
        <v>22</v>
      </c>
      <c r="K29" s="12" t="s">
        <v>22</v>
      </c>
      <c r="L29" s="12" t="s">
        <v>22</v>
      </c>
      <c r="M29" s="6">
        <f t="shared" si="1"/>
        <v>2171</v>
      </c>
      <c r="N29" s="6">
        <f t="shared" si="2"/>
        <v>971</v>
      </c>
      <c r="O29" s="7" t="s">
        <v>79</v>
      </c>
      <c r="P29" s="13" t="s">
        <v>298</v>
      </c>
    </row>
    <row r="30" spans="1:16" ht="54" customHeight="1" x14ac:dyDescent="0.25">
      <c r="A30" s="1" t="s">
        <v>80</v>
      </c>
      <c r="B30" s="1" t="s">
        <v>20</v>
      </c>
      <c r="C30" s="4" t="s">
        <v>81</v>
      </c>
      <c r="D30" s="1">
        <v>1</v>
      </c>
      <c r="E30" s="1">
        <v>1950</v>
      </c>
      <c r="F30" s="1">
        <v>120</v>
      </c>
      <c r="G30" s="1">
        <v>15</v>
      </c>
      <c r="H30" s="5">
        <f t="shared" si="0"/>
        <v>0.23400000000000001</v>
      </c>
      <c r="I30" s="12" t="s">
        <v>22</v>
      </c>
      <c r="J30" s="12" t="s">
        <v>24</v>
      </c>
      <c r="K30" s="12" t="s">
        <v>22</v>
      </c>
      <c r="L30" s="12" t="s">
        <v>22</v>
      </c>
      <c r="M30" s="6">
        <f t="shared" si="1"/>
        <v>1946</v>
      </c>
      <c r="N30" s="6">
        <f t="shared" si="2"/>
        <v>117.55</v>
      </c>
      <c r="O30" s="7" t="s">
        <v>25</v>
      </c>
      <c r="P30" s="4" t="s">
        <v>82</v>
      </c>
    </row>
    <row r="31" spans="1:16" ht="15" customHeight="1" x14ac:dyDescent="0.25">
      <c r="A31" s="1"/>
      <c r="B31" s="1"/>
      <c r="C31" s="1"/>
      <c r="D31" s="1"/>
      <c r="E31" s="1"/>
      <c r="F31" s="1"/>
      <c r="G31" s="1"/>
      <c r="H31" s="5"/>
      <c r="I31" s="1"/>
      <c r="J31" s="1"/>
      <c r="K31" s="1"/>
      <c r="L31" s="1"/>
      <c r="M31" s="1"/>
      <c r="N31" s="1"/>
      <c r="O31" s="1"/>
      <c r="P31" s="1"/>
    </row>
    <row r="32" spans="1:16" ht="15" customHeight="1" x14ac:dyDescent="0.25">
      <c r="A32" s="1"/>
      <c r="B32" s="1"/>
      <c r="C32" s="1" t="s">
        <v>83</v>
      </c>
      <c r="D32" s="1">
        <f>SUM(D7:D30)</f>
        <v>44</v>
      </c>
      <c r="E32" s="1"/>
      <c r="F32" s="1"/>
      <c r="G32" s="1" t="s">
        <v>84</v>
      </c>
      <c r="H32" s="5">
        <f>SUM(H7:H30)</f>
        <v>18.996420000000001</v>
      </c>
      <c r="I32" s="1"/>
      <c r="J32" s="1"/>
      <c r="K32" s="1"/>
      <c r="L32" s="1"/>
      <c r="M32" s="1"/>
      <c r="N32" s="1"/>
      <c r="O32" s="1"/>
      <c r="P32" s="1"/>
    </row>
    <row r="33" spans="1:16" ht="15" customHeight="1" x14ac:dyDescent="0.25">
      <c r="A33" s="1" t="s">
        <v>85</v>
      </c>
      <c r="B33" s="1"/>
      <c r="C33" s="1"/>
      <c r="D33" s="1"/>
      <c r="E33" s="1"/>
      <c r="F33" s="1"/>
      <c r="G33" s="1"/>
      <c r="H33" s="1"/>
      <c r="I33" s="1"/>
      <c r="J33" s="1"/>
      <c r="K33" s="1"/>
      <c r="L33" s="1"/>
      <c r="M33" s="1"/>
      <c r="N33" s="1"/>
      <c r="O33" s="1"/>
      <c r="P33" s="1"/>
    </row>
    <row r="34" spans="1:16" ht="15" customHeight="1" x14ac:dyDescent="0.25">
      <c r="A34" s="1"/>
      <c r="B34" s="1"/>
      <c r="C34" s="1"/>
      <c r="D34" s="1"/>
      <c r="E34" s="1"/>
      <c r="F34" s="1"/>
      <c r="G34" s="1"/>
      <c r="H34" s="1"/>
      <c r="I34" s="1"/>
      <c r="J34" s="1"/>
      <c r="K34" s="1"/>
      <c r="L34" s="1"/>
      <c r="M34" s="1"/>
      <c r="N34" s="1"/>
      <c r="O34" s="1"/>
      <c r="P34"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47"/>
  <sheetViews>
    <sheetView workbookViewId="0">
      <pane ySplit="6" topLeftCell="A7" activePane="bottomLeft" state="frozen"/>
      <selection pane="bottomLeft"/>
    </sheetView>
  </sheetViews>
  <sheetFormatPr baseColWidth="10" defaultRowHeight="13.2" x14ac:dyDescent="0.25"/>
  <cols>
    <col min="1" max="1" width="9.77734375" customWidth="1"/>
    <col min="2" max="2" width="22.77734375" customWidth="1"/>
    <col min="3" max="3" width="38.77734375" customWidth="1"/>
    <col min="4" max="4" width="24.77734375" customWidth="1"/>
    <col min="5" max="5" width="6.77734375" customWidth="1"/>
    <col min="6" max="7" width="11.77734375" customWidth="1"/>
    <col min="8" max="11" width="7.77734375" customWidth="1"/>
    <col min="12" max="12" width="11.77734375" customWidth="1"/>
    <col min="13" max="13" width="14.77734375" customWidth="1"/>
    <col min="14" max="14" width="46.77734375" customWidth="1"/>
    <col min="16" max="16" width="48.77734375" customWidth="1"/>
    <col min="17" max="17" width="8.77734375" customWidth="1"/>
    <col min="19" max="19" width="10.77734375" customWidth="1"/>
    <col min="20" max="20" width="60.77734375" customWidth="1"/>
  </cols>
  <sheetData>
    <row r="1" spans="1:20" x14ac:dyDescent="0.25">
      <c r="S1" s="14" t="s">
        <v>86</v>
      </c>
    </row>
    <row r="2" spans="1:20" ht="17.399999999999999" x14ac:dyDescent="0.3">
      <c r="A2" s="15" t="s">
        <v>87</v>
      </c>
      <c r="P2" s="17" t="s">
        <v>88</v>
      </c>
      <c r="Q2" s="18" t="s">
        <v>233</v>
      </c>
      <c r="S2" s="14" t="s">
        <v>19</v>
      </c>
      <c r="T2" s="14" t="s">
        <v>89</v>
      </c>
    </row>
    <row r="3" spans="1:20" x14ac:dyDescent="0.25">
      <c r="A3" s="14" t="s">
        <v>234</v>
      </c>
      <c r="P3" s="17" t="s">
        <v>235</v>
      </c>
      <c r="Q3" s="26">
        <v>100</v>
      </c>
      <c r="S3" s="14" t="s">
        <v>56</v>
      </c>
      <c r="T3" s="14" t="s">
        <v>90</v>
      </c>
    </row>
    <row r="4" spans="1:20" x14ac:dyDescent="0.25">
      <c r="A4" s="14" t="s">
        <v>236</v>
      </c>
      <c r="P4" s="17" t="s">
        <v>237</v>
      </c>
      <c r="Q4" s="26">
        <v>250</v>
      </c>
      <c r="S4" s="14" t="s">
        <v>76</v>
      </c>
      <c r="T4" s="14" t="s">
        <v>292</v>
      </c>
    </row>
    <row r="5" spans="1:20" x14ac:dyDescent="0.25">
      <c r="P5" s="17" t="s">
        <v>91</v>
      </c>
    </row>
    <row r="6" spans="1:20" ht="26.4" x14ac:dyDescent="0.25">
      <c r="A6" s="19" t="s">
        <v>3</v>
      </c>
      <c r="B6" s="19" t="s">
        <v>92</v>
      </c>
      <c r="C6" s="19" t="s">
        <v>5</v>
      </c>
      <c r="D6" s="19" t="s">
        <v>93</v>
      </c>
      <c r="E6" s="19" t="s">
        <v>6</v>
      </c>
      <c r="F6" s="19" t="s">
        <v>94</v>
      </c>
      <c r="G6" s="19" t="s">
        <v>95</v>
      </c>
      <c r="H6" s="19" t="s">
        <v>96</v>
      </c>
      <c r="I6" s="19" t="s">
        <v>97</v>
      </c>
      <c r="J6" s="19" t="s">
        <v>98</v>
      </c>
      <c r="K6" s="19" t="s">
        <v>99</v>
      </c>
      <c r="L6" s="19" t="s">
        <v>100</v>
      </c>
      <c r="M6" s="19" t="s">
        <v>101</v>
      </c>
      <c r="N6" s="19" t="s">
        <v>102</v>
      </c>
    </row>
    <row r="7" spans="1:20" x14ac:dyDescent="0.25">
      <c r="A7" s="20" t="str">
        <f>Despiece!A7</f>
        <v>C3-001</v>
      </c>
      <c r="B7" s="20" t="str">
        <f>Despiece!B7</f>
        <v>EST</v>
      </c>
      <c r="C7" s="20" t="str">
        <f>Despiece!C7</f>
        <v>Lateral exterior</v>
      </c>
      <c r="D7" s="20" t="str">
        <f>"RH15 Cartagena "&amp;Despiece!G7&amp;" mm"</f>
        <v>RH15 Cartagena 15 mm</v>
      </c>
      <c r="E7" s="20">
        <f>Despiece!D7</f>
        <v>2</v>
      </c>
      <c r="F7" s="31">
        <f>IF($Q$2="NO",ROUND(Despiece!M7,2),Despiece!E7)</f>
        <v>2280</v>
      </c>
      <c r="G7" s="31">
        <f>IF($Q$2="NO",ROUND(Despiece!N7,2),Despiece!F7)</f>
        <v>560</v>
      </c>
      <c r="H7" s="21" t="str">
        <f>IF(Despiece!I7="2","R",IF(Despiece!I7="0.45","F","—"))</f>
        <v>R</v>
      </c>
      <c r="I7" s="21" t="str">
        <f>IF(Despiece!J7="2","R",IF(Despiece!J7="0.45","F","—"))</f>
        <v>—</v>
      </c>
      <c r="J7" s="21" t="str">
        <f>IF(Despiece!K7="2","R",IF(Despiece!K7="0.45","F","—"))</f>
        <v>F</v>
      </c>
      <c r="K7" s="21" t="str">
        <f>IF(Despiece!L7="2","R",IF(Despiece!L7="0.45","F","—"))</f>
        <v>F</v>
      </c>
      <c r="L7" s="21" t="str">
        <f>IF(SUMPRODUCT((Despiece!I7:L7="2")+(Despiece!I7:L7="0.45"))=0,"Sin canto",IF(OR(MIN(Despiece!M7,Despiece!N7)&lt;$Q$3,MAX(Despiece!M7,Despiece!N7)&lt;$Q$4),"Pequeña","Normal"))</f>
        <v>Normal</v>
      </c>
      <c r="M7" s="20" t="str">
        <f>Despiece!E7&amp;" × "&amp;Despiece!F7</f>
        <v>2280 × 560</v>
      </c>
      <c r="N7" s="22" t="str">
        <f>IF(LEN(TRIM(IF($L7="Pequeña","Si no la cantean: cortar a "&amp;ROUND(Despiece!M7,2)&amp;" × "&amp;ROUND(Despiece!N7,2)&amp;" y cantear en el armado.","")&amp;" "&amp;IFERROR(VLOOKUP(Despiece!A7,$S$2:$T$40,2,FALSE),"")))=0,"—",TRIM(IF($L7="Pequeña","Si no la cantean: cortar a "&amp;ROUND(Despiece!M7,2)&amp;" × "&amp;ROUND(Despiece!N7,2)&amp;" y cantear en el armado.","")&amp;" "&amp;IFERROR(VLOOKUP(Despiece!A7,$S$2:$T$40,2,FALSE),"")))</f>
        <v>Rebaje superior para el listón de pino 4 × 4 en taller.</v>
      </c>
    </row>
    <row r="8" spans="1:20" x14ac:dyDescent="0.25">
      <c r="A8" s="20" t="str">
        <f>Despiece!A8</f>
        <v>C3-002</v>
      </c>
      <c r="B8" s="20" t="str">
        <f>Despiece!B8</f>
        <v>EST</v>
      </c>
      <c r="C8" s="20" t="str">
        <f>Despiece!C8</f>
        <v>Divisor central</v>
      </c>
      <c r="D8" s="20" t="str">
        <f>"RH15 Cartagena "&amp;Despiece!G8&amp;" mm"</f>
        <v>RH15 Cartagena 15 mm</v>
      </c>
      <c r="E8" s="20">
        <f>Despiece!D8</f>
        <v>1</v>
      </c>
      <c r="F8" s="31">
        <f>IF($Q$2="NO",ROUND(Despiece!M8,2),Despiece!E8)</f>
        <v>2280</v>
      </c>
      <c r="G8" s="31">
        <f>IF($Q$2="NO",ROUND(Despiece!N8,2),Despiece!F8)</f>
        <v>490</v>
      </c>
      <c r="H8" s="21" t="str">
        <f>IF(Despiece!I8="2","R",IF(Despiece!I8="0.45","F","—"))</f>
        <v>R</v>
      </c>
      <c r="I8" s="21" t="str">
        <f>IF(Despiece!J8="2","R",IF(Despiece!J8="0.45","F","—"))</f>
        <v>—</v>
      </c>
      <c r="J8" s="21" t="str">
        <f>IF(Despiece!K8="2","R",IF(Despiece!K8="0.45","F","—"))</f>
        <v>F</v>
      </c>
      <c r="K8" s="21" t="str">
        <f>IF(Despiece!L8="2","R",IF(Despiece!L8="0.45","F","—"))</f>
        <v>—</v>
      </c>
      <c r="L8" s="21" t="str">
        <f>IF(SUMPRODUCT((Despiece!I8:L8="2")+(Despiece!I8:L8="0.45"))=0,"Sin canto",IF(OR(MIN(Despiece!M8,Despiece!N8)&lt;$Q$3,MAX(Despiece!M8,Despiece!N8)&lt;$Q$4),"Pequeña","Normal"))</f>
        <v>Normal</v>
      </c>
      <c r="M8" s="20" t="str">
        <f>Despiece!E8&amp;" × "&amp;Despiece!F8</f>
        <v>2280 × 490</v>
      </c>
      <c r="N8" s="22" t="str">
        <f>IF(LEN(TRIM(IF($L8="Pequeña","Si no la cantean: cortar a "&amp;ROUND(Despiece!M8,2)&amp;" × "&amp;ROUND(Despiece!N8,2)&amp;" y cantear en el armado.","")&amp;" "&amp;IFERROR(VLOOKUP(Despiece!A8,$S$2:$T$40,2,FALSE),"")))=0,"—",TRIM(IF($L8="Pequeña","Si no la cantean: cortar a "&amp;ROUND(Despiece!M8,2)&amp;" × "&amp;ROUND(Despiece!N8,2)&amp;" y cantear en el armado.","")&amp;" "&amp;IFERROR(VLOOKUP(Despiece!A8,$S$2:$T$40,2,FALSE),"")))</f>
        <v>—</v>
      </c>
    </row>
    <row r="9" spans="1:20" x14ac:dyDescent="0.25">
      <c r="A9" s="20" t="str">
        <f>Despiece!A9</f>
        <v>C3-003</v>
      </c>
      <c r="B9" s="20" t="str">
        <f>Despiece!B9</f>
        <v>B1</v>
      </c>
      <c r="C9" s="20" t="str">
        <f>Despiece!C9</f>
        <v>Piso sobre base</v>
      </c>
      <c r="D9" s="20" t="str">
        <f>"RH15 Cartagena "&amp;Despiece!G9&amp;" mm"</f>
        <v>RH15 Cartagena 15 mm</v>
      </c>
      <c r="E9" s="20">
        <f>Despiece!D9</f>
        <v>1</v>
      </c>
      <c r="F9" s="31">
        <f>IF($Q$2="NO",ROUND(Despiece!M9,2),Despiece!E9)</f>
        <v>830</v>
      </c>
      <c r="G9" s="31">
        <f>IF($Q$2="NO",ROUND(Despiece!N9,2),Despiece!F9)</f>
        <v>560</v>
      </c>
      <c r="H9" s="21" t="str">
        <f>IF(Despiece!I9="2","R",IF(Despiece!I9="0.45","F","—"))</f>
        <v>R</v>
      </c>
      <c r="I9" s="21" t="str">
        <f>IF(Despiece!J9="2","R",IF(Despiece!J9="0.45","F","—"))</f>
        <v>—</v>
      </c>
      <c r="J9" s="21" t="str">
        <f>IF(Despiece!K9="2","R",IF(Despiece!K9="0.45","F","—"))</f>
        <v>F</v>
      </c>
      <c r="K9" s="21" t="str">
        <f>IF(Despiece!L9="2","R",IF(Despiece!L9="0.45","F","—"))</f>
        <v>—</v>
      </c>
      <c r="L9" s="21" t="str">
        <f>IF(SUMPRODUCT((Despiece!I9:L9="2")+(Despiece!I9:L9="0.45"))=0,"Sin canto",IF(OR(MIN(Despiece!M9,Despiece!N9)&lt;$Q$3,MAX(Despiece!M9,Despiece!N9)&lt;$Q$4),"Pequeña","Normal"))</f>
        <v>Normal</v>
      </c>
      <c r="M9" s="20" t="str">
        <f>Despiece!E9&amp;" × "&amp;Despiece!F9</f>
        <v>830 × 560</v>
      </c>
      <c r="N9" s="22" t="str">
        <f>IF(LEN(TRIM(IF($L9="Pequeña","Si no la cantean: cortar a "&amp;ROUND(Despiece!M9,2)&amp;" × "&amp;ROUND(Despiece!N9,2)&amp;" y cantear en el armado.","")&amp;" "&amp;IFERROR(VLOOKUP(Despiece!A9,$S$2:$T$40,2,FALSE),"")))=0,"—",TRIM(IF($L9="Pequeña","Si no la cantean: cortar a "&amp;ROUND(Despiece!M9,2)&amp;" × "&amp;ROUND(Despiece!N9,2)&amp;" y cantear en el armado.","")&amp;" "&amp;IFERROR(VLOOKUP(Despiece!A9,$S$2:$T$40,2,FALSE),"")))</f>
        <v>—</v>
      </c>
    </row>
    <row r="10" spans="1:20" x14ac:dyDescent="0.25">
      <c r="A10" s="20" t="str">
        <f>Despiece!A10</f>
        <v>C3-004</v>
      </c>
      <c r="B10" s="20" t="str">
        <f>Despiece!B10</f>
        <v>B1</v>
      </c>
      <c r="C10" s="20" t="str">
        <f>Despiece!C10</f>
        <v>Tapa superior</v>
      </c>
      <c r="D10" s="20" t="str">
        <f>"RH15 Cartagena "&amp;Despiece!G10&amp;" mm"</f>
        <v>RH15 Cartagena 15 mm</v>
      </c>
      <c r="E10" s="20">
        <f>Despiece!D10</f>
        <v>1</v>
      </c>
      <c r="F10" s="31">
        <f>IF($Q$2="NO",ROUND(Despiece!M10,2),Despiece!E10)</f>
        <v>830</v>
      </c>
      <c r="G10" s="31">
        <f>IF($Q$2="NO",ROUND(Despiece!N10,2),Despiece!F10)</f>
        <v>505</v>
      </c>
      <c r="H10" s="21" t="str">
        <f>IF(Despiece!I10="2","R",IF(Despiece!I10="0.45","F","—"))</f>
        <v>F</v>
      </c>
      <c r="I10" s="21" t="str">
        <f>IF(Despiece!J10="2","R",IF(Despiece!J10="0.45","F","—"))</f>
        <v>—</v>
      </c>
      <c r="J10" s="21" t="str">
        <f>IF(Despiece!K10="2","R",IF(Despiece!K10="0.45","F","—"))</f>
        <v>—</v>
      </c>
      <c r="K10" s="21" t="str">
        <f>IF(Despiece!L10="2","R",IF(Despiece!L10="0.45","F","—"))</f>
        <v>—</v>
      </c>
      <c r="L10" s="21" t="str">
        <f>IF(SUMPRODUCT((Despiece!I10:L10="2")+(Despiece!I10:L10="0.45"))=0,"Sin canto",IF(OR(MIN(Despiece!M10,Despiece!N10)&lt;$Q$3,MAX(Despiece!M10,Despiece!N10)&lt;$Q$4),"Pequeña","Normal"))</f>
        <v>Normal</v>
      </c>
      <c r="M10" s="20" t="str">
        <f>Despiece!E10&amp;" × "&amp;Despiece!F10</f>
        <v>830 × 505</v>
      </c>
      <c r="N10" s="22" t="str">
        <f>IF(LEN(TRIM(IF($L10="Pequeña","Si no la cantean: cortar a "&amp;ROUND(Despiece!M10,2)&amp;" × "&amp;ROUND(Despiece!N10,2)&amp;" y cantear en el armado.","")&amp;" "&amp;IFERROR(VLOOKUP(Despiece!A10,$S$2:$T$40,2,FALSE),"")))=0,"—",TRIM(IF($L10="Pequeña","Si no la cantean: cortar a "&amp;ROUND(Despiece!M10,2)&amp;" × "&amp;ROUND(Despiece!N10,2)&amp;" y cantear en el armado.","")&amp;" "&amp;IFERROR(VLOOKUP(Despiece!A10,$S$2:$T$40,2,FALSE),"")))</f>
        <v>—</v>
      </c>
    </row>
    <row r="11" spans="1:20" x14ac:dyDescent="0.25">
      <c r="A11" s="20" t="str">
        <f>Despiece!A11</f>
        <v>C3-005</v>
      </c>
      <c r="B11" s="20" t="str">
        <f>Despiece!B11</f>
        <v>B1</v>
      </c>
      <c r="C11" s="20" t="str">
        <f>Despiece!C11</f>
        <v>Fondo RH15</v>
      </c>
      <c r="D11" s="20" t="str">
        <f>"RH15 Cartagena "&amp;Despiece!G11&amp;" mm"</f>
        <v>RH15 Cartagena 15 mm</v>
      </c>
      <c r="E11" s="20">
        <f>Despiece!D11</f>
        <v>1</v>
      </c>
      <c r="F11" s="31">
        <f>IF($Q$2="NO",ROUND(Despiece!M11,2),Despiece!E11)</f>
        <v>2250</v>
      </c>
      <c r="G11" s="31">
        <f>IF($Q$2="NO",ROUND(Despiece!N11,2),Despiece!F11)</f>
        <v>830</v>
      </c>
      <c r="H11" s="21" t="str">
        <f>IF(Despiece!I11="2","R",IF(Despiece!I11="0.45","F","—"))</f>
        <v>—</v>
      </c>
      <c r="I11" s="21" t="str">
        <f>IF(Despiece!J11="2","R",IF(Despiece!J11="0.45","F","—"))</f>
        <v>—</v>
      </c>
      <c r="J11" s="21" t="str">
        <f>IF(Despiece!K11="2","R",IF(Despiece!K11="0.45","F","—"))</f>
        <v>—</v>
      </c>
      <c r="K11" s="21" t="str">
        <f>IF(Despiece!L11="2","R",IF(Despiece!L11="0.45","F","—"))</f>
        <v>—</v>
      </c>
      <c r="L11" s="21" t="str">
        <f>IF(SUMPRODUCT((Despiece!I11:L11="2")+(Despiece!I11:L11="0.45"))=0,"Sin canto",IF(OR(MIN(Despiece!M11,Despiece!N11)&lt;$Q$3,MAX(Despiece!M11,Despiece!N11)&lt;$Q$4),"Pequeña","Normal"))</f>
        <v>Sin canto</v>
      </c>
      <c r="M11" s="20" t="str">
        <f>Despiece!E11&amp;" × "&amp;Despiece!F11</f>
        <v>2250 × 830</v>
      </c>
      <c r="N11" s="22" t="str">
        <f>IF(LEN(TRIM(IF($L11="Pequeña","Si no la cantean: cortar a "&amp;ROUND(Despiece!M11,2)&amp;" × "&amp;ROUND(Despiece!N11,2)&amp;" y cantear en el armado.","")&amp;" "&amp;IFERROR(VLOOKUP(Despiece!A11,$S$2:$T$40,2,FALSE),"")))=0,"—",TRIM(IF($L11="Pequeña","Si no la cantean: cortar a "&amp;ROUND(Despiece!M11,2)&amp;" × "&amp;ROUND(Despiece!N11,2)&amp;" y cantear en el armado.","")&amp;" "&amp;IFERROR(VLOOKUP(Despiece!A11,$S$2:$T$40,2,FALSE),"")))</f>
        <v>—</v>
      </c>
    </row>
    <row r="12" spans="1:20" x14ac:dyDescent="0.25">
      <c r="A12" s="20" t="str">
        <f>Despiece!A12</f>
        <v>C3-006</v>
      </c>
      <c r="B12" s="20" t="str">
        <f>Despiece!B12</f>
        <v>B1</v>
      </c>
      <c r="C12" s="20" t="str">
        <f>Despiece!C12</f>
        <v>Piso de maletero</v>
      </c>
      <c r="D12" s="20" t="str">
        <f>"RH15 Cartagena "&amp;Despiece!G12&amp;" mm"</f>
        <v>RH15 Cartagena 15 mm</v>
      </c>
      <c r="E12" s="20">
        <f>Despiece!D12</f>
        <v>1</v>
      </c>
      <c r="F12" s="31">
        <f>IF($Q$2="NO",ROUND(Despiece!M12,2),Despiece!E12)</f>
        <v>830</v>
      </c>
      <c r="G12" s="31">
        <f>IF($Q$2="NO",ROUND(Despiece!N12,2),Despiece!F12)</f>
        <v>475</v>
      </c>
      <c r="H12" s="21" t="str">
        <f>IF(Despiece!I12="2","R",IF(Despiece!I12="0.45","F","—"))</f>
        <v>R</v>
      </c>
      <c r="I12" s="21" t="str">
        <f>IF(Despiece!J12="2","R",IF(Despiece!J12="0.45","F","—"))</f>
        <v>—</v>
      </c>
      <c r="J12" s="21" t="str">
        <f>IF(Despiece!K12="2","R",IF(Despiece!K12="0.45","F","—"))</f>
        <v>—</v>
      </c>
      <c r="K12" s="21" t="str">
        <f>IF(Despiece!L12="2","R",IF(Despiece!L12="0.45","F","—"))</f>
        <v>—</v>
      </c>
      <c r="L12" s="21" t="str">
        <f>IF(SUMPRODUCT((Despiece!I12:L12="2")+(Despiece!I12:L12="0.45"))=0,"Sin canto",IF(OR(MIN(Despiece!M12,Despiece!N12)&lt;$Q$3,MAX(Despiece!M12,Despiece!N12)&lt;$Q$4),"Pequeña","Normal"))</f>
        <v>Normal</v>
      </c>
      <c r="M12" s="20" t="str">
        <f>Despiece!E12&amp;" × "&amp;Despiece!F12</f>
        <v>830 × 475</v>
      </c>
      <c r="N12" s="22" t="str">
        <f>IF(LEN(TRIM(IF($L12="Pequeña","Si no la cantean: cortar a "&amp;ROUND(Despiece!M12,2)&amp;" × "&amp;ROUND(Despiece!N12,2)&amp;" y cantear en el armado.","")&amp;" "&amp;IFERROR(VLOOKUP(Despiece!A12,$S$2:$T$40,2,FALSE),"")))=0,"—",TRIM(IF($L12="Pequeña","Si no la cantean: cortar a "&amp;ROUND(Despiece!M12,2)&amp;" × "&amp;ROUND(Despiece!N12,2)&amp;" y cantear en el armado.","")&amp;" "&amp;IFERROR(VLOOKUP(Despiece!A12,$S$2:$T$40,2,FALSE),"")))</f>
        <v>—</v>
      </c>
    </row>
    <row r="13" spans="1:20" ht="26.4" x14ac:dyDescent="0.25">
      <c r="A13" s="20" t="str">
        <f>Despiece!A13</f>
        <v>C3-007</v>
      </c>
      <c r="B13" s="20" t="str">
        <f>Despiece!B13</f>
        <v>B1</v>
      </c>
      <c r="C13" s="20" t="str">
        <f>Despiece!C13</f>
        <v>Refuerzo frontal de maletero</v>
      </c>
      <c r="D13" s="20" t="str">
        <f>"RH15 Cartagena "&amp;Despiece!G13&amp;" mm"</f>
        <v>RH15 Cartagena 15 mm</v>
      </c>
      <c r="E13" s="20">
        <f>Despiece!D13</f>
        <v>1</v>
      </c>
      <c r="F13" s="31">
        <f>IF($Q$2="NO",ROUND(Despiece!M13,2),Despiece!E13)</f>
        <v>830</v>
      </c>
      <c r="G13" s="31">
        <f>IF($Q$2="NO",ROUND(Despiece!N13,2),Despiece!F13)</f>
        <v>80</v>
      </c>
      <c r="H13" s="21" t="str">
        <f>IF(Despiece!I13="2","R",IF(Despiece!I13="0.45","F","—"))</f>
        <v>F</v>
      </c>
      <c r="I13" s="21" t="str">
        <f>IF(Despiece!J13="2","R",IF(Despiece!J13="0.45","F","—"))</f>
        <v>—</v>
      </c>
      <c r="J13" s="21" t="str">
        <f>IF(Despiece!K13="2","R",IF(Despiece!K13="0.45","F","—"))</f>
        <v>—</v>
      </c>
      <c r="K13" s="21" t="str">
        <f>IF(Despiece!L13="2","R",IF(Despiece!L13="0.45","F","—"))</f>
        <v>—</v>
      </c>
      <c r="L13" s="21" t="str">
        <f>IF(SUMPRODUCT((Despiece!I13:L13="2")+(Despiece!I13:L13="0.45"))=0,"Sin canto",IF(OR(MIN(Despiece!M13,Despiece!N13)&lt;$Q$3,MAX(Despiece!M13,Despiece!N13)&lt;$Q$4),"Pequeña","Normal"))</f>
        <v>Pequeña</v>
      </c>
      <c r="M13" s="20" t="str">
        <f>Despiece!E13&amp;" × "&amp;Despiece!F13</f>
        <v>830 × 80</v>
      </c>
      <c r="N13" s="22" t="str">
        <f>IF(LEN(TRIM(IF($L13="Pequeña","Si no la cantean: cortar a "&amp;ROUND(Despiece!M13,2)&amp;" × "&amp;ROUND(Despiece!N13,2)&amp;" y cantear en el armado.","")&amp;" "&amp;IFERROR(VLOOKUP(Despiece!A13,$S$2:$T$40,2,FALSE),"")))=0,"—",TRIM(IF($L13="Pequeña","Si no la cantean: cortar a "&amp;ROUND(Despiece!M13,2)&amp;" × "&amp;ROUND(Despiece!N13,2)&amp;" y cantear en el armado.","")&amp;" "&amp;IFERROR(VLOOKUP(Despiece!A13,$S$2:$T$40,2,FALSE),"")))</f>
        <v>Si no la cantean: cortar a 830 × 79,55 y cantear en el armado.</v>
      </c>
    </row>
    <row r="14" spans="1:20" ht="88.05" customHeight="1" x14ac:dyDescent="0.25">
      <c r="A14" s="20" t="str">
        <f>Despiece!A14</f>
        <v>C3-008</v>
      </c>
      <c r="B14" s="20" t="str">
        <f>Despiece!B14</f>
        <v>B1</v>
      </c>
      <c r="C14" s="20" t="str">
        <f>Despiece!C14</f>
        <v>Refuerzo trasero de maletero</v>
      </c>
      <c r="D14" s="20" t="str">
        <f>"RH15 Cartagena "&amp;Despiece!G14&amp;" mm"</f>
        <v>RH15 Cartagena 15 mm</v>
      </c>
      <c r="E14" s="20">
        <f>Despiece!D14</f>
        <v>1</v>
      </c>
      <c r="F14" s="31">
        <f>IF($Q$2="NO",ROUND(Despiece!M14,2),Despiece!E14)</f>
        <v>830</v>
      </c>
      <c r="G14" s="31">
        <f>IF($Q$2="NO",ROUND(Despiece!N14,2),Despiece!F14)</f>
        <v>100</v>
      </c>
      <c r="H14" s="21" t="str">
        <f>IF(Despiece!I14="2","R",IF(Despiece!I14="0.45","F","—"))</f>
        <v>F</v>
      </c>
      <c r="I14" s="21" t="str">
        <f>IF(Despiece!J14="2","R",IF(Despiece!J14="0.45","F","—"))</f>
        <v>—</v>
      </c>
      <c r="J14" s="21" t="str">
        <f>IF(Despiece!K14="2","R",IF(Despiece!K14="0.45","F","—"))</f>
        <v>—</v>
      </c>
      <c r="K14" s="21" t="str">
        <f>IF(Despiece!L14="2","R",IF(Despiece!L14="0.45","F","—"))</f>
        <v>—</v>
      </c>
      <c r="L14" s="21" t="str">
        <f>IF(SUMPRODUCT((Despiece!I14:L14="2")+(Despiece!I14:L14="0.45"))=0,"Sin canto",IF(OR(MIN(Despiece!M14,Despiece!N14)&lt;$Q$3,MAX(Despiece!M14,Despiece!N14)&lt;$Q$4),"Pequeña","Normal"))</f>
        <v>Pequeña</v>
      </c>
      <c r="M14" s="20" t="str">
        <f>Despiece!E14&amp;" × "&amp;Despiece!F14</f>
        <v>830 × 100</v>
      </c>
      <c r="N14" s="22" t="str">
        <f>IF(LEN(TRIM(IF($L14="Pequeña","Si no la cantean: cortar a "&amp;ROUND(Despiece!M14,2)&amp;" × "&amp;ROUND(Despiece!N14,2)&amp;" y cantear en el armado.","")&amp;" "&amp;IFERROR(VLOOKUP(Despiece!A14,$S$2:$T$40,2,FALSE),"")))=0,"—",TRIM(IF($L14="Pequeña","Si no la cantean: cortar a "&amp;ROUND(Despiece!M14,2)&amp;" × "&amp;ROUND(Despiece!N14,2)&amp;" y cantear en el armado.","")&amp;" "&amp;IFERROR(VLOOKUP(Despiece!A14,$S$2:$T$40,2,FALSE),"")))</f>
        <v>Si no la cantean: cortar a 830 × 99,55 y cantear en el armado.</v>
      </c>
    </row>
    <row r="15" spans="1:20" x14ac:dyDescent="0.25">
      <c r="A15" s="20" t="str">
        <f>Despiece!A15</f>
        <v>C3-009</v>
      </c>
      <c r="B15" s="20" t="str">
        <f>Despiece!B15</f>
        <v>B2</v>
      </c>
      <c r="C15" s="20" t="str">
        <f>Despiece!C15</f>
        <v>Piso sobre base</v>
      </c>
      <c r="D15" s="20" t="str">
        <f>"RH15 Cartagena "&amp;Despiece!G15&amp;" mm"</f>
        <v>RH15 Cartagena 15 mm</v>
      </c>
      <c r="E15" s="20">
        <f>Despiece!D15</f>
        <v>1</v>
      </c>
      <c r="F15" s="31">
        <f>IF($Q$2="NO",ROUND(Despiece!M15,2),Despiece!E15)</f>
        <v>1075</v>
      </c>
      <c r="G15" s="31">
        <f>IF($Q$2="NO",ROUND(Despiece!N15,2),Despiece!F15)</f>
        <v>560</v>
      </c>
      <c r="H15" s="21" t="str">
        <f>IF(Despiece!I15="2","R",IF(Despiece!I15="0.45","F","—"))</f>
        <v>R</v>
      </c>
      <c r="I15" s="21" t="str">
        <f>IF(Despiece!J15="2","R",IF(Despiece!J15="0.45","F","—"))</f>
        <v>—</v>
      </c>
      <c r="J15" s="21" t="str">
        <f>IF(Despiece!K15="2","R",IF(Despiece!K15="0.45","F","—"))</f>
        <v>F</v>
      </c>
      <c r="K15" s="21" t="str">
        <f>IF(Despiece!L15="2","R",IF(Despiece!L15="0.45","F","—"))</f>
        <v>—</v>
      </c>
      <c r="L15" s="21" t="str">
        <f>IF(SUMPRODUCT((Despiece!I15:L15="2")+(Despiece!I15:L15="0.45"))=0,"Sin canto",IF(OR(MIN(Despiece!M15,Despiece!N15)&lt;$Q$3,MAX(Despiece!M15,Despiece!N15)&lt;$Q$4),"Pequeña","Normal"))</f>
        <v>Normal</v>
      </c>
      <c r="M15" s="20" t="str">
        <f>Despiece!E15&amp;" × "&amp;Despiece!F15</f>
        <v>1075 × 560</v>
      </c>
      <c r="N15" s="22" t="str">
        <f>IF(LEN(TRIM(IF($L15="Pequeña","Si no la cantean: cortar a "&amp;ROUND(Despiece!M15,2)&amp;" × "&amp;ROUND(Despiece!N15,2)&amp;" y cantear en el armado.","")&amp;" "&amp;IFERROR(VLOOKUP(Despiece!A15,$S$2:$T$40,2,FALSE),"")))=0,"—",TRIM(IF($L15="Pequeña","Si no la cantean: cortar a "&amp;ROUND(Despiece!M15,2)&amp;" × "&amp;ROUND(Despiece!N15,2)&amp;" y cantear en el armado.","")&amp;" "&amp;IFERROR(VLOOKUP(Despiece!A15,$S$2:$T$40,2,FALSE),"")))</f>
        <v>—</v>
      </c>
    </row>
    <row r="16" spans="1:20" x14ac:dyDescent="0.25">
      <c r="A16" s="20" t="str">
        <f>Despiece!A16</f>
        <v>C3-010</v>
      </c>
      <c r="B16" s="20" t="str">
        <f>Despiece!B16</f>
        <v>B2</v>
      </c>
      <c r="C16" s="20" t="str">
        <f>Despiece!C16</f>
        <v>Tapa superior</v>
      </c>
      <c r="D16" s="20" t="str">
        <f>"RH15 Cartagena "&amp;Despiece!G16&amp;" mm"</f>
        <v>RH15 Cartagena 15 mm</v>
      </c>
      <c r="E16" s="20">
        <f>Despiece!D16</f>
        <v>1</v>
      </c>
      <c r="F16" s="31">
        <f>IF($Q$2="NO",ROUND(Despiece!M16,2),Despiece!E16)</f>
        <v>1075</v>
      </c>
      <c r="G16" s="31">
        <f>IF($Q$2="NO",ROUND(Despiece!N16,2),Despiece!F16)</f>
        <v>505</v>
      </c>
      <c r="H16" s="21" t="str">
        <f>IF(Despiece!I16="2","R",IF(Despiece!I16="0.45","F","—"))</f>
        <v>F</v>
      </c>
      <c r="I16" s="21" t="str">
        <f>IF(Despiece!J16="2","R",IF(Despiece!J16="0.45","F","—"))</f>
        <v>—</v>
      </c>
      <c r="J16" s="21" t="str">
        <f>IF(Despiece!K16="2","R",IF(Despiece!K16="0.45","F","—"))</f>
        <v>—</v>
      </c>
      <c r="K16" s="21" t="str">
        <f>IF(Despiece!L16="2","R",IF(Despiece!L16="0.45","F","—"))</f>
        <v>—</v>
      </c>
      <c r="L16" s="21" t="str">
        <f>IF(SUMPRODUCT((Despiece!I16:L16="2")+(Despiece!I16:L16="0.45"))=0,"Sin canto",IF(OR(MIN(Despiece!M16,Despiece!N16)&lt;$Q$3,MAX(Despiece!M16,Despiece!N16)&lt;$Q$4),"Pequeña","Normal"))</f>
        <v>Normal</v>
      </c>
      <c r="M16" s="20" t="str">
        <f>Despiece!E16&amp;" × "&amp;Despiece!F16</f>
        <v>1075 × 505</v>
      </c>
      <c r="N16" s="22" t="str">
        <f>IF(LEN(TRIM(IF($L16="Pequeña","Si no la cantean: cortar a "&amp;ROUND(Despiece!M16,2)&amp;" × "&amp;ROUND(Despiece!N16,2)&amp;" y cantear en el armado.","")&amp;" "&amp;IFERROR(VLOOKUP(Despiece!A16,$S$2:$T$40,2,FALSE),"")))=0,"—",TRIM(IF($L16="Pequeña","Si no la cantean: cortar a "&amp;ROUND(Despiece!M16,2)&amp;" × "&amp;ROUND(Despiece!N16,2)&amp;" y cantear en el armado.","")&amp;" "&amp;IFERROR(VLOOKUP(Despiece!A16,$S$2:$T$40,2,FALSE),"")))</f>
        <v>—</v>
      </c>
    </row>
    <row r="17" spans="1:14" x14ac:dyDescent="0.25">
      <c r="A17" s="20" t="str">
        <f>Despiece!A17</f>
        <v>C3-011</v>
      </c>
      <c r="B17" s="20" t="str">
        <f>Despiece!B17</f>
        <v>B2</v>
      </c>
      <c r="C17" s="20" t="str">
        <f>Despiece!C17</f>
        <v>Fondo RH15</v>
      </c>
      <c r="D17" s="20" t="str">
        <f>"RH15 Cartagena "&amp;Despiece!G17&amp;" mm"</f>
        <v>RH15 Cartagena 15 mm</v>
      </c>
      <c r="E17" s="20">
        <f>Despiece!D17</f>
        <v>1</v>
      </c>
      <c r="F17" s="31">
        <f>IF($Q$2="NO",ROUND(Despiece!M17,2),Despiece!E17)</f>
        <v>2250</v>
      </c>
      <c r="G17" s="31">
        <f>IF($Q$2="NO",ROUND(Despiece!N17,2),Despiece!F17)</f>
        <v>1075</v>
      </c>
      <c r="H17" s="21" t="str">
        <f>IF(Despiece!I17="2","R",IF(Despiece!I17="0.45","F","—"))</f>
        <v>—</v>
      </c>
      <c r="I17" s="21" t="str">
        <f>IF(Despiece!J17="2","R",IF(Despiece!J17="0.45","F","—"))</f>
        <v>—</v>
      </c>
      <c r="J17" s="21" t="str">
        <f>IF(Despiece!K17="2","R",IF(Despiece!K17="0.45","F","—"))</f>
        <v>—</v>
      </c>
      <c r="K17" s="21" t="str">
        <f>IF(Despiece!L17="2","R",IF(Despiece!L17="0.45","F","—"))</f>
        <v>—</v>
      </c>
      <c r="L17" s="21" t="str">
        <f>IF(SUMPRODUCT((Despiece!I17:L17="2")+(Despiece!I17:L17="0.45"))=0,"Sin canto",IF(OR(MIN(Despiece!M17,Despiece!N17)&lt;$Q$3,MAX(Despiece!M17,Despiece!N17)&lt;$Q$4),"Pequeña","Normal"))</f>
        <v>Sin canto</v>
      </c>
      <c r="M17" s="20" t="str">
        <f>Despiece!E17&amp;" × "&amp;Despiece!F17</f>
        <v>2250 × 1075</v>
      </c>
      <c r="N17" s="22" t="str">
        <f>IF(LEN(TRIM(IF($L17="Pequeña","Si no la cantean: cortar a "&amp;ROUND(Despiece!M17,2)&amp;" × "&amp;ROUND(Despiece!N17,2)&amp;" y cantear en el armado.","")&amp;" "&amp;IFERROR(VLOOKUP(Despiece!A17,$S$2:$T$40,2,FALSE),"")))=0,"—",TRIM(IF($L17="Pequeña","Si no la cantean: cortar a "&amp;ROUND(Despiece!M17,2)&amp;" × "&amp;ROUND(Despiece!N17,2)&amp;" y cantear en el armado.","")&amp;" "&amp;IFERROR(VLOOKUP(Despiece!A17,$S$2:$T$40,2,FALSE),"")))</f>
        <v>—</v>
      </c>
    </row>
    <row r="18" spans="1:14" x14ac:dyDescent="0.25">
      <c r="A18" s="20" t="str">
        <f>Despiece!A18</f>
        <v>C3-012</v>
      </c>
      <c r="B18" s="20" t="str">
        <f>Despiece!B18</f>
        <v>B2</v>
      </c>
      <c r="C18" s="20" t="str">
        <f>Despiece!C18</f>
        <v>Piso de maletero</v>
      </c>
      <c r="D18" s="20" t="str">
        <f>"RH15 Cartagena "&amp;Despiece!G18&amp;" mm"</f>
        <v>RH15 Cartagena 15 mm</v>
      </c>
      <c r="E18" s="20">
        <f>Despiece!D18</f>
        <v>1</v>
      </c>
      <c r="F18" s="31">
        <f>IF($Q$2="NO",ROUND(Despiece!M18,2),Despiece!E18)</f>
        <v>1075</v>
      </c>
      <c r="G18" s="31">
        <f>IF($Q$2="NO",ROUND(Despiece!N18,2),Despiece!F18)</f>
        <v>475</v>
      </c>
      <c r="H18" s="21" t="str">
        <f>IF(Despiece!I18="2","R",IF(Despiece!I18="0.45","F","—"))</f>
        <v>R</v>
      </c>
      <c r="I18" s="21" t="str">
        <f>IF(Despiece!J18="2","R",IF(Despiece!J18="0.45","F","—"))</f>
        <v>—</v>
      </c>
      <c r="J18" s="21" t="str">
        <f>IF(Despiece!K18="2","R",IF(Despiece!K18="0.45","F","—"))</f>
        <v>—</v>
      </c>
      <c r="K18" s="21" t="str">
        <f>IF(Despiece!L18="2","R",IF(Despiece!L18="0.45","F","—"))</f>
        <v>—</v>
      </c>
      <c r="L18" s="21" t="str">
        <f>IF(SUMPRODUCT((Despiece!I18:L18="2")+(Despiece!I18:L18="0.45"))=0,"Sin canto",IF(OR(MIN(Despiece!M18,Despiece!N18)&lt;$Q$3,MAX(Despiece!M18,Despiece!N18)&lt;$Q$4),"Pequeña","Normal"))</f>
        <v>Normal</v>
      </c>
      <c r="M18" s="20" t="str">
        <f>Despiece!E18&amp;" × "&amp;Despiece!F18</f>
        <v>1075 × 475</v>
      </c>
      <c r="N18" s="22" t="str">
        <f>IF(LEN(TRIM(IF($L18="Pequeña","Si no la cantean: cortar a "&amp;ROUND(Despiece!M18,2)&amp;" × "&amp;ROUND(Despiece!N18,2)&amp;" y cantear en el armado.","")&amp;" "&amp;IFERROR(VLOOKUP(Despiece!A18,$S$2:$T$40,2,FALSE),"")))=0,"—",TRIM(IF($L18="Pequeña","Si no la cantean: cortar a "&amp;ROUND(Despiece!M18,2)&amp;" × "&amp;ROUND(Despiece!N18,2)&amp;" y cantear en el armado.","")&amp;" "&amp;IFERROR(VLOOKUP(Despiece!A18,$S$2:$T$40,2,FALSE),"")))</f>
        <v>—</v>
      </c>
    </row>
    <row r="19" spans="1:14" ht="26.4" x14ac:dyDescent="0.25">
      <c r="A19" s="20" t="str">
        <f>Despiece!A19</f>
        <v>C3-013</v>
      </c>
      <c r="B19" s="20" t="str">
        <f>Despiece!B19</f>
        <v>B2</v>
      </c>
      <c r="C19" s="20" t="str">
        <f>Despiece!C19</f>
        <v>Refuerzo frontal de maletero</v>
      </c>
      <c r="D19" s="20" t="str">
        <f>"RH15 Cartagena "&amp;Despiece!G19&amp;" mm"</f>
        <v>RH15 Cartagena 15 mm</v>
      </c>
      <c r="E19" s="20">
        <f>Despiece!D19</f>
        <v>1</v>
      </c>
      <c r="F19" s="31">
        <f>IF($Q$2="NO",ROUND(Despiece!M19,2),Despiece!E19)</f>
        <v>1075</v>
      </c>
      <c r="G19" s="31">
        <f>IF($Q$2="NO",ROUND(Despiece!N19,2),Despiece!F19)</f>
        <v>80</v>
      </c>
      <c r="H19" s="21" t="str">
        <f>IF(Despiece!I19="2","R",IF(Despiece!I19="0.45","F","—"))</f>
        <v>F</v>
      </c>
      <c r="I19" s="21" t="str">
        <f>IF(Despiece!J19="2","R",IF(Despiece!J19="0.45","F","—"))</f>
        <v>—</v>
      </c>
      <c r="J19" s="21" t="str">
        <f>IF(Despiece!K19="2","R",IF(Despiece!K19="0.45","F","—"))</f>
        <v>—</v>
      </c>
      <c r="K19" s="21" t="str">
        <f>IF(Despiece!L19="2","R",IF(Despiece!L19="0.45","F","—"))</f>
        <v>—</v>
      </c>
      <c r="L19" s="21" t="str">
        <f>IF(SUMPRODUCT((Despiece!I19:L19="2")+(Despiece!I19:L19="0.45"))=0,"Sin canto",IF(OR(MIN(Despiece!M19,Despiece!N19)&lt;$Q$3,MAX(Despiece!M19,Despiece!N19)&lt;$Q$4),"Pequeña","Normal"))</f>
        <v>Pequeña</v>
      </c>
      <c r="M19" s="20" t="str">
        <f>Despiece!E19&amp;" × "&amp;Despiece!F19</f>
        <v>1075 × 80</v>
      </c>
      <c r="N19" s="22" t="str">
        <f>IF(LEN(TRIM(IF($L19="Pequeña","Si no la cantean: cortar a "&amp;ROUND(Despiece!M19,2)&amp;" × "&amp;ROUND(Despiece!N19,2)&amp;" y cantear en el armado.","")&amp;" "&amp;IFERROR(VLOOKUP(Despiece!A19,$S$2:$T$40,2,FALSE),"")))=0,"—",TRIM(IF($L19="Pequeña","Si no la cantean: cortar a "&amp;ROUND(Despiece!M19,2)&amp;" × "&amp;ROUND(Despiece!N19,2)&amp;" y cantear en el armado.","")&amp;" "&amp;IFERROR(VLOOKUP(Despiece!A19,$S$2:$T$40,2,FALSE),"")))</f>
        <v>Si no la cantean: cortar a 1075 × 79,55 y cantear en el armado.</v>
      </c>
    </row>
    <row r="20" spans="1:14" ht="88.05" customHeight="1" x14ac:dyDescent="0.25">
      <c r="A20" s="20" t="str">
        <f>Despiece!A20</f>
        <v>C3-014</v>
      </c>
      <c r="B20" s="20" t="str">
        <f>Despiece!B20</f>
        <v>B2</v>
      </c>
      <c r="C20" s="20" t="str">
        <f>Despiece!C20</f>
        <v>Refuerzo trasero de maletero</v>
      </c>
      <c r="D20" s="20" t="str">
        <f>"RH15 Cartagena "&amp;Despiece!G20&amp;" mm"</f>
        <v>RH15 Cartagena 15 mm</v>
      </c>
      <c r="E20" s="20">
        <f>Despiece!D20</f>
        <v>1</v>
      </c>
      <c r="F20" s="31">
        <f>IF($Q$2="NO",ROUND(Despiece!M20,2),Despiece!E20)</f>
        <v>1075</v>
      </c>
      <c r="G20" s="31">
        <f>IF($Q$2="NO",ROUND(Despiece!N20,2),Despiece!F20)</f>
        <v>100</v>
      </c>
      <c r="H20" s="21" t="str">
        <f>IF(Despiece!I20="2","R",IF(Despiece!I20="0.45","F","—"))</f>
        <v>F</v>
      </c>
      <c r="I20" s="21" t="str">
        <f>IF(Despiece!J20="2","R",IF(Despiece!J20="0.45","F","—"))</f>
        <v>—</v>
      </c>
      <c r="J20" s="21" t="str">
        <f>IF(Despiece!K20="2","R",IF(Despiece!K20="0.45","F","—"))</f>
        <v>—</v>
      </c>
      <c r="K20" s="21" t="str">
        <f>IF(Despiece!L20="2","R",IF(Despiece!L20="0.45","F","—"))</f>
        <v>—</v>
      </c>
      <c r="L20" s="21" t="str">
        <f>IF(SUMPRODUCT((Despiece!I20:L20="2")+(Despiece!I20:L20="0.45"))=0,"Sin canto",IF(OR(MIN(Despiece!M20,Despiece!N20)&lt;$Q$3,MAX(Despiece!M20,Despiece!N20)&lt;$Q$4),"Pequeña","Normal"))</f>
        <v>Pequeña</v>
      </c>
      <c r="M20" s="20" t="str">
        <f>Despiece!E20&amp;" × "&amp;Despiece!F20</f>
        <v>1075 × 100</v>
      </c>
      <c r="N20" s="22" t="str">
        <f>IF(LEN(TRIM(IF($L20="Pequeña","Si no la cantean: cortar a "&amp;ROUND(Despiece!M20,2)&amp;" × "&amp;ROUND(Despiece!N20,2)&amp;" y cantear en el armado.","")&amp;" "&amp;IFERROR(VLOOKUP(Despiece!A20,$S$2:$T$40,2,FALSE),"")))=0,"—",TRIM(IF($L20="Pequeña","Si no la cantean: cortar a "&amp;ROUND(Despiece!M20,2)&amp;" × "&amp;ROUND(Despiece!N20,2)&amp;" y cantear en el armado.","")&amp;" "&amp;IFERROR(VLOOKUP(Despiece!A20,$S$2:$T$40,2,FALSE),"")))</f>
        <v>Si no la cantean: cortar a 1075 × 99,55 y cantear en el armado.</v>
      </c>
    </row>
    <row r="21" spans="1:14" ht="26.4" x14ac:dyDescent="0.25">
      <c r="A21" s="20" t="str">
        <f>Despiece!A21</f>
        <v>C3-015</v>
      </c>
      <c r="B21" s="20" t="str">
        <f>Despiece!B21</f>
        <v>B1</v>
      </c>
      <c r="C21" s="20" t="str">
        <f>Despiece!C21</f>
        <v>Frente de cajón</v>
      </c>
      <c r="D21" s="20" t="str">
        <f>"RH15 Cartagena "&amp;Despiece!G21&amp;" mm"</f>
        <v>RH15 Cartagena 15 mm</v>
      </c>
      <c r="E21" s="20">
        <f>Despiece!D21</f>
        <v>3</v>
      </c>
      <c r="F21" s="31">
        <f>IF($Q$2="NO",ROUND(Despiece!M21,2),Despiece!E21)</f>
        <v>824</v>
      </c>
      <c r="G21" s="31">
        <f>IF($Q$2="NO",ROUND(Despiece!N21,2),Despiece!F21)</f>
        <v>210</v>
      </c>
      <c r="H21" s="21" t="str">
        <f>IF(Despiece!I21="2","R",IF(Despiece!I21="0.45","F","—"))</f>
        <v>R</v>
      </c>
      <c r="I21" s="21" t="str">
        <f>IF(Despiece!J21="2","R",IF(Despiece!J21="0.45","F","—"))</f>
        <v>R</v>
      </c>
      <c r="J21" s="21" t="str">
        <f>IF(Despiece!K21="2","R",IF(Despiece!K21="0.45","F","—"))</f>
        <v>R</v>
      </c>
      <c r="K21" s="21" t="str">
        <f>IF(Despiece!L21="2","R",IF(Despiece!L21="0.45","F","—"))</f>
        <v>R</v>
      </c>
      <c r="L21" s="21" t="str">
        <f>IF(SUMPRODUCT((Despiece!I21:L21="2")+(Despiece!I21:L21="0.45"))=0,"Sin canto",IF(OR(MIN(Despiece!M21,Despiece!N21)&lt;$Q$3,MAX(Despiece!M21,Despiece!N21)&lt;$Q$4),"Pequeña","Normal"))</f>
        <v>Normal</v>
      </c>
      <c r="M21" s="20" t="str">
        <f>Despiece!E21&amp;" × "&amp;Despiece!F21</f>
        <v>824 × 210</v>
      </c>
      <c r="N21" s="22" t="str">
        <f>IF(LEN(TRIM(IF($L21="Pequeña","Si no la cantean: cortar a "&amp;ROUND(Despiece!M21,2)&amp;" × "&amp;ROUND(Despiece!N21,2)&amp;" y cantear en el armado.","")&amp;" "&amp;IFERROR(VLOOKUP(Despiece!A21,$S$2:$T$40,2,FALSE),"")))=0,"—",TRIM(IF($L21="Pequeña","Si no la cantean: cortar a "&amp;ROUND(Despiece!M21,2)&amp;" × "&amp;ROUND(Despiece!N21,2)&amp;" y cantear en el armado.","")&amp;" "&amp;IFERROR(VLOOKUP(Despiece!A21,$S$2:$T$40,2,FALSE),"")))</f>
        <v>Veta horizontal: frente de 824 de ancho, queda detrás de las hojas.</v>
      </c>
    </row>
    <row r="22" spans="1:14" x14ac:dyDescent="0.25">
      <c r="A22" s="20" t="str">
        <f>Despiece!A22</f>
        <v>C3-016</v>
      </c>
      <c r="B22" s="20" t="str">
        <f>Despiece!B22</f>
        <v>B1</v>
      </c>
      <c r="C22" s="20" t="str">
        <f>Despiece!C22</f>
        <v>Costado de cajón</v>
      </c>
      <c r="D22" s="20" t="str">
        <f>"RH15 Cartagena "&amp;Despiece!G22&amp;" mm"</f>
        <v>RH15 Cartagena 15 mm</v>
      </c>
      <c r="E22" s="20">
        <f>Despiece!D22</f>
        <v>6</v>
      </c>
      <c r="F22" s="31">
        <f>IF($Q$2="NO",ROUND(Despiece!M22,2),Despiece!E22)</f>
        <v>450</v>
      </c>
      <c r="G22" s="31">
        <f>IF($Q$2="NO",ROUND(Despiece!N22,2),Despiece!F22)</f>
        <v>155</v>
      </c>
      <c r="H22" s="21" t="str">
        <f>IF(Despiece!I22="2","R",IF(Despiece!I22="0.45","F","—"))</f>
        <v>F</v>
      </c>
      <c r="I22" s="21" t="str">
        <f>IF(Despiece!J22="2","R",IF(Despiece!J22="0.45","F","—"))</f>
        <v>—</v>
      </c>
      <c r="J22" s="21" t="str">
        <f>IF(Despiece!K22="2","R",IF(Despiece!K22="0.45","F","—"))</f>
        <v>F</v>
      </c>
      <c r="K22" s="21" t="str">
        <f>IF(Despiece!L22="2","R",IF(Despiece!L22="0.45","F","—"))</f>
        <v>—</v>
      </c>
      <c r="L22" s="21" t="str">
        <f>IF(SUMPRODUCT((Despiece!I22:L22="2")+(Despiece!I22:L22="0.45"))=0,"Sin canto",IF(OR(MIN(Despiece!M22,Despiece!N22)&lt;$Q$3,MAX(Despiece!M22,Despiece!N22)&lt;$Q$4),"Pequeña","Normal"))</f>
        <v>Normal</v>
      </c>
      <c r="M22" s="20" t="str">
        <f>Despiece!E22&amp;" × "&amp;Despiece!F22</f>
        <v>450 × 155</v>
      </c>
      <c r="N22" s="22" t="str">
        <f>IF(LEN(TRIM(IF($L22="Pequeña","Si no la cantean: cortar a "&amp;ROUND(Despiece!M22,2)&amp;" × "&amp;ROUND(Despiece!N22,2)&amp;" y cantear en el armado.","")&amp;" "&amp;IFERROR(VLOOKUP(Despiece!A22,$S$2:$T$40,2,FALSE),"")))=0,"—",TRIM(IF($L22="Pequeña","Si no la cantean: cortar a "&amp;ROUND(Despiece!M22,2)&amp;" × "&amp;ROUND(Despiece!N22,2)&amp;" y cantear en el armado.","")&amp;" "&amp;IFERROR(VLOOKUP(Despiece!A22,$S$2:$T$40,2,FALSE),"")))</f>
        <v>—</v>
      </c>
    </row>
    <row r="23" spans="1:14" x14ac:dyDescent="0.25">
      <c r="A23" s="20" t="str">
        <f>Despiece!A23</f>
        <v>C3-017</v>
      </c>
      <c r="B23" s="20" t="str">
        <f>Despiece!B23</f>
        <v>B1</v>
      </c>
      <c r="C23" s="20" t="str">
        <f>Despiece!C23</f>
        <v>Base aplicada de cajón</v>
      </c>
      <c r="D23" s="20" t="str">
        <f>"RH15 Cartagena "&amp;Despiece!G23&amp;" mm"</f>
        <v>RH15 Cartagena 15 mm</v>
      </c>
      <c r="E23" s="20">
        <f>Despiece!D23</f>
        <v>3</v>
      </c>
      <c r="F23" s="31">
        <f>IF($Q$2="NO",ROUND(Despiece!M23,2),Despiece!E23)</f>
        <v>803</v>
      </c>
      <c r="G23" s="31">
        <f>IF($Q$2="NO",ROUND(Despiece!N23,2),Despiece!F23)</f>
        <v>450</v>
      </c>
      <c r="H23" s="21" t="str">
        <f>IF(Despiece!I23="2","R",IF(Despiece!I23="0.45","F","—"))</f>
        <v>F</v>
      </c>
      <c r="I23" s="21" t="str">
        <f>IF(Despiece!J23="2","R",IF(Despiece!J23="0.45","F","—"))</f>
        <v>—</v>
      </c>
      <c r="J23" s="21" t="str">
        <f>IF(Despiece!K23="2","R",IF(Despiece!K23="0.45","F","—"))</f>
        <v>F</v>
      </c>
      <c r="K23" s="21" t="str">
        <f>IF(Despiece!L23="2","R",IF(Despiece!L23="0.45","F","—"))</f>
        <v>F</v>
      </c>
      <c r="L23" s="21" t="str">
        <f>IF(SUMPRODUCT((Despiece!I23:L23="2")+(Despiece!I23:L23="0.45"))=0,"Sin canto",IF(OR(MIN(Despiece!M23,Despiece!N23)&lt;$Q$3,MAX(Despiece!M23,Despiece!N23)&lt;$Q$4),"Pequeña","Normal"))</f>
        <v>Normal</v>
      </c>
      <c r="M23" s="20" t="str">
        <f>Despiece!E23&amp;" × "&amp;Despiece!F23</f>
        <v>803 × 450</v>
      </c>
      <c r="N23" s="22" t="str">
        <f>IF(LEN(TRIM(IF($L23="Pequeña","Si no la cantean: cortar a "&amp;ROUND(Despiece!M23,2)&amp;" × "&amp;ROUND(Despiece!N23,2)&amp;" y cantear en el armado.","")&amp;" "&amp;IFERROR(VLOOKUP(Despiece!A23,$S$2:$T$40,2,FALSE),"")))=0,"—",TRIM(IF($L23="Pequeña","Si no la cantean: cortar a "&amp;ROUND(Despiece!M23,2)&amp;" × "&amp;ROUND(Despiece!N23,2)&amp;" y cantear en el armado.","")&amp;" "&amp;IFERROR(VLOOKUP(Despiece!A23,$S$2:$T$40,2,FALSE),"")))</f>
        <v>—</v>
      </c>
    </row>
    <row r="24" spans="1:14" x14ac:dyDescent="0.25">
      <c r="A24" s="20" t="str">
        <f>Despiece!A24</f>
        <v>C3-018</v>
      </c>
      <c r="B24" s="20" t="str">
        <f>Despiece!B24</f>
        <v>B1</v>
      </c>
      <c r="C24" s="20" t="str">
        <f>Despiece!C24</f>
        <v>Frente / trasero interior de cajón</v>
      </c>
      <c r="D24" s="20" t="str">
        <f>"RH15 Cartagena "&amp;Despiece!G24&amp;" mm"</f>
        <v>RH15 Cartagena 15 mm</v>
      </c>
      <c r="E24" s="20">
        <f>Despiece!D24</f>
        <v>6</v>
      </c>
      <c r="F24" s="31">
        <f>IF($Q$2="NO",ROUND(Despiece!M24,2),Despiece!E24)</f>
        <v>773</v>
      </c>
      <c r="G24" s="31">
        <f>IF($Q$2="NO",ROUND(Despiece!N24,2),Despiece!F24)</f>
        <v>155</v>
      </c>
      <c r="H24" s="21" t="str">
        <f>IF(Despiece!I24="2","R",IF(Despiece!I24="0.45","F","—"))</f>
        <v>F</v>
      </c>
      <c r="I24" s="21" t="str">
        <f>IF(Despiece!J24="2","R",IF(Despiece!J24="0.45","F","—"))</f>
        <v>—</v>
      </c>
      <c r="J24" s="21" t="str">
        <f>IF(Despiece!K24="2","R",IF(Despiece!K24="0.45","F","—"))</f>
        <v>—</v>
      </c>
      <c r="K24" s="21" t="str">
        <f>IF(Despiece!L24="2","R",IF(Despiece!L24="0.45","F","—"))</f>
        <v>—</v>
      </c>
      <c r="L24" s="21" t="str">
        <f>IF(SUMPRODUCT((Despiece!I24:L24="2")+(Despiece!I24:L24="0.45"))=0,"Sin canto",IF(OR(MIN(Despiece!M24,Despiece!N24)&lt;$Q$3,MAX(Despiece!M24,Despiece!N24)&lt;$Q$4),"Pequeña","Normal"))</f>
        <v>Normal</v>
      </c>
      <c r="M24" s="20" t="str">
        <f>Despiece!E24&amp;" × "&amp;Despiece!F24</f>
        <v>773 × 155</v>
      </c>
      <c r="N24" s="22" t="str">
        <f>IF(LEN(TRIM(IF($L24="Pequeña","Si no la cantean: cortar a "&amp;ROUND(Despiece!M24,2)&amp;" × "&amp;ROUND(Despiece!N24,2)&amp;" y cantear en el armado.","")&amp;" "&amp;IFERROR(VLOOKUP(Despiece!A24,$S$2:$T$40,2,FALSE),"")))=0,"—",TRIM(IF($L24="Pequeña","Si no la cantean: cortar a "&amp;ROUND(Despiece!M24,2)&amp;" × "&amp;ROUND(Despiece!N24,2)&amp;" y cantear en el armado.","")&amp;" "&amp;IFERROR(VLOOKUP(Despiece!A24,$S$2:$T$40,2,FALSE),"")))</f>
        <v>—</v>
      </c>
    </row>
    <row r="25" spans="1:14" ht="26.4" x14ac:dyDescent="0.25">
      <c r="A25" s="20" t="str">
        <f>Despiece!A25</f>
        <v>C3-019</v>
      </c>
      <c r="B25" s="20" t="str">
        <f>Despiece!B25</f>
        <v>B1</v>
      </c>
      <c r="C25" s="20" t="str">
        <f>Despiece!C25</f>
        <v>Refuerzo bajo base de cajón</v>
      </c>
      <c r="D25" s="20" t="str">
        <f>"RH15 Cartagena "&amp;Despiece!G25&amp;" mm"</f>
        <v>RH15 Cartagena 15 mm</v>
      </c>
      <c r="E25" s="20">
        <f>Despiece!D25</f>
        <v>3</v>
      </c>
      <c r="F25" s="31">
        <f>IF($Q$2="NO",ROUND(Despiece!M25,2),Despiece!E25)</f>
        <v>803</v>
      </c>
      <c r="G25" s="31">
        <f>IF($Q$2="NO",ROUND(Despiece!N25,2),Despiece!F25)</f>
        <v>40</v>
      </c>
      <c r="H25" s="21" t="str">
        <f>IF(Despiece!I25="2","R",IF(Despiece!I25="0.45","F","—"))</f>
        <v>F</v>
      </c>
      <c r="I25" s="21" t="str">
        <f>IF(Despiece!J25="2","R",IF(Despiece!J25="0.45","F","—"))</f>
        <v>—</v>
      </c>
      <c r="J25" s="21" t="str">
        <f>IF(Despiece!K25="2","R",IF(Despiece!K25="0.45","F","—"))</f>
        <v>F</v>
      </c>
      <c r="K25" s="21" t="str">
        <f>IF(Despiece!L25="2","R",IF(Despiece!L25="0.45","F","—"))</f>
        <v>F</v>
      </c>
      <c r="L25" s="21" t="str">
        <f>IF(SUMPRODUCT((Despiece!I25:L25="2")+(Despiece!I25:L25="0.45"))=0,"Sin canto",IF(OR(MIN(Despiece!M25,Despiece!N25)&lt;$Q$3,MAX(Despiece!M25,Despiece!N25)&lt;$Q$4),"Pequeña","Normal"))</f>
        <v>Pequeña</v>
      </c>
      <c r="M25" s="20" t="str">
        <f>Despiece!E25&amp;" × "&amp;Despiece!F25</f>
        <v>803 × 40</v>
      </c>
      <c r="N25" s="22" t="str">
        <f>IF(LEN(TRIM(IF($L25="Pequeña","Si no la cantean: cortar a "&amp;ROUND(Despiece!M25,2)&amp;" × "&amp;ROUND(Despiece!N25,2)&amp;" y cantear en el armado.","")&amp;" "&amp;IFERROR(VLOOKUP(Despiece!A25,$S$2:$T$40,2,FALSE),"")))=0,"—",TRIM(IF($L25="Pequeña","Si no la cantean: cortar a "&amp;ROUND(Despiece!M25,2)&amp;" × "&amp;ROUND(Despiece!N25,2)&amp;" y cantear en el armado.","")&amp;" "&amp;IFERROR(VLOOKUP(Despiece!A25,$S$2:$T$40,2,FALSE),"")))</f>
        <v>Si no la cantean: cortar a 802,1 × 39,55 y cantear en el armado.</v>
      </c>
    </row>
    <row r="26" spans="1:14" ht="26.4" x14ac:dyDescent="0.25">
      <c r="A26" s="20" t="str">
        <f>Despiece!A26</f>
        <v>C3-020</v>
      </c>
      <c r="B26" s="20" t="str">
        <f>Despiece!B26</f>
        <v>BASE</v>
      </c>
      <c r="C26" s="20" t="str">
        <f>Despiece!C26</f>
        <v>Zócalo frontal</v>
      </c>
      <c r="D26" s="20" t="str">
        <f>"RH15 Cartagena "&amp;Despiece!G26&amp;" mm"</f>
        <v>RH15 Cartagena 15 mm</v>
      </c>
      <c r="E26" s="20">
        <f>Despiece!D26</f>
        <v>1</v>
      </c>
      <c r="F26" s="31">
        <f>IF($Q$2="NO",ROUND(Despiece!M26,2),Despiece!E26)</f>
        <v>1950</v>
      </c>
      <c r="G26" s="31">
        <f>IF($Q$2="NO",ROUND(Despiece!N26,2),Despiece!F26)</f>
        <v>92</v>
      </c>
      <c r="H26" s="21" t="str">
        <f>IF(Despiece!I26="2","R",IF(Despiece!I26="0.45","F","—"))</f>
        <v>F</v>
      </c>
      <c r="I26" s="21" t="str">
        <f>IF(Despiece!J26="2","R",IF(Despiece!J26="0.45","F","—"))</f>
        <v>F</v>
      </c>
      <c r="J26" s="21" t="str">
        <f>IF(Despiece!K26="2","R",IF(Despiece!K26="0.45","F","—"))</f>
        <v>F</v>
      </c>
      <c r="K26" s="21" t="str">
        <f>IF(Despiece!L26="2","R",IF(Despiece!L26="0.45","F","—"))</f>
        <v>F</v>
      </c>
      <c r="L26" s="21" t="str">
        <f>IF(SUMPRODUCT((Despiece!I26:L26="2")+(Despiece!I26:L26="0.45"))=0,"Sin canto",IF(OR(MIN(Despiece!M26,Despiece!N26)&lt;$Q$3,MAX(Despiece!M26,Despiece!N26)&lt;$Q$4),"Pequeña","Normal"))</f>
        <v>Pequeña</v>
      </c>
      <c r="M26" s="20" t="str">
        <f>Despiece!E26&amp;" × "&amp;Despiece!F26</f>
        <v>1950 × 92</v>
      </c>
      <c r="N26" s="22" t="str">
        <f>IF(LEN(TRIM(IF($L26="Pequeña","Si no la cantean: cortar a "&amp;ROUND(Despiece!M26,2)&amp;" × "&amp;ROUND(Despiece!N26,2)&amp;" y cantear en el armado.","")&amp;" "&amp;IFERROR(VLOOKUP(Despiece!A26,$S$2:$T$40,2,FALSE),"")))=0,"—",TRIM(IF($L26="Pequeña","Si no la cantean: cortar a "&amp;ROUND(Despiece!M26,2)&amp;" × "&amp;ROUND(Despiece!N26,2)&amp;" y cantear en el armado.","")&amp;" "&amp;IFERROR(VLOOKUP(Despiece!A26,$S$2:$T$40,2,FALSE),"")))</f>
        <v>Si no la cantean: cortar a 1949,1 × 91,1 y cantear en el armado.</v>
      </c>
    </row>
    <row r="27" spans="1:14" ht="26.4" x14ac:dyDescent="0.25">
      <c r="A27" s="20" t="str">
        <f>Despiece!A27</f>
        <v>C3-021</v>
      </c>
      <c r="B27" s="20" t="str">
        <f>Despiece!B27</f>
        <v>BASE</v>
      </c>
      <c r="C27" s="20" t="str">
        <f>Despiece!C27</f>
        <v>Travesaño trasero de base</v>
      </c>
      <c r="D27" s="20" t="str">
        <f>"RH15 Cartagena "&amp;Despiece!G27&amp;" mm"</f>
        <v>RH15 Cartagena 15 mm</v>
      </c>
      <c r="E27" s="20">
        <f>Despiece!D27</f>
        <v>1</v>
      </c>
      <c r="F27" s="31">
        <f>IF($Q$2="NO",ROUND(Despiece!M27,2),Despiece!E27)</f>
        <v>1950</v>
      </c>
      <c r="G27" s="31">
        <f>IF($Q$2="NO",ROUND(Despiece!N27,2),Despiece!F27)</f>
        <v>80</v>
      </c>
      <c r="H27" s="21" t="str">
        <f>IF(Despiece!I27="2","R",IF(Despiece!I27="0.45","F","—"))</f>
        <v>F</v>
      </c>
      <c r="I27" s="21" t="str">
        <f>IF(Despiece!J27="2","R",IF(Despiece!J27="0.45","F","—"))</f>
        <v>F</v>
      </c>
      <c r="J27" s="21" t="str">
        <f>IF(Despiece!K27="2","R",IF(Despiece!K27="0.45","F","—"))</f>
        <v>F</v>
      </c>
      <c r="K27" s="21" t="str">
        <f>IF(Despiece!L27="2","R",IF(Despiece!L27="0.45","F","—"))</f>
        <v>F</v>
      </c>
      <c r="L27" s="21" t="str">
        <f>IF(SUMPRODUCT((Despiece!I27:L27="2")+(Despiece!I27:L27="0.45"))=0,"Sin canto",IF(OR(MIN(Despiece!M27,Despiece!N27)&lt;$Q$3,MAX(Despiece!M27,Despiece!N27)&lt;$Q$4),"Pequeña","Normal"))</f>
        <v>Pequeña</v>
      </c>
      <c r="M27" s="20" t="str">
        <f>Despiece!E27&amp;" × "&amp;Despiece!F27</f>
        <v>1950 × 80</v>
      </c>
      <c r="N27" s="22" t="str">
        <f>IF(LEN(TRIM(IF($L27="Pequeña","Si no la cantean: cortar a "&amp;ROUND(Despiece!M27,2)&amp;" × "&amp;ROUND(Despiece!N27,2)&amp;" y cantear en el armado.","")&amp;" "&amp;IFERROR(VLOOKUP(Despiece!A27,$S$2:$T$40,2,FALSE),"")))=0,"—",TRIM(IF($L27="Pequeña","Si no la cantean: cortar a "&amp;ROUND(Despiece!M27,2)&amp;" × "&amp;ROUND(Despiece!N27,2)&amp;" y cantear en el armado.","")&amp;" "&amp;IFERROR(VLOOKUP(Despiece!A27,$S$2:$T$40,2,FALSE),"")))</f>
        <v>Si no la cantean: cortar a 1949,1 × 79,1 y cantear en el armado.</v>
      </c>
    </row>
    <row r="28" spans="1:14" ht="26.4" x14ac:dyDescent="0.25">
      <c r="A28" s="20" t="str">
        <f>Despiece!A28</f>
        <v>C3-022</v>
      </c>
      <c r="B28" s="20" t="str">
        <f>Despiece!B28</f>
        <v>BASE</v>
      </c>
      <c r="C28" s="20" t="str">
        <f>Despiece!C28</f>
        <v>Travesaño de base</v>
      </c>
      <c r="D28" s="20" t="str">
        <f>"RH15 Cartagena "&amp;Despiece!G28&amp;" mm"</f>
        <v>RH15 Cartagena 15 mm</v>
      </c>
      <c r="E28" s="20">
        <f>Despiece!D28</f>
        <v>3</v>
      </c>
      <c r="F28" s="31">
        <f>IF($Q$2="NO",ROUND(Despiece!M28,2),Despiece!E28)</f>
        <v>480</v>
      </c>
      <c r="G28" s="31">
        <f>IF($Q$2="NO",ROUND(Despiece!N28,2),Despiece!F28)</f>
        <v>80</v>
      </c>
      <c r="H28" s="21" t="str">
        <f>IF(Despiece!I28="2","R",IF(Despiece!I28="0.45","F","—"))</f>
        <v>F</v>
      </c>
      <c r="I28" s="21" t="str">
        <f>IF(Despiece!J28="2","R",IF(Despiece!J28="0.45","F","—"))</f>
        <v>F</v>
      </c>
      <c r="J28" s="21" t="str">
        <f>IF(Despiece!K28="2","R",IF(Despiece!K28="0.45","F","—"))</f>
        <v>F</v>
      </c>
      <c r="K28" s="21" t="str">
        <f>IF(Despiece!L28="2","R",IF(Despiece!L28="0.45","F","—"))</f>
        <v>F</v>
      </c>
      <c r="L28" s="21" t="str">
        <f>IF(SUMPRODUCT((Despiece!I28:L28="2")+(Despiece!I28:L28="0.45"))=0,"Sin canto",IF(OR(MIN(Despiece!M28,Despiece!N28)&lt;$Q$3,MAX(Despiece!M28,Despiece!N28)&lt;$Q$4),"Pequeña","Normal"))</f>
        <v>Pequeña</v>
      </c>
      <c r="M28" s="20" t="str">
        <f>Despiece!E28&amp;" × "&amp;Despiece!F28</f>
        <v>480 × 80</v>
      </c>
      <c r="N28" s="22" t="str">
        <f>IF(LEN(TRIM(IF($L28="Pequeña","Si no la cantean: cortar a "&amp;ROUND(Despiece!M28,2)&amp;" × "&amp;ROUND(Despiece!N28,2)&amp;" y cantear en el armado.","")&amp;" "&amp;IFERROR(VLOOKUP(Despiece!A28,$S$2:$T$40,2,FALSE),"")))=0,"—",TRIM(IF($L28="Pequeña","Si no la cantean: cortar a "&amp;ROUND(Despiece!M28,2)&amp;" × "&amp;ROUND(Despiece!N28,2)&amp;" y cantear en el armado.","")&amp;" "&amp;IFERROR(VLOOKUP(Despiece!A28,$S$2:$T$40,2,FALSE),"")))</f>
        <v>Si no la cantean: cortar a 479,1 × 79,1 y cantear en el armado.</v>
      </c>
    </row>
    <row r="29" spans="1:14" ht="52.8" x14ac:dyDescent="0.25">
      <c r="A29" s="20" t="str">
        <f>Despiece!A29</f>
        <v>C3-023</v>
      </c>
      <c r="B29" s="20" t="str">
        <f>Despiece!B29</f>
        <v>PUERTAS</v>
      </c>
      <c r="C29" s="20" t="str">
        <f>Despiece!C29</f>
        <v>Hoja corrediza RH15</v>
      </c>
      <c r="D29" s="20" t="str">
        <f>"RH15 Cartagena "&amp;Despiece!G29&amp;" mm"</f>
        <v>RH15 Cartagena 15 mm</v>
      </c>
      <c r="E29" s="20">
        <f>Despiece!D29</f>
        <v>2</v>
      </c>
      <c r="F29" s="31">
        <f>IF($Q$2="NO",ROUND(Despiece!M29,2),Despiece!E29)+20</f>
        <v>2195</v>
      </c>
      <c r="G29" s="31">
        <f>IF($Q$2="NO",ROUND(Despiece!N29,2),Despiece!F29)</f>
        <v>975</v>
      </c>
      <c r="H29" s="21" t="str">
        <f>IF(Despiece!I29="2","R",IF(Despiece!I29="0.45","F","—"))</f>
        <v>R</v>
      </c>
      <c r="I29" s="21" t="str">
        <f>IF(Despiece!J29="2","R",IF(Despiece!J29="0.45","F","—"))</f>
        <v>R</v>
      </c>
      <c r="J29" s="21" t="str">
        <f>IF(Despiece!K29="2","R",IF(Despiece!K29="0.45","F","—"))</f>
        <v>R</v>
      </c>
      <c r="K29" s="21" t="str">
        <f>IF(Despiece!L29="2","R",IF(Despiece!L29="0.45","F","—"))</f>
        <v>R</v>
      </c>
      <c r="L29" s="21" t="str">
        <f>IF(SUMPRODUCT((Despiece!I29:L29="2")+(Despiece!I29:L29="0.45"))=0,"Sin canto",IF(OR(MIN(Despiece!M29,Despiece!N29)&lt;$Q$3,MAX(Despiece!M29,Despiece!N29)&lt;$Q$4),"Pequeña","Normal"))</f>
        <v>Normal</v>
      </c>
      <c r="M29" s="20" t="str">
        <f>Despiece!E29&amp;" × "&amp;Despiece!F29</f>
        <v>2175 × 975</v>
      </c>
      <c r="N29" s="22" t="str">
        <f>IF(LEN(TRIM(IF($L29="Pequeña","Si no la cantean: cortar a "&amp;ROUND(Despiece!M29,2)&amp;" × "&amp;ROUND(Despiece!N29,2)&amp;" y cantear en el armado.","")&amp;" "&amp;IFERROR(VLOOKUP(Despiece!A29,$S$2:$T$40,2,FALSE),"")))=0,"—",TRIM(IF($L29="Pequeña","Si no la cantean: cortar a "&amp;ROUND(Despiece!M29,2)&amp;" × "&amp;ROUND(Despiece!N29,2)&amp;" y cantear en el armado.","")&amp;" "&amp;IFERROR(VLOOKUP(Despiece!A29,$S$2:$T$40,2,FALSE),"")))</f>
        <v>Pedida 20 mm más alta (2195 en vez de 2175): en el armado, con el riel y los carros puestos, recortar el borde superior —tapado por la solapa— hasta que la guía inferior sujete la hoja. Nunca debe quedar corta.</v>
      </c>
    </row>
    <row r="30" spans="1:14" x14ac:dyDescent="0.25">
      <c r="A30" s="20" t="str">
        <f>Despiece!A30</f>
        <v>C3-024</v>
      </c>
      <c r="B30" s="20" t="str">
        <f>Despiece!B30</f>
        <v>EST</v>
      </c>
      <c r="C30" s="20" t="str">
        <f>Despiece!C30</f>
        <v>Solapa frontal</v>
      </c>
      <c r="D30" s="20" t="str">
        <f>"RH15 Cartagena "&amp;Despiece!G30&amp;" mm"</f>
        <v>RH15 Cartagena 15 mm</v>
      </c>
      <c r="E30" s="20">
        <f>Despiece!D30</f>
        <v>1</v>
      </c>
      <c r="F30" s="31">
        <f>IF($Q$2="NO",ROUND(Despiece!M30,2),Despiece!E30)</f>
        <v>1950</v>
      </c>
      <c r="G30" s="31">
        <f>IF($Q$2="NO",ROUND(Despiece!N30,2),Despiece!F30)</f>
        <v>120</v>
      </c>
      <c r="H30" s="21" t="str">
        <f>IF(Despiece!I30="2","R",IF(Despiece!I30="0.45","F","—"))</f>
        <v>R</v>
      </c>
      <c r="I30" s="21" t="str">
        <f>IF(Despiece!J30="2","R",IF(Despiece!J30="0.45","F","—"))</f>
        <v>F</v>
      </c>
      <c r="J30" s="21" t="str">
        <f>IF(Despiece!K30="2","R",IF(Despiece!K30="0.45","F","—"))</f>
        <v>R</v>
      </c>
      <c r="K30" s="21" t="str">
        <f>IF(Despiece!L30="2","R",IF(Despiece!L30="0.45","F","—"))</f>
        <v>R</v>
      </c>
      <c r="L30" s="21" t="str">
        <f>IF(SUMPRODUCT((Despiece!I30:L30="2")+(Despiece!I30:L30="0.45"))=0,"Sin canto",IF(OR(MIN(Despiece!M30,Despiece!N30)&lt;$Q$3,MAX(Despiece!M30,Despiece!N30)&lt;$Q$4),"Pequeña","Normal"))</f>
        <v>Normal</v>
      </c>
      <c r="M30" s="20" t="str">
        <f>Despiece!E30&amp;" × "&amp;Despiece!F30</f>
        <v>1950 × 120</v>
      </c>
      <c r="N30" s="22" t="str">
        <f>IF(LEN(TRIM(IF($L30="Pequeña","Si no la cantean: cortar a "&amp;ROUND(Despiece!M30,2)&amp;" × "&amp;ROUND(Despiece!N30,2)&amp;" y cantear en el armado.","")&amp;" "&amp;IFERROR(VLOOKUP(Despiece!A30,$S$2:$T$40,2,FALSE),"")))=0,"—",TRIM(IF($L30="Pequeña","Si no la cantean: cortar a "&amp;ROUND(Despiece!M30,2)&amp;" × "&amp;ROUND(Despiece!N30,2)&amp;" y cantear en el armado.","")&amp;" "&amp;IFERROR(VLOOKUP(Despiece!A30,$S$2:$T$40,2,FALSE),"")))</f>
        <v>—</v>
      </c>
    </row>
    <row r="32" spans="1:14" x14ac:dyDescent="0.25">
      <c r="C32" s="16" t="s">
        <v>103</v>
      </c>
      <c r="D32" s="23"/>
      <c r="E32" s="23"/>
      <c r="F32" s="16" t="s">
        <v>104</v>
      </c>
      <c r="G32" s="16" t="s">
        <v>105</v>
      </c>
    </row>
    <row r="33" spans="3:14" x14ac:dyDescent="0.25">
      <c r="C33" s="16" t="s">
        <v>106</v>
      </c>
      <c r="D33" s="23"/>
      <c r="E33" s="23"/>
      <c r="F33" s="24">
        <f>(SUMPRODUCT(Despiece!$D$7:$D$30,Despiece!$E$7:$E$30,(Despiece!$I$7:$I$30="2")+(Despiece!$J$7:$J$30="2"),--($L$7:$L$30="Normal"))+SUMPRODUCT(Despiece!$D$7:$D$30,Despiece!$F$7:$F$30,(Despiece!$K$7:$K$30="2")+(Despiece!$L$7:$L$30="2"),--($L$7:$L$30="Normal")))/1000</f>
        <v>31.643999999999998</v>
      </c>
      <c r="G33" s="24">
        <f>(SUMPRODUCT(Despiece!$D$7:$D$30,Despiece!$E$7:$E$30,(Despiece!$I$7:$I$30="2")+(Despiece!$J$7:$J$30="2"),--($L$7:$L$30="Pequeña"))+SUMPRODUCT(Despiece!$D$7:$D$30,Despiece!$F$7:$F$30,(Despiece!$K$7:$K$30="2")+(Despiece!$L$7:$L$30="2"),--($L$7:$L$30="Pequeña")))/1000</f>
        <v>0</v>
      </c>
    </row>
    <row r="34" spans="3:14" x14ac:dyDescent="0.25">
      <c r="C34" s="16" t="s">
        <v>107</v>
      </c>
      <c r="D34" s="23"/>
      <c r="E34" s="23"/>
      <c r="F34" s="24">
        <f>(SUMPRODUCT(Despiece!$D$7:$D$30,Despiece!$E$7:$E$30,(Despiece!$I$7:$I$30="0.45")+(Despiece!$J$7:$J$30="0.45"),--($L$7:$L$30="Normal"))+SUMPRODUCT(Despiece!$D$7:$D$30,Despiece!$F$7:$F$30,(Despiece!$K$7:$K$30="0.45")+(Despiece!$L$7:$L$30="0.45"),--($L$7:$L$30="Normal")))/1000</f>
        <v>21.082000000000001</v>
      </c>
      <c r="G34" s="24">
        <f>(SUMPRODUCT(Despiece!$D$7:$D$30,Despiece!$E$7:$E$30,(Despiece!$I$7:$I$30="0.45")+(Despiece!$J$7:$J$30="0.45"),--($L$7:$L$30="Pequeña"))+SUMPRODUCT(Despiece!$D$7:$D$30,Despiece!$F$7:$F$30,(Despiece!$K$7:$K$30="0.45")+(Despiece!$L$7:$L$30="0.45"),--($L$7:$L$30="Pequeña")))/1000</f>
        <v>17.963000000000001</v>
      </c>
    </row>
    <row r="35" spans="3:14" x14ac:dyDescent="0.25">
      <c r="C35" s="16" t="s">
        <v>108</v>
      </c>
      <c r="D35" s="23"/>
      <c r="E35" s="23"/>
      <c r="F35" s="25">
        <f>SUMPRODUCT($E$7:$E$30,--($L$7:$L$30&lt;&gt;"Pequeña"))</f>
        <v>32</v>
      </c>
      <c r="G35" s="25">
        <f>SUMIF($L$7:$L$30,"Pequeña",$E$7:$E$30)</f>
        <v>12</v>
      </c>
    </row>
    <row r="37" spans="3:14" x14ac:dyDescent="0.25">
      <c r="C37" s="16" t="s">
        <v>238</v>
      </c>
      <c r="D37" s="23"/>
      <c r="E37" s="23"/>
      <c r="F37" s="16" t="s">
        <v>106</v>
      </c>
      <c r="G37" s="16" t="s">
        <v>107</v>
      </c>
    </row>
    <row r="38" spans="3:14" x14ac:dyDescent="0.25">
      <c r="C38" s="14" t="s">
        <v>109</v>
      </c>
      <c r="F38" s="27">
        <f>SUMPRODUCT(Despiece!$D$7:$D$30,(Despiece!$I$7:$I$30="2")+(Despiece!$J$7:$J$30="2")+(Despiece!$K$7:$K$30="2")+(Despiece!$L$7:$L$30="2"),--($L$7:$L$30="Pequeña"))</f>
        <v>0</v>
      </c>
      <c r="G38" s="27">
        <f>SUMPRODUCT(Despiece!$D$7:$D$30,(Despiece!$I$7:$I$30="0.45")+(Despiece!$J$7:$J$30="0.45")+(Despiece!$K$7:$K$30="0.45")+(Despiece!$L$7:$L$30="0.45"),--($L$7:$L$30="Pequeña"))</f>
        <v>33</v>
      </c>
    </row>
    <row r="39" spans="3:14" x14ac:dyDescent="0.25">
      <c r="C39" s="14" t="s">
        <v>110</v>
      </c>
      <c r="F39" s="28">
        <f>G33</f>
        <v>0</v>
      </c>
      <c r="G39" s="28">
        <f>G34</f>
        <v>17.963000000000001</v>
      </c>
    </row>
    <row r="40" spans="3:14" x14ac:dyDescent="0.25">
      <c r="C40" s="14" t="s">
        <v>111</v>
      </c>
      <c r="F40" s="29">
        <v>0.1</v>
      </c>
      <c r="G40" s="29">
        <v>0.1</v>
      </c>
    </row>
    <row r="41" spans="3:14" x14ac:dyDescent="0.25">
      <c r="C41" s="14" t="s">
        <v>112</v>
      </c>
      <c r="F41" s="30">
        <v>0.2</v>
      </c>
      <c r="G41" s="30">
        <v>0.2</v>
      </c>
    </row>
    <row r="42" spans="3:14" x14ac:dyDescent="0.25">
      <c r="C42" s="16" t="s">
        <v>239</v>
      </c>
      <c r="D42" s="23"/>
      <c r="E42" s="23"/>
      <c r="F42" s="26">
        <f>IF(F38=0,0,ROUNDUP((F39+F38*F40)*(1+F41),0))</f>
        <v>0</v>
      </c>
      <c r="G42" s="26">
        <f>IF(G38=0,0,ROUNDUP((G39+G38*G40)*(1+G41),0))</f>
        <v>26</v>
      </c>
    </row>
    <row r="43" spans="3:14" ht="49.95" customHeight="1" x14ac:dyDescent="0.25">
      <c r="C43" s="39" t="s">
        <v>240</v>
      </c>
      <c r="D43" s="40"/>
      <c r="E43" s="40"/>
      <c r="F43" s="40"/>
      <c r="G43" s="40"/>
      <c r="H43" s="40"/>
      <c r="I43" s="40"/>
      <c r="J43" s="40"/>
      <c r="K43" s="40"/>
      <c r="L43" s="40"/>
      <c r="M43" s="40"/>
      <c r="N43" s="40"/>
    </row>
    <row r="44" spans="3:14" ht="34.049999999999997" customHeight="1" x14ac:dyDescent="0.25">
      <c r="C44" t="s">
        <v>241</v>
      </c>
      <c r="F44" s="32"/>
      <c r="G44" s="32"/>
    </row>
    <row r="45" spans="3:14" ht="34.049999999999997" customHeight="1" x14ac:dyDescent="0.25">
      <c r="C45" t="s">
        <v>242</v>
      </c>
      <c r="F45" s="32">
        <v>0</v>
      </c>
      <c r="G45" s="32">
        <v>0</v>
      </c>
    </row>
    <row r="46" spans="3:14" ht="34.049999999999997" customHeight="1" x14ac:dyDescent="0.25">
      <c r="C46" s="33" t="s">
        <v>243</v>
      </c>
      <c r="D46" s="33"/>
      <c r="E46" s="33"/>
      <c r="F46" s="34">
        <f>ROUNDUP(MAX(IF(ISNUMBER(F44),F44,F42)-F45,0),0)</f>
        <v>0</v>
      </c>
      <c r="G46" s="34">
        <f>ROUNDUP(MAX(IF(ISNUMBER(G44),G44,G42)-G45,0),0)</f>
        <v>26</v>
      </c>
    </row>
    <row r="47" spans="3:14" ht="49.95" customHeight="1" x14ac:dyDescent="0.25">
      <c r="C47" s="41" t="s">
        <v>244</v>
      </c>
      <c r="D47" s="40"/>
      <c r="E47" s="40"/>
      <c r="F47" s="40"/>
      <c r="G47" s="40"/>
      <c r="H47" s="40"/>
      <c r="I47" s="40"/>
      <c r="J47" s="40"/>
      <c r="K47" s="40"/>
      <c r="L47" s="40"/>
      <c r="M47" s="40"/>
      <c r="N47" s="40"/>
    </row>
  </sheetData>
  <mergeCells count="2">
    <mergeCell ref="C43:N43"/>
    <mergeCell ref="C47:N47"/>
  </mergeCells>
  <dataValidations count="1">
    <dataValidation type="list" allowBlank="1" showInputMessage="1" showErrorMessage="1" sqref="Q2" xr:uid="{00000000-0002-0000-0100-000000000000}"/>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showGridLines="0" workbookViewId="0">
      <pane ySplit="6" topLeftCell="A7" activePane="bottomLeft" state="frozen"/>
      <selection pane="bottomLeft"/>
    </sheetView>
  </sheetViews>
  <sheetFormatPr baseColWidth="10" defaultColWidth="8.6640625" defaultRowHeight="13.2" x14ac:dyDescent="0.25"/>
  <cols>
    <col min="1" max="1" width="25" customWidth="1"/>
    <col min="2" max="2" width="32" customWidth="1"/>
    <col min="3" max="3" width="12" customWidth="1"/>
    <col min="4" max="4" width="13" customWidth="1"/>
    <col min="5" max="5" width="17" customWidth="1"/>
    <col min="6" max="6" width="18" customWidth="1"/>
    <col min="7" max="7" width="24" customWidth="1"/>
    <col min="8" max="8" width="86" customWidth="1"/>
    <col min="9" max="9" width="3" customWidth="1"/>
    <col min="10" max="10" width="80" customWidth="1"/>
  </cols>
  <sheetData>
    <row r="1" spans="1:10" ht="15" customHeight="1" x14ac:dyDescent="0.25">
      <c r="A1" s="1"/>
      <c r="B1" s="1"/>
      <c r="C1" s="1"/>
      <c r="D1" s="1"/>
      <c r="E1" s="1"/>
      <c r="F1" s="1"/>
      <c r="G1" s="1"/>
      <c r="H1" s="1"/>
      <c r="I1" s="1"/>
      <c r="J1" s="1"/>
    </row>
    <row r="2" spans="1:10" ht="19.5" customHeight="1" x14ac:dyDescent="0.25">
      <c r="A2" s="2" t="s">
        <v>128</v>
      </c>
      <c r="B2" s="1"/>
      <c r="C2" s="1"/>
      <c r="D2" s="1"/>
      <c r="E2" s="1"/>
      <c r="F2" s="1"/>
      <c r="G2" s="1"/>
      <c r="H2" s="1"/>
      <c r="I2" s="1"/>
      <c r="J2" s="1"/>
    </row>
    <row r="3" spans="1:10" ht="15" customHeight="1" x14ac:dyDescent="0.25">
      <c r="A3" s="12" t="s">
        <v>247</v>
      </c>
      <c r="B3" s="1"/>
      <c r="C3" s="1"/>
      <c r="D3" s="1"/>
      <c r="E3" s="1"/>
      <c r="F3" s="1"/>
      <c r="G3" s="1"/>
      <c r="H3" s="1"/>
      <c r="I3" s="1"/>
      <c r="J3" s="1"/>
    </row>
    <row r="4" spans="1:10" ht="15" customHeight="1" x14ac:dyDescent="0.25">
      <c r="A4" s="1" t="s">
        <v>129</v>
      </c>
      <c r="B4" s="1"/>
      <c r="C4" s="1"/>
      <c r="D4" s="1"/>
      <c r="E4" s="1"/>
      <c r="F4" s="1"/>
      <c r="G4" s="1"/>
      <c r="H4" s="1"/>
      <c r="I4" s="1"/>
      <c r="J4" s="1"/>
    </row>
    <row r="5" spans="1:10" ht="15" customHeight="1" x14ac:dyDescent="0.25">
      <c r="A5" s="1"/>
      <c r="B5" s="1"/>
      <c r="C5" s="1"/>
      <c r="D5" s="1"/>
      <c r="E5" s="1"/>
      <c r="F5" s="1"/>
      <c r="G5" s="1"/>
      <c r="H5" s="1"/>
      <c r="I5" s="1"/>
      <c r="J5" s="1"/>
    </row>
    <row r="6" spans="1:10" ht="42" customHeight="1" x14ac:dyDescent="0.25">
      <c r="A6" s="3" t="s">
        <v>130</v>
      </c>
      <c r="B6" s="3" t="s">
        <v>131</v>
      </c>
      <c r="C6" s="3" t="s">
        <v>132</v>
      </c>
      <c r="D6" s="3" t="s">
        <v>133</v>
      </c>
      <c r="E6" s="3" t="s">
        <v>134</v>
      </c>
      <c r="F6" s="3" t="s">
        <v>135</v>
      </c>
      <c r="G6" s="3" t="s">
        <v>17</v>
      </c>
      <c r="H6" s="3" t="s">
        <v>136</v>
      </c>
      <c r="I6" s="1"/>
      <c r="J6" s="1" t="s">
        <v>137</v>
      </c>
    </row>
    <row r="7" spans="1:10" ht="79.5" customHeight="1" x14ac:dyDescent="0.25">
      <c r="A7" s="1" t="s">
        <v>138</v>
      </c>
      <c r="B7" s="4" t="s">
        <v>139</v>
      </c>
      <c r="C7" s="1">
        <v>5</v>
      </c>
      <c r="D7" s="1" t="s">
        <v>140</v>
      </c>
      <c r="E7" s="9">
        <v>365872</v>
      </c>
      <c r="F7" s="9">
        <f t="shared" ref="F7:F21" si="0">IF(COUNT(C7,E7)=2,C7*E7,"Por cotizar")</f>
        <v>1829360</v>
      </c>
      <c r="G7" s="4" t="s">
        <v>141</v>
      </c>
      <c r="H7" s="4" t="s">
        <v>142</v>
      </c>
      <c r="I7" s="12"/>
      <c r="J7" s="13" t="s">
        <v>286</v>
      </c>
    </row>
    <row r="8" spans="1:10" ht="79.5" customHeight="1" x14ac:dyDescent="0.25">
      <c r="A8" s="1" t="s">
        <v>143</v>
      </c>
      <c r="B8" s="4" t="s">
        <v>144</v>
      </c>
      <c r="C8" s="1">
        <f>Cantos!H7</f>
        <v>1</v>
      </c>
      <c r="D8" s="1" t="s">
        <v>145</v>
      </c>
      <c r="E8" s="9">
        <v>531600</v>
      </c>
      <c r="F8" s="9">
        <f t="shared" si="0"/>
        <v>531600</v>
      </c>
      <c r="G8" s="4" t="s">
        <v>146</v>
      </c>
      <c r="H8" s="4" t="s">
        <v>245</v>
      </c>
      <c r="I8" s="1"/>
      <c r="J8" s="13" t="s">
        <v>287</v>
      </c>
    </row>
    <row r="9" spans="1:10" ht="79.5" customHeight="1" x14ac:dyDescent="0.25">
      <c r="A9" s="1" t="s">
        <v>147</v>
      </c>
      <c r="B9" s="4" t="s">
        <v>148</v>
      </c>
      <c r="C9" s="1">
        <f>Cantos!H8</f>
        <v>1</v>
      </c>
      <c r="D9" s="1" t="s">
        <v>145</v>
      </c>
      <c r="E9" s="9">
        <v>285600</v>
      </c>
      <c r="F9" s="9">
        <f t="shared" si="0"/>
        <v>285600</v>
      </c>
      <c r="G9" s="4" t="s">
        <v>146</v>
      </c>
      <c r="H9" s="4" t="s">
        <v>246</v>
      </c>
      <c r="I9" s="1"/>
      <c r="J9" s="13" t="s">
        <v>287</v>
      </c>
    </row>
    <row r="10" spans="1:10" ht="79.5" customHeight="1" x14ac:dyDescent="0.25">
      <c r="A10" s="1" t="s">
        <v>149</v>
      </c>
      <c r="B10" s="4" t="s">
        <v>150</v>
      </c>
      <c r="C10" s="1">
        <v>3</v>
      </c>
      <c r="D10" s="1" t="s">
        <v>151</v>
      </c>
      <c r="E10" s="9">
        <v>11287</v>
      </c>
      <c r="F10" s="9">
        <f t="shared" si="0"/>
        <v>33861</v>
      </c>
      <c r="G10" s="4" t="s">
        <v>152</v>
      </c>
      <c r="H10" s="13" t="s">
        <v>248</v>
      </c>
      <c r="I10" s="12"/>
      <c r="J10" s="13" t="s">
        <v>249</v>
      </c>
    </row>
    <row r="11" spans="1:10" ht="79.5" customHeight="1" x14ac:dyDescent="0.25">
      <c r="A11" s="1" t="s">
        <v>153</v>
      </c>
      <c r="B11" s="4" t="s">
        <v>154</v>
      </c>
      <c r="C11" s="1">
        <v>1</v>
      </c>
      <c r="D11" s="1" t="s">
        <v>155</v>
      </c>
      <c r="E11" s="9">
        <v>12730</v>
      </c>
      <c r="F11" s="9">
        <f t="shared" si="0"/>
        <v>12730</v>
      </c>
      <c r="G11" s="4" t="s">
        <v>156</v>
      </c>
      <c r="H11" s="4" t="s">
        <v>157</v>
      </c>
      <c r="I11" s="1"/>
      <c r="J11" s="4" t="s">
        <v>158</v>
      </c>
    </row>
    <row r="12" spans="1:10" ht="79.5" customHeight="1" x14ac:dyDescent="0.25">
      <c r="A12" s="1" t="s">
        <v>159</v>
      </c>
      <c r="B12" s="4" t="s">
        <v>160</v>
      </c>
      <c r="C12" s="1">
        <v>1</v>
      </c>
      <c r="D12" s="1" t="s">
        <v>161</v>
      </c>
      <c r="E12" s="9">
        <v>33278</v>
      </c>
      <c r="F12" s="9">
        <f t="shared" si="0"/>
        <v>33278</v>
      </c>
      <c r="G12" s="4" t="s">
        <v>152</v>
      </c>
      <c r="H12" s="4" t="s">
        <v>162</v>
      </c>
      <c r="I12" s="1"/>
      <c r="J12" s="4" t="s">
        <v>163</v>
      </c>
    </row>
    <row r="13" spans="1:10" ht="79.5" customHeight="1" x14ac:dyDescent="0.25">
      <c r="A13" s="1" t="s">
        <v>164</v>
      </c>
      <c r="B13" s="4" t="s">
        <v>165</v>
      </c>
      <c r="C13" s="1">
        <v>2</v>
      </c>
      <c r="D13" s="1" t="s">
        <v>166</v>
      </c>
      <c r="E13" s="9">
        <v>2743</v>
      </c>
      <c r="F13" s="9">
        <f t="shared" si="0"/>
        <v>5486</v>
      </c>
      <c r="G13" s="13" t="s">
        <v>288</v>
      </c>
      <c r="H13" s="4" t="s">
        <v>167</v>
      </c>
      <c r="I13" s="1"/>
      <c r="J13" s="4" t="s">
        <v>168</v>
      </c>
    </row>
    <row r="14" spans="1:10" ht="79.5" customHeight="1" x14ac:dyDescent="0.25">
      <c r="A14" s="1" t="s">
        <v>169</v>
      </c>
      <c r="B14" s="4" t="s">
        <v>170</v>
      </c>
      <c r="C14" s="1"/>
      <c r="D14" s="1" t="s">
        <v>171</v>
      </c>
      <c r="E14" s="9"/>
      <c r="F14" s="9" t="str">
        <f t="shared" si="0"/>
        <v>Por cotizar</v>
      </c>
      <c r="G14" s="4" t="s">
        <v>172</v>
      </c>
      <c r="H14" s="4" t="s">
        <v>173</v>
      </c>
      <c r="I14" s="1"/>
      <c r="J14" s="4" t="s">
        <v>174</v>
      </c>
    </row>
    <row r="15" spans="1:10" ht="79.5" customHeight="1" x14ac:dyDescent="0.25">
      <c r="A15" s="1" t="s">
        <v>175</v>
      </c>
      <c r="B15" s="4" t="s">
        <v>176</v>
      </c>
      <c r="C15" s="1">
        <v>3</v>
      </c>
      <c r="D15" s="1" t="s">
        <v>177</v>
      </c>
      <c r="E15" s="9"/>
      <c r="F15" s="9" t="str">
        <f t="shared" si="0"/>
        <v>Por cotizar</v>
      </c>
      <c r="G15" s="4" t="s">
        <v>178</v>
      </c>
      <c r="H15" s="4" t="s">
        <v>179</v>
      </c>
      <c r="I15" s="1"/>
      <c r="J15" s="4" t="s">
        <v>180</v>
      </c>
    </row>
    <row r="16" spans="1:10" ht="79.5" customHeight="1" x14ac:dyDescent="0.25">
      <c r="A16" s="1" t="s">
        <v>175</v>
      </c>
      <c r="B16" s="4" t="s">
        <v>181</v>
      </c>
      <c r="C16" s="1">
        <v>6</v>
      </c>
      <c r="D16" s="1" t="s">
        <v>166</v>
      </c>
      <c r="E16" s="9"/>
      <c r="F16" s="9" t="str">
        <f t="shared" si="0"/>
        <v>Por cotizar</v>
      </c>
      <c r="G16" s="4" t="s">
        <v>178</v>
      </c>
      <c r="H16" s="4" t="s">
        <v>182</v>
      </c>
      <c r="I16" s="1"/>
      <c r="J16" s="4" t="s">
        <v>183</v>
      </c>
    </row>
    <row r="17" spans="1:10" ht="79.5" customHeight="1" x14ac:dyDescent="0.25">
      <c r="A17" s="1" t="s">
        <v>184</v>
      </c>
      <c r="B17" s="4" t="s">
        <v>185</v>
      </c>
      <c r="C17" s="1">
        <v>6</v>
      </c>
      <c r="D17" s="1" t="s">
        <v>166</v>
      </c>
      <c r="E17" s="9"/>
      <c r="F17" s="9" t="str">
        <f t="shared" si="0"/>
        <v>Por cotizar</v>
      </c>
      <c r="G17" s="4" t="s">
        <v>178</v>
      </c>
      <c r="H17" s="4" t="s">
        <v>186</v>
      </c>
      <c r="I17" s="1"/>
      <c r="J17" s="4" t="s">
        <v>187</v>
      </c>
    </row>
    <row r="18" spans="1:10" ht="79.5" customHeight="1" x14ac:dyDescent="0.25">
      <c r="A18" s="1" t="s">
        <v>184</v>
      </c>
      <c r="B18" s="4" t="s">
        <v>188</v>
      </c>
      <c r="C18" s="1">
        <v>1</v>
      </c>
      <c r="D18" s="1" t="s">
        <v>189</v>
      </c>
      <c r="E18" s="9"/>
      <c r="F18" s="9" t="str">
        <f t="shared" si="0"/>
        <v>Por cotizar</v>
      </c>
      <c r="G18" s="4" t="s">
        <v>178</v>
      </c>
      <c r="H18" s="13" t="s">
        <v>289</v>
      </c>
      <c r="I18" s="1"/>
      <c r="J18" s="4" t="s">
        <v>190</v>
      </c>
    </row>
    <row r="19" spans="1:10" ht="79.5" customHeight="1" x14ac:dyDescent="0.25">
      <c r="A19" s="1" t="s">
        <v>191</v>
      </c>
      <c r="B19" s="4" t="s">
        <v>192</v>
      </c>
      <c r="C19" s="1">
        <v>1</v>
      </c>
      <c r="D19" s="1" t="s">
        <v>193</v>
      </c>
      <c r="E19" s="9"/>
      <c r="F19" s="9" t="str">
        <f t="shared" si="0"/>
        <v>Por cotizar</v>
      </c>
      <c r="G19" s="4" t="s">
        <v>178</v>
      </c>
      <c r="H19" s="4" t="s">
        <v>194</v>
      </c>
      <c r="I19" s="1"/>
      <c r="J19" s="4" t="s">
        <v>195</v>
      </c>
    </row>
    <row r="20" spans="1:10" ht="79.5" customHeight="1" x14ac:dyDescent="0.25">
      <c r="A20" s="1" t="s">
        <v>175</v>
      </c>
      <c r="B20" s="4" t="s">
        <v>196</v>
      </c>
      <c r="C20" s="1">
        <v>1</v>
      </c>
      <c r="D20" s="1" t="s">
        <v>189</v>
      </c>
      <c r="E20" s="9"/>
      <c r="F20" s="9" t="str">
        <f t="shared" si="0"/>
        <v>Por cotizar</v>
      </c>
      <c r="G20" s="4" t="s">
        <v>178</v>
      </c>
      <c r="H20" s="4" t="s">
        <v>197</v>
      </c>
      <c r="I20" s="1"/>
      <c r="J20" s="4" t="s">
        <v>183</v>
      </c>
    </row>
    <row r="21" spans="1:10" ht="79.5" customHeight="1" x14ac:dyDescent="0.25">
      <c r="A21" s="1" t="s">
        <v>198</v>
      </c>
      <c r="B21" s="4" t="s">
        <v>199</v>
      </c>
      <c r="C21" s="1">
        <v>1</v>
      </c>
      <c r="D21" s="1" t="s">
        <v>200</v>
      </c>
      <c r="E21" s="9"/>
      <c r="F21" s="9" t="str">
        <f t="shared" si="0"/>
        <v>Por cotizar</v>
      </c>
      <c r="G21" s="4" t="s">
        <v>178</v>
      </c>
      <c r="H21" s="4" t="s">
        <v>201</v>
      </c>
      <c r="I21" s="1"/>
      <c r="J21" s="4" t="s">
        <v>202</v>
      </c>
    </row>
    <row r="22" spans="1:10" ht="23.25" customHeight="1" x14ac:dyDescent="0.25">
      <c r="A22" s="10" t="s">
        <v>203</v>
      </c>
      <c r="B22" s="10"/>
      <c r="C22" s="10"/>
      <c r="D22" s="10"/>
      <c r="E22" s="11"/>
      <c r="F22" s="11">
        <f>SUM(F7:F21)</f>
        <v>2731915</v>
      </c>
      <c r="G22" s="10"/>
      <c r="H22" s="38" t="s">
        <v>290</v>
      </c>
      <c r="I22" s="1"/>
      <c r="J22" s="1"/>
    </row>
    <row r="23" spans="1:10" ht="15" customHeight="1" x14ac:dyDescent="0.25">
      <c r="A23" s="1"/>
      <c r="B23" s="1"/>
      <c r="C23" s="1"/>
      <c r="D23" s="1"/>
      <c r="E23" s="1"/>
      <c r="F23" s="1"/>
      <c r="G23" s="1"/>
      <c r="H23" s="1"/>
      <c r="I23" s="1"/>
      <c r="J23" s="1"/>
    </row>
    <row r="24" spans="1:10" ht="15" customHeight="1" x14ac:dyDescent="0.25">
      <c r="A24" s="1"/>
      <c r="B24" s="1"/>
      <c r="C24" s="1"/>
      <c r="D24" s="1"/>
      <c r="E24" s="1"/>
      <c r="F24" s="1"/>
      <c r="G24" s="1"/>
      <c r="H24" s="1"/>
      <c r="I24" s="1"/>
      <c r="J24" s="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
  <sheetViews>
    <sheetView showGridLines="0" workbookViewId="0">
      <pane ySplit="6" topLeftCell="A7" activePane="bottomLeft" state="frozen"/>
      <selection pane="bottomLeft"/>
    </sheetView>
  </sheetViews>
  <sheetFormatPr baseColWidth="10" defaultColWidth="8.6640625" defaultRowHeight="13.2" x14ac:dyDescent="0.25"/>
  <cols>
    <col min="1" max="1" width="22" customWidth="1"/>
    <col min="2" max="2" width="75" customWidth="1"/>
    <col min="3" max="3" width="16" customWidth="1"/>
    <col min="4" max="4" width="14" customWidth="1"/>
    <col min="5" max="6" width="17" customWidth="1"/>
    <col min="7" max="7" width="15" customWidth="1"/>
    <col min="8" max="8" width="12" customWidth="1"/>
    <col min="9" max="9" width="14" customWidth="1"/>
  </cols>
  <sheetData>
    <row r="1" spans="1:9" ht="15" customHeight="1" x14ac:dyDescent="0.25">
      <c r="A1" s="1"/>
      <c r="B1" s="1"/>
      <c r="C1" s="1"/>
      <c r="D1" s="1"/>
      <c r="E1" s="1"/>
      <c r="F1" s="1"/>
      <c r="G1" s="1"/>
      <c r="H1" s="1"/>
      <c r="I1" s="1"/>
    </row>
    <row r="2" spans="1:9" ht="19.5" customHeight="1" x14ac:dyDescent="0.25">
      <c r="A2" s="2" t="s">
        <v>113</v>
      </c>
      <c r="B2" s="1"/>
      <c r="C2" s="1"/>
      <c r="D2" s="1"/>
      <c r="E2" s="1"/>
      <c r="F2" s="1"/>
      <c r="G2" s="1"/>
      <c r="H2" s="1" t="s">
        <v>114</v>
      </c>
      <c r="I2" s="1">
        <v>0.05</v>
      </c>
    </row>
    <row r="3" spans="1:9" ht="15" customHeight="1" x14ac:dyDescent="0.25">
      <c r="A3" s="12" t="s">
        <v>115</v>
      </c>
      <c r="B3" s="1"/>
      <c r="C3" s="1"/>
      <c r="D3" s="1"/>
      <c r="E3" s="1"/>
      <c r="F3" s="1"/>
      <c r="G3" s="1"/>
      <c r="H3" s="1"/>
      <c r="I3" s="1"/>
    </row>
    <row r="4" spans="1:9" ht="15" customHeight="1" x14ac:dyDescent="0.25">
      <c r="A4" s="1"/>
      <c r="B4" s="1"/>
      <c r="C4" s="1"/>
      <c r="D4" s="1"/>
      <c r="E4" s="1"/>
      <c r="F4" s="1"/>
      <c r="G4" s="1"/>
      <c r="H4" s="1"/>
      <c r="I4" s="1"/>
    </row>
    <row r="5" spans="1:9" ht="15" customHeight="1" x14ac:dyDescent="0.25">
      <c r="A5" s="1"/>
      <c r="B5" s="1"/>
      <c r="C5" s="1"/>
      <c r="D5" s="1"/>
      <c r="E5" s="1"/>
      <c r="F5" s="1"/>
      <c r="G5" s="1"/>
      <c r="H5" s="1"/>
      <c r="I5" s="1"/>
    </row>
    <row r="6" spans="1:9" ht="42" customHeight="1" x14ac:dyDescent="0.25">
      <c r="A6" s="3" t="s">
        <v>116</v>
      </c>
      <c r="B6" s="3" t="s">
        <v>117</v>
      </c>
      <c r="C6" s="3" t="s">
        <v>110</v>
      </c>
      <c r="D6" s="3" t="s">
        <v>118</v>
      </c>
      <c r="E6" s="3" t="s">
        <v>119</v>
      </c>
      <c r="F6" s="3" t="s">
        <v>120</v>
      </c>
      <c r="G6" s="3" t="s">
        <v>121</v>
      </c>
      <c r="H6" s="3" t="s">
        <v>122</v>
      </c>
      <c r="I6" s="1"/>
    </row>
    <row r="7" spans="1:9" ht="60" customHeight="1" x14ac:dyDescent="0.25">
      <c r="A7" s="1" t="s">
        <v>123</v>
      </c>
      <c r="B7" s="4" t="s">
        <v>124</v>
      </c>
      <c r="C7" s="8">
        <f>SUMPRODUCT(Despiece!$D$7:$D$30,Despiece!$E$7:$E$30,(Despiece!$I$7:$I$30="2")+(Despiece!$J$7:$J$30="2"))/1000+SUMPRODUCT(Despiece!$D$7:$D$30,Despiece!$F$7:$F$30,(Despiece!$K$7:$K$30="2")+(Despiece!$L$7:$L$30="2"))/1000</f>
        <v>31.643999999999998</v>
      </c>
      <c r="D7" s="1">
        <f>SUMPRODUCT(Despiece!$D$7:$D$30,(Despiece!$I$7:$I$30="2")+(Despiece!$J$7:$J$30="2")+(Despiece!$K$7:$K$30="2")+(Despiece!$L$7:$L$30="2"))</f>
        <v>30</v>
      </c>
      <c r="E7" s="6">
        <f>D7*$I$2</f>
        <v>1.5</v>
      </c>
      <c r="F7" s="1">
        <f>ROUNDUP((C7+E7)/5,0)*5</f>
        <v>35</v>
      </c>
      <c r="G7" s="1">
        <v>100</v>
      </c>
      <c r="H7" s="1">
        <f>ROUNDUP(F7/G7,0)</f>
        <v>1</v>
      </c>
      <c r="I7" s="1"/>
    </row>
    <row r="8" spans="1:9" ht="60" customHeight="1" x14ac:dyDescent="0.25">
      <c r="A8" s="1" t="s">
        <v>125</v>
      </c>
      <c r="B8" s="13" t="s">
        <v>126</v>
      </c>
      <c r="C8" s="8">
        <f>SUMPRODUCT(Despiece!$D$7:$D$30,Despiece!$E$7:$E$30,(Despiece!$I$7:$I$30="0.45")+(Despiece!$J$7:$J$30="0.45"))/1000+SUMPRODUCT(Despiece!$D$7:$D$30,Despiece!$F$7:$F$30,(Despiece!$K$7:$K$30="0.45")+(Despiece!$L$7:$L$30="0.45"))/1000</f>
        <v>39.045000000000002</v>
      </c>
      <c r="D8" s="1">
        <f>SUMPRODUCT(Despiece!$D$7:$D$30,(Despiece!$I$7:$I$30="0.45")+(Despiece!$J$7:$J$30="0.45")+(Despiece!$K$7:$K$30="0.45")+(Despiece!$L$7:$L$30="0.45"))</f>
        <v>70</v>
      </c>
      <c r="E8" s="6">
        <f>D8*$I$2</f>
        <v>3.5</v>
      </c>
      <c r="F8" s="1">
        <f>ROUNDUP((C8+E8)/5,0)*5</f>
        <v>45</v>
      </c>
      <c r="G8" s="1">
        <v>200</v>
      </c>
      <c r="H8" s="1">
        <f>ROUNDUP(F8/G8,0)</f>
        <v>1</v>
      </c>
      <c r="I8" s="1"/>
    </row>
    <row r="9" spans="1:9" ht="15" customHeight="1" x14ac:dyDescent="0.25">
      <c r="A9" s="1"/>
      <c r="B9" s="1"/>
      <c r="C9" s="1"/>
      <c r="D9" s="1"/>
      <c r="E9" s="1"/>
      <c r="F9" s="1"/>
      <c r="G9" s="1"/>
      <c r="H9" s="1"/>
      <c r="I9" s="1"/>
    </row>
    <row r="10" spans="1:9" ht="15" customHeight="1" x14ac:dyDescent="0.25">
      <c r="A10" s="12" t="s">
        <v>127</v>
      </c>
      <c r="B10" s="1"/>
      <c r="C10" s="1"/>
      <c r="D10" s="1"/>
      <c r="E10" s="1"/>
      <c r="F10" s="1"/>
      <c r="G10" s="1"/>
      <c r="H10" s="1"/>
      <c r="I10" s="1"/>
    </row>
    <row r="11" spans="1:9" ht="15" customHeight="1" x14ac:dyDescent="0.25">
      <c r="A11" s="1"/>
      <c r="B11" s="1"/>
      <c r="C11" s="1"/>
      <c r="D11" s="1"/>
      <c r="E11" s="1"/>
      <c r="F11" s="1"/>
      <c r="G11" s="1"/>
      <c r="H11" s="1"/>
      <c r="I11" s="1"/>
    </row>
    <row r="12" spans="1:9" ht="15" customHeight="1" x14ac:dyDescent="0.25">
      <c r="A12" s="1"/>
      <c r="B12" s="1"/>
      <c r="C12" s="1"/>
      <c r="D12" s="1"/>
      <c r="E12" s="1"/>
      <c r="F12" s="1"/>
      <c r="G12" s="1"/>
      <c r="H12" s="1"/>
      <c r="I12" s="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80963-ED18-48ED-874C-A2B9A2AF845D}">
  <dimension ref="A2:E14"/>
  <sheetViews>
    <sheetView workbookViewId="0"/>
  </sheetViews>
  <sheetFormatPr baseColWidth="10" defaultRowHeight="13.2" x14ac:dyDescent="0.25"/>
  <cols>
    <col min="1" max="1" width="5.77734375" customWidth="1"/>
    <col min="2" max="2" width="24.77734375" customWidth="1"/>
    <col min="3" max="3" width="80.77734375" customWidth="1"/>
    <col min="4" max="5" width="26.77734375" customWidth="1"/>
  </cols>
  <sheetData>
    <row r="2" spans="1:5" ht="17.399999999999999" x14ac:dyDescent="0.3">
      <c r="A2" s="15" t="s">
        <v>250</v>
      </c>
    </row>
    <row r="3" spans="1:5" x14ac:dyDescent="0.25">
      <c r="A3" s="17" t="s">
        <v>251</v>
      </c>
    </row>
    <row r="6" spans="1:5" x14ac:dyDescent="0.25">
      <c r="A6" s="35" t="s">
        <v>252</v>
      </c>
      <c r="B6" s="35" t="s">
        <v>204</v>
      </c>
      <c r="C6" s="35" t="s">
        <v>253</v>
      </c>
      <c r="D6" s="35" t="s">
        <v>254</v>
      </c>
      <c r="E6" s="35" t="s">
        <v>255</v>
      </c>
    </row>
    <row r="7" spans="1:5" ht="26.4" x14ac:dyDescent="0.25">
      <c r="A7" s="36">
        <v>1</v>
      </c>
      <c r="B7" s="37" t="s">
        <v>256</v>
      </c>
      <c r="C7" s="37" t="s">
        <v>257</v>
      </c>
      <c r="D7" s="37" t="s">
        <v>258</v>
      </c>
      <c r="E7" s="37" t="s">
        <v>259</v>
      </c>
    </row>
    <row r="8" spans="1:5" ht="26.4" x14ac:dyDescent="0.25">
      <c r="A8" s="36">
        <v>2</v>
      </c>
      <c r="B8" s="37" t="s">
        <v>260</v>
      </c>
      <c r="C8" s="37" t="s">
        <v>261</v>
      </c>
      <c r="D8" s="37" t="s">
        <v>262</v>
      </c>
      <c r="E8" s="37" t="s">
        <v>263</v>
      </c>
    </row>
    <row r="9" spans="1:5" ht="26.4" x14ac:dyDescent="0.25">
      <c r="A9" s="36">
        <v>3</v>
      </c>
      <c r="B9" s="37" t="s">
        <v>225</v>
      </c>
      <c r="C9" s="37" t="s">
        <v>293</v>
      </c>
      <c r="D9" s="37" t="s">
        <v>294</v>
      </c>
      <c r="E9" s="37" t="s">
        <v>264</v>
      </c>
    </row>
    <row r="10" spans="1:5" ht="26.4" x14ac:dyDescent="0.25">
      <c r="A10" s="36">
        <v>4</v>
      </c>
      <c r="B10" s="37" t="s">
        <v>265</v>
      </c>
      <c r="C10" s="37" t="s">
        <v>266</v>
      </c>
      <c r="D10" s="37" t="s">
        <v>267</v>
      </c>
      <c r="E10" s="37" t="s">
        <v>268</v>
      </c>
    </row>
    <row r="11" spans="1:5" x14ac:dyDescent="0.25">
      <c r="A11" s="36">
        <v>5</v>
      </c>
      <c r="B11" s="37" t="s">
        <v>269</v>
      </c>
      <c r="C11" s="37" t="s">
        <v>270</v>
      </c>
      <c r="D11" s="37" t="s">
        <v>271</v>
      </c>
      <c r="E11" s="37" t="s">
        <v>272</v>
      </c>
    </row>
    <row r="12" spans="1:5" ht="26.4" x14ac:dyDescent="0.25">
      <c r="A12" s="36">
        <v>6</v>
      </c>
      <c r="B12" s="37" t="s">
        <v>273</v>
      </c>
      <c r="C12" s="37" t="s">
        <v>274</v>
      </c>
      <c r="D12" s="37" t="s">
        <v>275</v>
      </c>
      <c r="E12" s="37" t="s">
        <v>268</v>
      </c>
    </row>
    <row r="13" spans="1:5" ht="26.4" x14ac:dyDescent="0.25">
      <c r="A13" s="36">
        <v>7</v>
      </c>
      <c r="B13" s="37" t="s">
        <v>229</v>
      </c>
      <c r="C13" s="37" t="s">
        <v>276</v>
      </c>
      <c r="D13" s="37" t="s">
        <v>271</v>
      </c>
      <c r="E13" s="37" t="s">
        <v>277</v>
      </c>
    </row>
    <row r="14" spans="1:5" ht="26.4" x14ac:dyDescent="0.25">
      <c r="A14" s="36">
        <v>8</v>
      </c>
      <c r="B14" s="37" t="s">
        <v>278</v>
      </c>
      <c r="C14" s="37" t="s">
        <v>279</v>
      </c>
      <c r="D14" s="37" t="s">
        <v>280</v>
      </c>
      <c r="E14" s="37" t="s">
        <v>281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A28ED-57E4-401D-9DBD-33391A6C79EA}">
  <dimension ref="A2:C16"/>
  <sheetViews>
    <sheetView workbookViewId="0">
      <selection activeCell="A16" sqref="A16:XFD16"/>
    </sheetView>
  </sheetViews>
  <sheetFormatPr baseColWidth="10" defaultRowHeight="13.2" x14ac:dyDescent="0.25"/>
  <cols>
    <col min="1" max="1" width="24.77734375" customWidth="1"/>
    <col min="2" max="2" width="90.77734375" customWidth="1"/>
    <col min="3" max="3" width="40.77734375" customWidth="1"/>
  </cols>
  <sheetData>
    <row r="2" spans="1:3" ht="17.399999999999999" x14ac:dyDescent="0.3">
      <c r="A2" s="15" t="s">
        <v>282</v>
      </c>
    </row>
    <row r="3" spans="1:3" x14ac:dyDescent="0.25">
      <c r="A3" s="17" t="s">
        <v>283</v>
      </c>
    </row>
    <row r="6" spans="1:3" x14ac:dyDescent="0.25">
      <c r="A6" s="35" t="s">
        <v>204</v>
      </c>
      <c r="B6" s="35" t="s">
        <v>284</v>
      </c>
      <c r="C6" s="35" t="s">
        <v>285</v>
      </c>
    </row>
    <row r="7" spans="1:3" x14ac:dyDescent="0.25">
      <c r="A7" s="37" t="s">
        <v>205</v>
      </c>
      <c r="B7" s="37" t="s">
        <v>206</v>
      </c>
      <c r="C7" s="37" t="s">
        <v>207</v>
      </c>
    </row>
    <row r="8" spans="1:3" ht="39.6" x14ac:dyDescent="0.25">
      <c r="A8" s="37" t="s">
        <v>208</v>
      </c>
      <c r="B8" s="37" t="s">
        <v>209</v>
      </c>
      <c r="C8" s="37" t="s">
        <v>210</v>
      </c>
    </row>
    <row r="9" spans="1:3" ht="26.4" x14ac:dyDescent="0.25">
      <c r="A9" s="37" t="s">
        <v>211</v>
      </c>
      <c r="B9" s="37" t="s">
        <v>212</v>
      </c>
      <c r="C9" s="37" t="s">
        <v>213</v>
      </c>
    </row>
    <row r="10" spans="1:3" ht="39.6" x14ac:dyDescent="0.25">
      <c r="A10" s="37" t="s">
        <v>214</v>
      </c>
      <c r="B10" s="37" t="s">
        <v>215</v>
      </c>
      <c r="C10" s="37" t="s">
        <v>216</v>
      </c>
    </row>
    <row r="11" spans="1:3" ht="39.6" x14ac:dyDescent="0.25">
      <c r="A11" s="37" t="s">
        <v>217</v>
      </c>
      <c r="B11" s="37" t="s">
        <v>218</v>
      </c>
      <c r="C11" s="37" t="s">
        <v>291</v>
      </c>
    </row>
    <row r="12" spans="1:3" ht="52.8" x14ac:dyDescent="0.25">
      <c r="A12" s="37" t="s">
        <v>219</v>
      </c>
      <c r="B12" s="37" t="s">
        <v>220</v>
      </c>
      <c r="C12" s="37" t="s">
        <v>221</v>
      </c>
    </row>
    <row r="13" spans="1:3" ht="26.4" x14ac:dyDescent="0.25">
      <c r="A13" s="37" t="s">
        <v>222</v>
      </c>
      <c r="B13" s="37" t="s">
        <v>223</v>
      </c>
      <c r="C13" s="37" t="s">
        <v>224</v>
      </c>
    </row>
    <row r="14" spans="1:3" ht="26.4" x14ac:dyDescent="0.25">
      <c r="A14" s="37" t="s">
        <v>226</v>
      </c>
      <c r="B14" s="37" t="s">
        <v>227</v>
      </c>
      <c r="C14" s="37" t="s">
        <v>228</v>
      </c>
    </row>
    <row r="15" spans="1:3" ht="39.6" x14ac:dyDescent="0.25">
      <c r="A15" s="37" t="s">
        <v>230</v>
      </c>
      <c r="B15" s="37" t="s">
        <v>231</v>
      </c>
      <c r="C15" s="37" t="s">
        <v>232</v>
      </c>
    </row>
    <row r="16" spans="1:3" ht="39.6" x14ac:dyDescent="0.25">
      <c r="A16" s="37" t="s">
        <v>295</v>
      </c>
      <c r="B16" s="37" t="s">
        <v>296</v>
      </c>
      <c r="C16" s="37" t="s">
        <v>297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Despiece</vt:lpstr>
      <vt:lpstr>Pedido de corte</vt:lpstr>
      <vt:lpstr>Compras</vt:lpstr>
      <vt:lpstr>Cantos</vt:lpstr>
      <vt:lpstr>Pendientes</vt:lpstr>
      <vt:lpstr>Decisiones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William Perez Muñoz</cp:lastModifiedBy>
  <dcterms:modified xsi:type="dcterms:W3CDTF">2026-10-28T03:14:53Z</dcterms:modified>
</cp:coreProperties>
</file>