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7e4bb88fb3ffb2f3/Desktop/proyecto_terraza/"/>
    </mc:Choice>
  </mc:AlternateContent>
  <xr:revisionPtr revIDLastSave="212" documentId="11_1010BCAFECFCD321D5BDC7783D3CA87A8D0287D7" xr6:coauthVersionLast="47" xr6:coauthVersionMax="47" xr10:uidLastSave="{2E2B24E1-8AA9-4D62-B084-21B67B0E01C0}"/>
  <bookViews>
    <workbookView xWindow="-108" yWindow="-108" windowWidth="23256" windowHeight="13896" xr2:uid="{00000000-000D-0000-FFFF-FFFF00000000}"/>
  </bookViews>
  <sheets>
    <sheet name="Despiece" sheetId="1" r:id="rId1"/>
    <sheet name="Pedido de corte" sheetId="7" r:id="rId2"/>
    <sheet name="Compras" sheetId="3" r:id="rId3"/>
    <sheet name="Cantos" sheetId="2" r:id="rId4"/>
    <sheet name="Pendientes" sheetId="8" r:id="rId5"/>
    <sheet name="Decisiones" sheetId="9"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3" l="1"/>
  <c r="F20" i="3"/>
  <c r="F19" i="3"/>
  <c r="F18" i="3"/>
  <c r="F17" i="3"/>
  <c r="F16" i="3"/>
  <c r="F15" i="3"/>
  <c r="F14" i="3"/>
  <c r="F13" i="3"/>
  <c r="F12" i="3"/>
  <c r="F11" i="3"/>
  <c r="F10" i="3"/>
  <c r="F7" i="3"/>
  <c r="D8" i="2"/>
  <c r="E8" i="2" s="1"/>
  <c r="C8" i="2"/>
  <c r="F8" i="2" s="1"/>
  <c r="H8" i="2" s="1"/>
  <c r="C9" i="3" s="1"/>
  <c r="F9" i="3" s="1"/>
  <c r="D7" i="2"/>
  <c r="E7" i="2" s="1"/>
  <c r="C7" i="2"/>
  <c r="F7" i="2" s="1"/>
  <c r="H7" i="2" s="1"/>
  <c r="C8" i="3" s="1"/>
  <c r="F8" i="3" s="1"/>
  <c r="M30" i="7"/>
  <c r="K30" i="7"/>
  <c r="J30" i="7"/>
  <c r="I30" i="7"/>
  <c r="H30" i="7"/>
  <c r="G30" i="7"/>
  <c r="F30" i="7"/>
  <c r="E30" i="7"/>
  <c r="D30" i="7"/>
  <c r="C30" i="7"/>
  <c r="B30" i="7"/>
  <c r="A30" i="7"/>
  <c r="M29" i="7"/>
  <c r="K29" i="7"/>
  <c r="J29" i="7"/>
  <c r="I29" i="7"/>
  <c r="H29" i="7"/>
  <c r="G29" i="7"/>
  <c r="F29" i="7"/>
  <c r="E29" i="7"/>
  <c r="D29" i="7"/>
  <c r="C29" i="7"/>
  <c r="B29" i="7"/>
  <c r="A29" i="7"/>
  <c r="M28" i="7"/>
  <c r="K28" i="7"/>
  <c r="J28" i="7"/>
  <c r="I28" i="7"/>
  <c r="H28" i="7"/>
  <c r="G28" i="7"/>
  <c r="F28" i="7"/>
  <c r="E28" i="7"/>
  <c r="D28" i="7"/>
  <c r="C28" i="7"/>
  <c r="B28" i="7"/>
  <c r="A28" i="7"/>
  <c r="M27" i="7"/>
  <c r="K27" i="7"/>
  <c r="J27" i="7"/>
  <c r="I27" i="7"/>
  <c r="H27" i="7"/>
  <c r="G27" i="7"/>
  <c r="F27" i="7"/>
  <c r="E27" i="7"/>
  <c r="D27" i="7"/>
  <c r="C27" i="7"/>
  <c r="B27" i="7"/>
  <c r="A27" i="7"/>
  <c r="M26" i="7"/>
  <c r="K26" i="7"/>
  <c r="J26" i="7"/>
  <c r="I26" i="7"/>
  <c r="H26" i="7"/>
  <c r="G26" i="7"/>
  <c r="F26" i="7"/>
  <c r="E26" i="7"/>
  <c r="D26" i="7"/>
  <c r="C26" i="7"/>
  <c r="B26" i="7"/>
  <c r="A26" i="7"/>
  <c r="M25" i="7"/>
  <c r="K25" i="7"/>
  <c r="J25" i="7"/>
  <c r="I25" i="7"/>
  <c r="H25" i="7"/>
  <c r="G25" i="7"/>
  <c r="F25" i="7"/>
  <c r="E25" i="7"/>
  <c r="D25" i="7"/>
  <c r="C25" i="7"/>
  <c r="B25" i="7"/>
  <c r="A25" i="7"/>
  <c r="M24" i="7"/>
  <c r="K24" i="7"/>
  <c r="J24" i="7"/>
  <c r="I24" i="7"/>
  <c r="H24" i="7"/>
  <c r="G24" i="7"/>
  <c r="F24" i="7"/>
  <c r="E24" i="7"/>
  <c r="D24" i="7"/>
  <c r="C24" i="7"/>
  <c r="B24" i="7"/>
  <c r="A24" i="7"/>
  <c r="M23" i="7"/>
  <c r="K23" i="7"/>
  <c r="J23" i="7"/>
  <c r="I23" i="7"/>
  <c r="H23" i="7"/>
  <c r="G23" i="7"/>
  <c r="F23" i="7"/>
  <c r="E23" i="7"/>
  <c r="D23" i="7"/>
  <c r="C23" i="7"/>
  <c r="B23" i="7"/>
  <c r="A23" i="7"/>
  <c r="M22" i="7"/>
  <c r="K22" i="7"/>
  <c r="J22" i="7"/>
  <c r="I22" i="7"/>
  <c r="H22" i="7"/>
  <c r="G22" i="7"/>
  <c r="F22" i="7"/>
  <c r="E22" i="7"/>
  <c r="D22" i="7"/>
  <c r="C22" i="7"/>
  <c r="B22" i="7"/>
  <c r="A22" i="7"/>
  <c r="M21" i="7"/>
  <c r="K21" i="7"/>
  <c r="J21" i="7"/>
  <c r="I21" i="7"/>
  <c r="H21" i="7"/>
  <c r="G21" i="7"/>
  <c r="F21" i="7"/>
  <c r="E21" i="7"/>
  <c r="D21" i="7"/>
  <c r="C21" i="7"/>
  <c r="B21" i="7"/>
  <c r="A21" i="7"/>
  <c r="M20" i="7"/>
  <c r="K20" i="7"/>
  <c r="J20" i="7"/>
  <c r="I20" i="7"/>
  <c r="H20" i="7"/>
  <c r="G20" i="7"/>
  <c r="F20" i="7"/>
  <c r="E20" i="7"/>
  <c r="D20" i="7"/>
  <c r="C20" i="7"/>
  <c r="B20" i="7"/>
  <c r="A20" i="7"/>
  <c r="M19" i="7"/>
  <c r="K19" i="7"/>
  <c r="J19" i="7"/>
  <c r="I19" i="7"/>
  <c r="H19" i="7"/>
  <c r="G19" i="7"/>
  <c r="F19" i="7"/>
  <c r="E19" i="7"/>
  <c r="D19" i="7"/>
  <c r="C19" i="7"/>
  <c r="B19" i="7"/>
  <c r="A19" i="7"/>
  <c r="M18" i="7"/>
  <c r="K18" i="7"/>
  <c r="J18" i="7"/>
  <c r="I18" i="7"/>
  <c r="H18" i="7"/>
  <c r="G18" i="7"/>
  <c r="F18" i="7"/>
  <c r="E18" i="7"/>
  <c r="D18" i="7"/>
  <c r="C18" i="7"/>
  <c r="B18" i="7"/>
  <c r="A18" i="7"/>
  <c r="M17" i="7"/>
  <c r="L17" i="7"/>
  <c r="N17" i="7" s="1"/>
  <c r="K17" i="7"/>
  <c r="J17" i="7"/>
  <c r="I17" i="7"/>
  <c r="H17" i="7"/>
  <c r="G17" i="7"/>
  <c r="F17" i="7"/>
  <c r="E17" i="7"/>
  <c r="D17" i="7"/>
  <c r="C17" i="7"/>
  <c r="B17" i="7"/>
  <c r="A17" i="7"/>
  <c r="M16" i="7"/>
  <c r="K16" i="7"/>
  <c r="J16" i="7"/>
  <c r="I16" i="7"/>
  <c r="H16" i="7"/>
  <c r="G16" i="7"/>
  <c r="F16" i="7"/>
  <c r="E16" i="7"/>
  <c r="D16" i="7"/>
  <c r="C16" i="7"/>
  <c r="B16" i="7"/>
  <c r="A16" i="7"/>
  <c r="M15" i="7"/>
  <c r="K15" i="7"/>
  <c r="J15" i="7"/>
  <c r="I15" i="7"/>
  <c r="H15" i="7"/>
  <c r="G15" i="7"/>
  <c r="F15" i="7"/>
  <c r="E15" i="7"/>
  <c r="D15" i="7"/>
  <c r="C15" i="7"/>
  <c r="B15" i="7"/>
  <c r="A15" i="7"/>
  <c r="M14" i="7"/>
  <c r="K14" i="7"/>
  <c r="J14" i="7"/>
  <c r="I14" i="7"/>
  <c r="H14" i="7"/>
  <c r="G14" i="7"/>
  <c r="F14" i="7"/>
  <c r="E14" i="7"/>
  <c r="D14" i="7"/>
  <c r="C14" i="7"/>
  <c r="B14" i="7"/>
  <c r="A14" i="7"/>
  <c r="M13" i="7"/>
  <c r="K13" i="7"/>
  <c r="J13" i="7"/>
  <c r="I13" i="7"/>
  <c r="H13" i="7"/>
  <c r="G13" i="7"/>
  <c r="F13" i="7"/>
  <c r="E13" i="7"/>
  <c r="D13" i="7"/>
  <c r="C13" i="7"/>
  <c r="B13" i="7"/>
  <c r="A13" i="7"/>
  <c r="M12" i="7"/>
  <c r="K12" i="7"/>
  <c r="J12" i="7"/>
  <c r="I12" i="7"/>
  <c r="H12" i="7"/>
  <c r="G12" i="7"/>
  <c r="F12" i="7"/>
  <c r="E12" i="7"/>
  <c r="D12" i="7"/>
  <c r="C12" i="7"/>
  <c r="B12" i="7"/>
  <c r="A12" i="7"/>
  <c r="M11" i="7"/>
  <c r="L11" i="7"/>
  <c r="N11" i="7" s="1"/>
  <c r="K11" i="7"/>
  <c r="J11" i="7"/>
  <c r="I11" i="7"/>
  <c r="H11" i="7"/>
  <c r="G11" i="7"/>
  <c r="F11" i="7"/>
  <c r="E11" i="7"/>
  <c r="D11" i="7"/>
  <c r="C11" i="7"/>
  <c r="B11" i="7"/>
  <c r="A11" i="7"/>
  <c r="M10" i="7"/>
  <c r="K10" i="7"/>
  <c r="J10" i="7"/>
  <c r="I10" i="7"/>
  <c r="H10" i="7"/>
  <c r="G10" i="7"/>
  <c r="F10" i="7"/>
  <c r="E10" i="7"/>
  <c r="D10" i="7"/>
  <c r="C10" i="7"/>
  <c r="B10" i="7"/>
  <c r="A10" i="7"/>
  <c r="M9" i="7"/>
  <c r="K9" i="7"/>
  <c r="J9" i="7"/>
  <c r="I9" i="7"/>
  <c r="H9" i="7"/>
  <c r="G9" i="7"/>
  <c r="F9" i="7"/>
  <c r="E9" i="7"/>
  <c r="D9" i="7"/>
  <c r="C9" i="7"/>
  <c r="B9" i="7"/>
  <c r="A9" i="7"/>
  <c r="M8" i="7"/>
  <c r="K8" i="7"/>
  <c r="J8" i="7"/>
  <c r="I8" i="7"/>
  <c r="H8" i="7"/>
  <c r="G8" i="7"/>
  <c r="F8" i="7"/>
  <c r="E8" i="7"/>
  <c r="D8" i="7"/>
  <c r="C8" i="7"/>
  <c r="B8" i="7"/>
  <c r="A8" i="7"/>
  <c r="M7" i="7"/>
  <c r="K7" i="7"/>
  <c r="J7" i="7"/>
  <c r="I7" i="7"/>
  <c r="H7" i="7"/>
  <c r="G7" i="7"/>
  <c r="F7" i="7"/>
  <c r="E7" i="7"/>
  <c r="D7" i="7"/>
  <c r="C7" i="7"/>
  <c r="B7" i="7"/>
  <c r="A7" i="7"/>
  <c r="D32" i="1"/>
  <c r="N30" i="1"/>
  <c r="M30" i="1"/>
  <c r="L30" i="7" s="1"/>
  <c r="N30" i="7" s="1"/>
  <c r="H30" i="1"/>
  <c r="N29" i="1"/>
  <c r="M29" i="1"/>
  <c r="L29" i="7" s="1"/>
  <c r="N29" i="7" s="1"/>
  <c r="H29" i="1"/>
  <c r="N28" i="1"/>
  <c r="M28" i="1"/>
  <c r="L28" i="7" s="1"/>
  <c r="N28" i="7" s="1"/>
  <c r="H28" i="1"/>
  <c r="N27" i="1"/>
  <c r="M27" i="1"/>
  <c r="L27" i="7" s="1"/>
  <c r="N27" i="7" s="1"/>
  <c r="H27" i="1"/>
  <c r="N26" i="1"/>
  <c r="M26" i="1"/>
  <c r="L26" i="7" s="1"/>
  <c r="N26" i="7" s="1"/>
  <c r="H26" i="1"/>
  <c r="N25" i="1"/>
  <c r="M25" i="1"/>
  <c r="L25" i="7" s="1"/>
  <c r="N25" i="7" s="1"/>
  <c r="H25" i="1"/>
  <c r="N24" i="1"/>
  <c r="M24" i="1"/>
  <c r="L24" i="7" s="1"/>
  <c r="N24" i="7" s="1"/>
  <c r="H24" i="1"/>
  <c r="N23" i="1"/>
  <c r="M23" i="1"/>
  <c r="L23" i="7" s="1"/>
  <c r="N23" i="7" s="1"/>
  <c r="H23" i="1"/>
  <c r="N22" i="1"/>
  <c r="M22" i="1"/>
  <c r="L22" i="7" s="1"/>
  <c r="N22" i="7" s="1"/>
  <c r="H22" i="1"/>
  <c r="N21" i="1"/>
  <c r="M21" i="1"/>
  <c r="L21" i="7" s="1"/>
  <c r="N21" i="7" s="1"/>
  <c r="H21" i="1"/>
  <c r="N20" i="1"/>
  <c r="M20" i="1"/>
  <c r="L20" i="7" s="1"/>
  <c r="N20" i="7" s="1"/>
  <c r="H20" i="1"/>
  <c r="N19" i="1"/>
  <c r="M19" i="1"/>
  <c r="L19" i="7" s="1"/>
  <c r="N19" i="7" s="1"/>
  <c r="H19" i="1"/>
  <c r="N18" i="1"/>
  <c r="M18" i="1"/>
  <c r="H18" i="1"/>
  <c r="N17" i="1"/>
  <c r="M17" i="1"/>
  <c r="H17" i="1"/>
  <c r="N16" i="1"/>
  <c r="M16" i="1"/>
  <c r="L16" i="7" s="1"/>
  <c r="N16" i="7" s="1"/>
  <c r="H16" i="1"/>
  <c r="N15" i="1"/>
  <c r="M15" i="1"/>
  <c r="L15" i="7" s="1"/>
  <c r="N15" i="7" s="1"/>
  <c r="H15" i="1"/>
  <c r="N14" i="1"/>
  <c r="M14" i="1"/>
  <c r="L14" i="7" s="1"/>
  <c r="N14" i="7" s="1"/>
  <c r="H14" i="1"/>
  <c r="N13" i="1"/>
  <c r="M13" i="1"/>
  <c r="L13" i="7" s="1"/>
  <c r="N13" i="7" s="1"/>
  <c r="H13" i="1"/>
  <c r="N12" i="1"/>
  <c r="M12" i="1"/>
  <c r="L12" i="7" s="1"/>
  <c r="N12" i="7" s="1"/>
  <c r="H12" i="1"/>
  <c r="N11" i="1"/>
  <c r="M11" i="1"/>
  <c r="H11" i="1"/>
  <c r="N10" i="1"/>
  <c r="M10" i="1"/>
  <c r="L10" i="7" s="1"/>
  <c r="N10" i="7" s="1"/>
  <c r="H10" i="1"/>
  <c r="N9" i="1"/>
  <c r="M9" i="1"/>
  <c r="L9" i="7" s="1"/>
  <c r="N9" i="7" s="1"/>
  <c r="H9" i="1"/>
  <c r="N8" i="1"/>
  <c r="M8" i="1"/>
  <c r="L8" i="7" s="1"/>
  <c r="N8" i="7" s="1"/>
  <c r="H8" i="1"/>
  <c r="N7" i="1"/>
  <c r="M7" i="1"/>
  <c r="L7" i="7" s="1"/>
  <c r="H7" i="1"/>
  <c r="L18" i="7" l="1"/>
  <c r="H32" i="1"/>
  <c r="G38" i="7"/>
  <c r="F38" i="7"/>
  <c r="F42" i="7" s="1"/>
  <c r="F46" i="7" s="1"/>
  <c r="G35" i="7"/>
  <c r="G34" i="7"/>
  <c r="G39" i="7" s="1"/>
  <c r="F34" i="7"/>
  <c r="G33" i="7"/>
  <c r="F39" i="7" s="1"/>
  <c r="F33" i="7"/>
  <c r="N7" i="7"/>
  <c r="F22" i="3"/>
  <c r="F35" i="7" l="1"/>
  <c r="N18" i="7"/>
  <c r="G42" i="7"/>
  <c r="G46" i="7" s="1"/>
</calcChain>
</file>

<file path=xl/sharedStrings.xml><?xml version="1.0" encoding="utf-8"?>
<sst xmlns="http://schemas.openxmlformats.org/spreadsheetml/2006/main" count="477" uniqueCount="296">
  <si>
    <t>Clóset principal 195: despiece independiente</t>
  </si>
  <si>
    <t>Cuerpo 195 × 56 × 238 cm; 58,5 cm hasta las manijas. RH15 como cocina. Despiece exclusivo del clóset.</t>
  </si>
  <si>
    <t>E/F: medidas terminadas y veta en E. I/J paralelos a E, K/L paralelos a F. Cortes teóricos sin sierra ni refilado.</t>
  </si>
  <si>
    <t>ID</t>
  </si>
  <si>
    <t>Grupo</t>
  </si>
  <si>
    <t>Pieza</t>
  </si>
  <si>
    <t>Cant.</t>
  </si>
  <si>
    <t>Largo veta mm</t>
  </si>
  <si>
    <t>Ancho mm</t>
  </si>
  <si>
    <t>Espesor mm</t>
  </si>
  <si>
    <t>Área m²</t>
  </si>
  <si>
    <t>Canto L1</t>
  </si>
  <si>
    <t>Canto L2</t>
  </si>
  <si>
    <t>Canto A1</t>
  </si>
  <si>
    <t>Canto A2</t>
  </si>
  <si>
    <t>Corte largo mm</t>
  </si>
  <si>
    <t>Corte ancho mm</t>
  </si>
  <si>
    <t>Estado</t>
  </si>
  <si>
    <t>Nota de fabricación</t>
  </si>
  <si>
    <t>C3-001</t>
  </si>
  <si>
    <t>EST</t>
  </si>
  <si>
    <t>Lateral exterior</t>
  </si>
  <si>
    <t>2</t>
  </si>
  <si>
    <t>—</t>
  </si>
  <si>
    <t>0.45</t>
  </si>
  <si>
    <t>Diseño elegido</t>
  </si>
  <si>
    <t>Cuerpo de 56 cm; hojas hasta 55 cm. Las manijas sobresalen hasta 58,5 cm desde el fondo.</t>
  </si>
  <si>
    <t>C3-002</t>
  </si>
  <si>
    <t>Divisor central</t>
  </si>
  <si>
    <t>Divisor de 49 cm: deja 10 mm respecto a la hoja interior, ubicada a 50 cm del fondo.</t>
  </si>
  <si>
    <t>C3-003</t>
  </si>
  <si>
    <t>B1</t>
  </si>
  <si>
    <t>Piso sobre base</t>
  </si>
  <si>
    <t>Uniones y mecanizados según montaje.</t>
  </si>
  <si>
    <t>C3-004</t>
  </si>
  <si>
    <t>Tapa superior</t>
  </si>
  <si>
    <t>Tapa de 505 mm: llega hasta el listón de pino 4×4 cm (P3-01), que sostiene el riel. Se une a laterales y divisor; el listón queda a ras de su cara superior.</t>
  </si>
  <si>
    <t>C3-005</t>
  </si>
  <si>
    <t>Fondo RH15</t>
  </si>
  <si>
    <t>Panel trasero del mismo RH15 y acabado. Útil de colgado hasta la hoja trasera: 485 mm.</t>
  </si>
  <si>
    <t>C3-006</t>
  </si>
  <si>
    <t>Piso de maletero</t>
  </si>
  <si>
    <t>Maletero interior accesible por las hojas corredizas; carga liviana.</t>
  </si>
  <si>
    <t>C3-007</t>
  </si>
  <si>
    <t>Refuerzo frontal de maletero</t>
  </si>
  <si>
    <t>De canto. Apoyos y unión al tablero por definir antes de fabricar.</t>
  </si>
  <si>
    <t>C3-008</t>
  </si>
  <si>
    <t>Refuerzo trasero de maletero</t>
  </si>
  <si>
    <t>De canto. No atribuir rigidez al pegado sobre canto decorativo.</t>
  </si>
  <si>
    <t>C3-009</t>
  </si>
  <si>
    <t>B2</t>
  </si>
  <si>
    <t>C3-010</t>
  </si>
  <si>
    <t>C3-011</t>
  </si>
  <si>
    <t>C3-012</t>
  </si>
  <si>
    <t>C3-013</t>
  </si>
  <si>
    <t>C3-014</t>
  </si>
  <si>
    <t>C3-015</t>
  </si>
  <si>
    <t>Frente de cajón</t>
  </si>
  <si>
    <t>Sin manija. Separación vertical de 30 mm. Se añadieron 50 mm de tolerancia lateral al cajonero: frente termina en x842 y hoja abierta comienza en x910 (68 mm libres).</t>
  </si>
  <si>
    <t>C3-016</t>
  </si>
  <si>
    <t>Costado de cajón</t>
  </si>
  <si>
    <t>C3-017</t>
  </si>
  <si>
    <t>Base aplicada de cajón</t>
  </si>
  <si>
    <t>Caja exterior 803 × 450: vano 830 menos 27 mm de riel lateral HRE320.</t>
  </si>
  <si>
    <t>C3-018</t>
  </si>
  <si>
    <t>Frente / trasero interior de cajón</t>
  </si>
  <si>
    <t>C3-019</t>
  </si>
  <si>
    <t>Refuerzo bajo base de cajón</t>
  </si>
  <si>
    <t>De canto. Uniones por dimensionar; la capacidad del riel no certifica la caja.</t>
  </si>
  <si>
    <t>C3-020</t>
  </si>
  <si>
    <t>BASE</t>
  </si>
  <si>
    <t>Zócalo frontal</t>
  </si>
  <si>
    <t>C3-021</t>
  </si>
  <si>
    <t>Travesaño trasero de base</t>
  </si>
  <si>
    <t>C3-022</t>
  </si>
  <si>
    <t>Travesaño de base</t>
  </si>
  <si>
    <t>C3-023</t>
  </si>
  <si>
    <t>PUERTAS</t>
  </si>
  <si>
    <t>Hoja corrediza RH15</t>
  </si>
  <si>
    <t>Pendiente plantilla</t>
  </si>
  <si>
    <t>PROVISIONAL para corte: 2175 × 975, solape 30. Altura = hueco bajo el listón (2340−115) menos 50 mm del sistema. Sin perfil vertical en esta propuesta basada en el clóset del usuario. Confirmar taladros, altura, canto y suspensión. Tope conserva desfase de 50 mm entre hojas.</t>
  </si>
  <si>
    <t>C3-024</t>
  </si>
  <si>
    <t>Solapa frontal</t>
  </si>
  <si>
    <t>Cubre el frente superior (riel y borde alto de las hojas), como en el clóset real: 12 cm de alto, sobresale 15 mm delante del cuerpo de 56 cm. Se fija a los cantos delanteros de los laterales y a dos tacos de pino de 15 mm (sobrantes del listón) atornillados al frente del listón. Canto rígido abajo y en los extremos; el borde alto va contra el cielo raso.</t>
  </si>
  <si>
    <t>TOTAL RH15</t>
  </si>
  <si>
    <t>Área neta</t>
  </si>
  <si>
    <t>Listón de pino (bastidor del riel) fuera de este total: ver hoja Compras.</t>
  </si>
  <si>
    <t>Observaciones fijas por pieza</t>
  </si>
  <si>
    <t>Pedido de corte y canteado · clóset principal 195</t>
  </si>
  <si>
    <t>¿El proveedor pide medida terminada y descuenta el canto? (SÍ/NO)</t>
  </si>
  <si>
    <t>Rebaje superior para el listón de pino 4 × 4 en taller.</t>
  </si>
  <si>
    <t>Veta horizontal: frente de 824 de ancho, queda detrás de las hojas.</t>
  </si>
  <si>
    <t>Cortar después de confirmar el kit Peralma (altura de hoja y plantilla).</t>
  </si>
  <si>
    <t>Supuestos por confirmar en la sucursal: Q2 cambia la medida que se pide; Q3 y Q4 marcan qué piezas pueden rechazar.</t>
  </si>
  <si>
    <t>Módulo / grupo</t>
  </si>
  <si>
    <t>Material</t>
  </si>
  <si>
    <t>Largo a pedir (veta)</t>
  </si>
  <si>
    <t>Ancho a pedir</t>
  </si>
  <si>
    <t>Largo 1</t>
  </si>
  <si>
    <t>Largo 2</t>
  </si>
  <si>
    <t>Corto 1</t>
  </si>
  <si>
    <t>Corto 2</t>
  </si>
  <si>
    <t>Canteo</t>
  </si>
  <si>
    <t>Medida terminada</t>
  </si>
  <si>
    <t>Observaciones</t>
  </si>
  <si>
    <t>Metros netos de canto</t>
  </si>
  <si>
    <t>Normal</t>
  </si>
  <si>
    <t>Pequeña</t>
  </si>
  <si>
    <t>Rígido 2 mm</t>
  </si>
  <si>
    <t>Flexible 0,45 mm</t>
  </si>
  <si>
    <t>Piezas (unidades)</t>
  </si>
  <si>
    <t>Bordes a cantear a mano</t>
  </si>
  <si>
    <t>Metros netos</t>
  </si>
  <si>
    <t>Desperdicio por borde a mano (m)</t>
  </si>
  <si>
    <t>Margen de seguridad</t>
  </si>
  <si>
    <t>Clóset compacto: cantos exclusivos</t>
  </si>
  <si>
    <t>Reserva/borde m</t>
  </si>
  <si>
    <t>Rígido 2 mm en caras vistas; flexible 0,45 en bordes vistos interiores, superiores e inferiores. Sin canto en bordes ocultos contra otra pieza o el muro. Reserva editable, 5 cm por borde.</t>
  </si>
  <si>
    <t>Tipo</t>
  </si>
  <si>
    <t>Aplicación</t>
  </si>
  <si>
    <t>Bordes</t>
  </si>
  <si>
    <t>Reserva m</t>
  </si>
  <si>
    <t>Metros a pedir</t>
  </si>
  <si>
    <t>m por rollo</t>
  </si>
  <si>
    <t>Rollos</t>
  </si>
  <si>
    <t>Rígido 19 × 2</t>
  </si>
  <si>
    <t>Hojas, frentes y bordes vistos de estructura</t>
  </si>
  <si>
    <t>Flexible 19 × 0,45</t>
  </si>
  <si>
    <t>Bordes vistos interiores, superiores e inferiores, y base</t>
  </si>
  <si>
    <t>Piezas estrechas: la base (C3-020 a C3-022) conserva canto en los 4 bordes por estar junto al piso; las demás llevan canto solo en bordes vistos. Confirmar preparación de uniones con el taller.</t>
  </si>
  <si>
    <t>Clóset compacto: compras independientes</t>
  </si>
  <si>
    <t>Cinco láminas es un encaje encontrado sin rotar por veta; no representa un mínimo demostrado.</t>
  </si>
  <si>
    <t>Referencia</t>
  </si>
  <si>
    <t>Uso</t>
  </si>
  <si>
    <t>Cantidad</t>
  </si>
  <si>
    <t>Unidad</t>
  </si>
  <si>
    <t>Precio COP</t>
  </si>
  <si>
    <t>Importe COP</t>
  </si>
  <si>
    <t>Detalle</t>
  </si>
  <si>
    <t>Fuente / fecha</t>
  </si>
  <si>
    <t>RH15 Cartagena</t>
  </si>
  <si>
    <t>Tablero 2440 × 2150</t>
  </si>
  <si>
    <t>lámina</t>
  </si>
  <si>
    <t>Misma referencia cocina</t>
  </si>
  <si>
    <t>44 piezas RH15, más el listón de pino del bastidor (fila Pino). Encaje encontrado en 5 láminas, con sierra 4 mm y refilado 10 mm por lado. La presencia de fondos y hojas grandes aumenta consumo. Proveedor define plano final.</t>
  </si>
  <si>
    <t>Canto rígido Cartagena</t>
  </si>
  <si>
    <t>Rollo 19 × 2 mm</t>
  </si>
  <si>
    <t>rollo</t>
  </si>
  <si>
    <t>Referencia cocina</t>
  </si>
  <si>
    <t>Canto flexible Cartagena</t>
  </si>
  <si>
    <t>Rollo 19 × 0,45 mm</t>
  </si>
  <si>
    <t>HRE320-45</t>
  </si>
  <si>
    <t>Riel lateral 450 mm</t>
  </si>
  <si>
    <t>par</t>
  </si>
  <si>
    <t>Precio aportado</t>
  </si>
  <si>
    <t>FSCPCM20</t>
  </si>
  <si>
    <t>Kit Peralma para dos hojas</t>
  </si>
  <si>
    <t>kit</t>
  </si>
  <si>
    <t>Candidato</t>
  </si>
  <si>
    <t>Kit publicado: 4 rodamientos, 1 guía, 1 tope y tornillos. Identificar si coinciden con la guía y el amortiguador descritos por el usuario, antes de añadir accesorios. Cada hoja RH pesa 21,3 kg sin herrajes (10,05 kg/m², dato de Madecentro); el kit indica 30 kg: preguntar si es por hoja o por kit de dos.</t>
  </si>
  <si>
    <t>https://madecentro.com/products/kit-de-accesorios-para-sistema-colgante; precio aportado por usuario.</t>
  </si>
  <si>
    <t>PERALMA50B · 2 m</t>
  </si>
  <si>
    <t>Riel colgante superior para 2 hojas</t>
  </si>
  <si>
    <t>barra</t>
  </si>
  <si>
    <t>Barra 2 m para recorrido 1920 mm. Referencia real: zona de 70 mm de fondo, hojas entre 500 y 550 mm, cuerpo hasta 560. El riel se atornilla al listón de pino del bastidor (no a la tapa). Guía inferior sin apoyo de peso; no hay riel inferior de carga. Confirmar sección y taladros del sistema.</t>
  </si>
  <si>
    <t>https://madecentro.com/products/sistema-corredizo-colgate-x-3mtr</t>
  </si>
  <si>
    <t>HMA310-02</t>
  </si>
  <si>
    <t>Manija tubular CC96 mm</t>
  </si>
  <si>
    <t>unidad</t>
  </si>
  <si>
    <t>Una manija vertical en el extremo exterior de cada hoja.35 mm de saliente: fondo máximo 585 mm. Dos centros 96 mm; largo representado 119 mm. Las manijas no sustituyen una certificación de rigidez del tablero.</t>
  </si>
  <si>
    <t>Usuario: $2.743/unidad. https://madecentro.com/products/hma310-02-manija-310-acero-inox-cc-96-mm-rectangular-alta</t>
  </si>
  <si>
    <t>Verificar con FSCPCM20</t>
  </si>
  <si>
    <t>Tope plástico amortiguado</t>
  </si>
  <si>
    <t>conjunto</t>
  </si>
  <si>
    <t>Verificar incluido</t>
  </si>
  <si>
    <t>Detrás de la hoja exterior, conserva 50 mm de desfase y evita invertir el orden de hojas. Cota de pérdida de recorrido aportada por el usuario. Verificar si viene en el kit; no duplicar compra. La guía inferior tampoco se compra dos veces.</t>
  </si>
  <si>
    <t>Descripción y fotos del clóset real del usuario; referencia comercial pendiente.</t>
  </si>
  <si>
    <t>Por elegir</t>
  </si>
  <si>
    <t>Barras para colgar</t>
  </si>
  <si>
    <t>tramo</t>
  </si>
  <si>
    <t>Cotizar</t>
  </si>
  <si>
    <t>Una ilustrada 810 mm y dos 1055 mm. Barra baja derecha desmontable. Medidas de corte reales según soportes elegidos.</t>
  </si>
  <si>
    <t>Modelo; no representa una referencia comercial confirmada.</t>
  </si>
  <si>
    <t>Soportes de barra</t>
  </si>
  <si>
    <t>Dos por barra. Fijación y carga para RH15 por confirmar.</t>
  </si>
  <si>
    <t>Montaje pendiente.</t>
  </si>
  <si>
    <t>Por dimensionar</t>
  </si>
  <si>
    <t>Apoyos de base</t>
  </si>
  <si>
    <t>Dos bajo cada lateral/divisor. El modelo dibuja 20 mm de apoyo y base total 100 mm; producto y regulación por elegir.</t>
  </si>
  <si>
    <t>Geometría propuesta.</t>
  </si>
  <si>
    <t>Uniones y anclajes</t>
  </si>
  <si>
    <t>lote</t>
  </si>
  <si>
    <t>Montaje y sustrato real.</t>
  </si>
  <si>
    <t>Pino · por cotizar</t>
  </si>
  <si>
    <t>Listón 4×4 cm · bastidor del riel</t>
  </si>
  <si>
    <t>listón</t>
  </si>
  <si>
    <t>Listón de pino de 4×4 cm que va de lateral a lateral: 1920 mm libres más el encaje en cada lateral (máx. 7 mm por lado). Pedir de 2,0 m o más, recto, seco y sin nudos grandes; sobra para 2 tacos de 15 mm. Va encajonado y atornillado a los laterales; el riel (50 mm) se atornilla a su cara inferior y sobresale ~5 mm por lado. El clóset real usa 7×3 cm; se cambió a 4×4 por disponibilidad. Confirmar rebaje y tornillos con el instalador.</t>
  </si>
  <si>
    <t>Descripción del clóset real del usuario, 27/10/2026; precio pendiente.</t>
  </si>
  <si>
    <t>Tornillos del bastidor y del riel</t>
  </si>
  <si>
    <t>Tornillos para madera y aglomerado en cada extremo del listón y para el riel; el kit del sistema puede traer los suyos. Escuadras solo si el rebaje en los laterales queda corto.</t>
  </si>
  <si>
    <t>Por cotizar</t>
  </si>
  <si>
    <t>Corte, canteado e instalación</t>
  </si>
  <si>
    <t>servicio</t>
  </si>
  <si>
    <t>Confirmar plantilla de las hojas y perfiles, guías y topes adicionales, veta y suministro. Mantener todo este presupuesto independiente.</t>
  </si>
  <si>
    <t>Proveedor.</t>
  </si>
  <si>
    <t>SUBTOTAL PARCIAL</t>
  </si>
  <si>
    <t>Tema</t>
  </si>
  <si>
    <t>Puerta de habitación</t>
  </si>
  <si>
    <t>Hoja 900 mm; eje a 520 mm del muro donde apoya el fondo del clóset.</t>
  </si>
  <si>
    <t>Confirmación del usuario 27/10/2026.</t>
  </si>
  <si>
    <t>Ancho propuesto</t>
  </si>
  <si>
    <t>El modelo sitúa el eje a 2880 mm del muro izquierdo. Extremo del giro=2880−900=1980. Restando 10 mm de separación izquierda y 20 mm de margen: ancho 1950 mm. Confirmar posición lateral del eje antes de fabricar.</t>
  </si>
  <si>
    <t>Geometría de la terraza y medidas confirmadas.</t>
  </si>
  <si>
    <t>Ubicación y franja libre</t>
  </si>
  <si>
    <t>1+195+94=290 cm. Se reduce 93 cm respecto a 288. El hueco derecho es reserva de giro; no un paso peatonal libre de 94 cm.</t>
  </si>
  <si>
    <t>Cálculo de ubicación.</t>
  </si>
  <si>
    <t>Fondo interior</t>
  </si>
  <si>
    <t>Zona de referencia 490–560 mm. Hoja interior 500–515; exterior 535–550. Cuerpo 560 y manijas hasta 585. Fondo RH15 de 0–15 deja 485 mm útiles. Los 7 cm son la zona de referencia del marco, no un espesor adicional del cuerpo.</t>
  </si>
  <si>
    <t>Medidas y aclaraciones del usuario / modelo.</t>
  </si>
  <si>
    <t>Distribución</t>
  </si>
  <si>
    <t>Útiles 830 y 1075 mm. Se redujo el cajonero de 880 a 830 mm para sumar 50 mm de tolerancia de instalación, además del descuento ya aplicado por el tope. Se mantienen 1950 mm exteriores. Colgado corto arriba, doble colgado derecho con barra inferior desmontable y maleteros interiores.</t>
  </si>
  <si>
    <t>Acceso a cajones</t>
  </si>
  <si>
    <t>Hoja exterior izquierda e interior derecha; anchos 975, solape 30 y desfase mínimo 50. Desplazamiento y abertura libre 895. Frentes 824 en cuerpo 830: máximo x 842, hoja apilada comienza en x 910, dejando 68 mm de margen al tablero. Incluso con 50 mm adicionales de pérdida de recorrido quedaría un margen geométrico de 18 mm. El visor bloquea cruce de hojas y cajones tapados.</t>
  </si>
  <si>
    <t>Tope descrito por el usuario y control geométrico.</t>
  </si>
  <si>
    <t>Cajas y correderas</t>
  </si>
  <si>
    <t>Exterior 803×450; base RH15 aplicada, paredes 155 y refuerzo 40 inferior. Frente 824×210. Tres frentes con 30 mm de separación, sin manijas.803=830−27 de la familia HRE320. Confirmar fijación y carga útil.</t>
  </si>
  <si>
    <t>Geometría y ficha de rieles.</t>
  </si>
  <si>
    <t>Hojas y sistema corredizo</t>
  </si>
  <si>
    <t>Material y alcance</t>
  </si>
  <si>
    <t>Misma referencia RH15 Cartagena que la cocina final. Despiece y compras exclusivos del clóset compacto; no se han fusionado con cocina ni baño.</t>
  </si>
  <si>
    <t>Solicitud del usuario y Excel de cocina.</t>
  </si>
  <si>
    <t>Montaje en altura</t>
  </si>
  <si>
    <t>Cantos</t>
  </si>
  <si>
    <t>Se retira el canto de los bordes ocultos contra otra pieza o el muro (fondos RH15 sin canto). Se conservan bordes vistos, el superior de laterales y divisor, y los 4 bordes de la base (C3-020 a C3-022). Cortes M/N pasan a fórmula según los cantos. Flexible 89,4 → 39,0 m netos; rígido sin cambio.</t>
  </si>
  <si>
    <t>Análisis geométrico del modelo 3D y decisión del usuario 27/10/2026.</t>
  </si>
  <si>
    <t>SÍ</t>
  </si>
  <si>
    <t>Medidas en mm; largo en sentido de veta. R = rígido 2 mm · F = flexible 0,45 mm · — = sin canto. Se cantean únicamente los bordes indicados; orientar las piezas según el montaje.</t>
  </si>
  <si>
    <t>Dimensión menor mínima de tablero que admite la canteadora (mm)</t>
  </si>
  <si>
    <t>Piezas pequeñas: clasificación según el tamaño del tablero antes de cantear. Si la máquina las rechaza, usar el corte indicado en Observaciones y cantear en el armado. Medidas de corte a 0,01 mm; el proveedor confirma tolerancias y límites Q2–Q4.</t>
  </si>
  <si>
    <t>Dimensión mayor mínima de tablero que admite la canteadora (mm)</t>
  </si>
  <si>
    <t>Canto para acabado manual · previsión sujeta a la entrega</t>
  </si>
  <si>
    <t>Estimado con desperdicio y reserva (m)</t>
  </si>
  <si>
    <t>Previsión para las piezas pequeñas, no garantía de cuáles canteará Madecentro. Incluye 10 cm extra por borde y 20 % de reserva; ambos valores son editables. Al recibir las piezas, ajustar el objetivo si faltan otros bordes o si el proveedor canteó parte de ellos.</t>
  </si>
  <si>
    <t>Objetivo revisado con reserva (m; opcional)</t>
  </si>
  <si>
    <t>Metros ya disponibles para cantear en casa</t>
  </si>
  <si>
    <t>Metros faltantes por comprar</t>
  </si>
  <si>
    <t>Dejar el objetivo revisado vacío para usar el estimado. Si ya hay canto comprado o sobrante de rollos, anotarlo en metros disponibles. No sumar este material dos veces al presupuesto. Precio por metro suelto y pegante por cotizar con el proveedor.</t>
  </si>
  <si>
    <t>Cantidad exclusiva de este clóset, calculada en Cantos. No se han descontado sobrantes de otros muebles. Para acabado manual: ver «Metros faltantes por comprar» al final de Pedido de corte; descontar material ya disponible. Precio por metro suelto y pegante por cotizar.</t>
  </si>
  <si>
    <t>Confirmar SKU, suministro y canteado de piezas estrechas. Con el criterio de bordes vistos, cocina y clóset juntos necesitan unos 90 m de canto flexible: caben en un solo rollo de 200 m si se compran juntos. Para acabado manual: ver «Metros faltantes por comprar» al final de Pedido de corte; descontar material ya disponible. Precio por metro suelto y pegante por cotizar.</t>
  </si>
  <si>
    <t>Presupuesto parcial del clóset principal. Precios de referencia; materiales independientes de la cocina.</t>
  </si>
  <si>
    <t>Vano 830 − 27 = caja 803 × 450. Los 45 kg nominales del par no certifican la caja ni la carga útil. Incluye 12 tornillos de 12 mm por par. Confirmar uniones.</t>
  </si>
  <si>
    <t>Usuario; ficha HRE320/330 rev. 15/05/25.</t>
  </si>
  <si>
    <t>Pendientes antes de cortar y armar · clóset principal 195</t>
  </si>
  <si>
    <t>Solo lo que falta resolver. Lo ya decidido está en la hoja Decisiones; el despiece y el 3D ya lo reflejan.</t>
  </si>
  <si>
    <t>N°</t>
  </si>
  <si>
    <t>Qué falta</t>
  </si>
  <si>
    <t>Qué bloquea</t>
  </si>
  <si>
    <t>Quién lo define</t>
  </si>
  <si>
    <t>Posición del eje de la puerta</t>
  </si>
  <si>
    <t>Confirmar en obra que el eje de la puerta de la habitación está a 2880 mm del muro izquierdo: el ancho de 1950 depende de esa cota (2880 − 900 − 10 − 20).</t>
  </si>
  <si>
    <t>Todo el corte</t>
  </si>
  <si>
    <t>Medición en obra</t>
  </si>
  <si>
    <t>Proveedor de corte</t>
  </si>
  <si>
    <t>Confirmar Q2–Q4 del Pedido de corte (medida terminada y tamaño mínimo que cantea). Encaje previsto en 5 láminas.</t>
  </si>
  <si>
    <t>Pedido de corte</t>
  </si>
  <si>
    <t>Sucursal Madecentro</t>
  </si>
  <si>
    <t>Confirmar con el kit Peralma FSCPCM20 la altura de hoja, la plantilla y la carga (hojas de ≈21,3 kg; el kit indica 30 kg: ¿por hoja o por kit?). Verificar si el tope amortiguado viene en el kit.</t>
  </si>
  <si>
    <t>No cortar C3-023</t>
  </si>
  <si>
    <t>Proveedor del sistema</t>
  </si>
  <si>
    <t>Bastidor del riel</t>
  </si>
  <si>
    <t>Rebaje en los laterales para el listón de pino 4 × 4 (máx. ≈7 mm), tornillos y tacos de la solapa. Revisar en obra si el listón baja con 43 kg; si baja, añadir un apoyo sobre el divisor.</t>
  </si>
  <si>
    <t>Rebaje de C3-001 en taller</t>
  </si>
  <si>
    <t>Instalador</t>
  </si>
  <si>
    <t>Cajones</t>
  </si>
  <si>
    <t>Confirmar la fijación de las cajas y la carga útil con los rieles HRE320-45 (caja 803 × 450).</t>
  </si>
  <si>
    <t>Armado</t>
  </si>
  <si>
    <t>Ficha HRE320</t>
  </si>
  <si>
    <t>Anclajes</t>
  </si>
  <si>
    <t>Anclaje al muro posterior e izquierdo; el extremo derecho queda libre. Definir tornillería y uniones de los fondos.</t>
  </si>
  <si>
    <t>Instalación</t>
  </si>
  <si>
    <t>Altura 2380 en hueco de 2400 (diagonal ≈2445): armar de pie o por partes; la nivelación consume los 20 mm superiores.</t>
  </si>
  <si>
    <t>Taller</t>
  </si>
  <si>
    <t>Accesorios</t>
  </si>
  <si>
    <t>Ajustar el tope (50 mm de desfase) y las manijas CC96 a los accesorios reales; taladros en obra. Elegir barras, soportes y apoyos de base.</t>
  </si>
  <si>
    <t>Compras y armado</t>
  </si>
  <si>
    <t>Usuario / instalador</t>
  </si>
  <si>
    <t>Decisiones aplicadas · clóset principal 195</t>
  </si>
  <si>
    <t>Registro de lo ya resuelto; el despiece y el 3D ya lo reflejan.</t>
  </si>
  <si>
    <t>Decisión</t>
  </si>
  <si>
    <t>Fecha / fuente</t>
  </si>
  <si>
    <t>despiece-cocina.xlsx, Compras; precio de referencia 27/10/2026.</t>
  </si>
  <si>
    <t>despiece-cocina.xlsx, Compras.</t>
  </si>
  <si>
    <t>Elegida</t>
  </si>
  <si>
    <t>Incluye fijación de fondos, estructura y refuerzos de RH; el bastidor del riel se lista aparte. El extremo derecho queda libre: no puede anclarse al muro lateral derecho. Definir anclaje posterior y lateral izquierdo según muro.</t>
  </si>
  <si>
    <t>Incluye 2 manijas por $5.486. Quedan listón de pino, tornillos, barras, apoyos, uniones, anclajes y servicios. Verificar accesorios incluidos. No hay PERALM93 presupuestado en este diseño.</t>
  </si>
  <si>
    <t>Geometría del diseño.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</si>
</sst>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
    <numFmt numFmtId="166" formatCode="\$#,##0"/>
  </numFmts>
  <fonts count="9" x14ac:knownFonts="1">
    <font>
      <sz val="10"/>
      <name val="Arial"/>
      <family val="2"/>
    </font>
    <font>
      <sz val="10"/>
      <name val="Arial"/>
    </font>
    <font>
      <sz val="16"/>
      <name val="Arial"/>
    </font>
    <font>
      <b/>
      <sz val="10"/>
      <color rgb="FFFFFFFF"/>
      <name val="Arial"/>
    </font>
    <font>
      <b/>
      <sz val="14"/>
      <name val="Arial"/>
      <family val="2"/>
    </font>
    <font>
      <b/>
      <sz val="10"/>
      <name val="Arial"/>
      <family val="2"/>
    </font>
    <font>
      <b/>
      <sz val="10"/>
      <color rgb="FFFFFFFF"/>
      <name val="Arial"/>
      <family val="2"/>
    </font>
    <font>
      <i/>
      <sz val="10"/>
      <name val="Arial"/>
      <family val="2"/>
    </font>
    <font>
      <sz val="10"/>
      <color rgb="FF0000FF"/>
      <name val="Arial"/>
      <family val="2"/>
    </font>
  </fonts>
  <fills count="10">
    <fill>
      <patternFill patternType="none"/>
    </fill>
    <fill>
      <patternFill patternType="gray125"/>
    </fill>
    <fill>
      <patternFill patternType="solid">
        <fgColor rgb="FF253B35"/>
      </patternFill>
    </fill>
    <fill>
      <patternFill patternType="solid">
        <fgColor rgb="FFFFF2CC"/>
      </patternFill>
    </fill>
    <fill>
      <patternFill patternType="solid">
        <fgColor rgb="FFEAF0E3"/>
      </patternFill>
    </fill>
    <fill>
      <patternFill patternType="solid">
        <fgColor rgb="FF253B35"/>
      </patternFill>
    </fill>
    <fill>
      <patternFill patternType="solid">
        <fgColor rgb="FFFFF2CC"/>
      </patternFill>
    </fill>
    <fill>
      <patternFill patternType="solid">
        <fgColor rgb="FFFFF2CC"/>
      </patternFill>
    </fill>
    <fill>
      <patternFill patternType="solid">
        <fgColor rgb="FFEAF0E3"/>
      </patternFill>
    </fill>
    <fill>
      <patternFill patternType="solid">
        <fgColor rgb="FF253B35"/>
        <bgColor indexed="64"/>
      </patternFill>
    </fill>
  </fills>
  <borders count="2">
    <border>
      <left/>
      <right/>
      <top/>
      <bottom/>
      <diagonal/>
    </border>
    <border>
      <left style="thin">
        <color rgb="FFD3DCD9"/>
      </left>
      <right style="thin">
        <color rgb="FFD3DCD9"/>
      </right>
      <top style="thin">
        <color rgb="FFD3DCD9"/>
      </top>
      <bottom style="thin">
        <color rgb="FFD3DCD9"/>
      </bottom>
      <diagonal/>
    </border>
  </borders>
  <cellStyleXfs count="1">
    <xf numFmtId="0" fontId="0" fillId="0" borderId="0"/>
  </cellStyleXfs>
  <cellXfs count="42">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wrapText="1"/>
    </xf>
    <xf numFmtId="0" fontId="1" fillId="0" borderId="0" xfId="0" applyFont="1" applyAlignment="1">
      <alignment vertical="center" wrapText="1"/>
    </xf>
    <xf numFmtId="164" fontId="1" fillId="0" borderId="0" xfId="0" applyNumberFormat="1" applyFont="1" applyAlignment="1">
      <alignment vertical="center"/>
    </xf>
    <xf numFmtId="2" fontId="1" fillId="0" borderId="0" xfId="0" applyNumberFormat="1" applyFont="1" applyAlignment="1">
      <alignment vertical="center"/>
    </xf>
    <xf numFmtId="0" fontId="1" fillId="3" borderId="0" xfId="0" applyFont="1" applyFill="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0" fontId="1" fillId="4" borderId="0" xfId="0" applyFont="1" applyFill="1" applyAlignment="1">
      <alignment vertical="center"/>
    </xf>
    <xf numFmtId="166" fontId="1" fillId="4" borderId="0" xfId="0" applyNumberFormat="1" applyFont="1" applyFill="1" applyAlignment="1">
      <alignment vertical="center"/>
    </xf>
    <xf numFmtId="49" fontId="1" fillId="0" borderId="0" xfId="0" applyNumberFormat="1" applyFont="1" applyAlignment="1">
      <alignment vertical="center"/>
    </xf>
    <xf numFmtId="49" fontId="1" fillId="0" borderId="0" xfId="0" applyNumberFormat="1" applyFont="1" applyAlignment="1">
      <alignment vertical="center" wrapText="1"/>
    </xf>
    <xf numFmtId="49" fontId="0" fillId="0" borderId="0" xfId="0" applyNumberFormat="1"/>
    <xf numFmtId="49" fontId="4" fillId="0" borderId="0" xfId="0" applyNumberFormat="1" applyFont="1"/>
    <xf numFmtId="49" fontId="5" fillId="0" borderId="0" xfId="0" applyNumberFormat="1" applyFont="1"/>
    <xf numFmtId="49" fontId="7" fillId="0" borderId="0" xfId="0" applyNumberFormat="1" applyFont="1"/>
    <xf numFmtId="49" fontId="5" fillId="6" borderId="0" xfId="0" applyNumberFormat="1" applyFont="1" applyFill="1"/>
    <xf numFmtId="49" fontId="6" fillId="5" borderId="1" xfId="0" applyNumberFormat="1" applyFont="1" applyFill="1" applyBorder="1" applyAlignment="1">
      <alignment vertic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5" fillId="0" borderId="0" xfId="0" applyFont="1"/>
    <xf numFmtId="2" fontId="5" fillId="0" borderId="0" xfId="0" applyNumberFormat="1" applyFont="1"/>
    <xf numFmtId="1" fontId="5" fillId="0" borderId="0" xfId="0" applyNumberFormat="1" applyFont="1"/>
    <xf numFmtId="1" fontId="5" fillId="6" borderId="0" xfId="0" applyNumberFormat="1" applyFont="1" applyFill="1"/>
    <xf numFmtId="1" fontId="0" fillId="0" borderId="0" xfId="0" applyNumberFormat="1"/>
    <xf numFmtId="2" fontId="0" fillId="0" borderId="0" xfId="0" applyNumberFormat="1"/>
    <xf numFmtId="2" fontId="0" fillId="6" borderId="0" xfId="0" applyNumberFormat="1" applyFill="1"/>
    <xf numFmtId="9" fontId="0" fillId="6" borderId="0" xfId="0" applyNumberFormat="1" applyFill="1"/>
    <xf numFmtId="2" fontId="5" fillId="0" borderId="1" xfId="0" applyNumberFormat="1" applyFont="1" applyBorder="1"/>
    <xf numFmtId="2" fontId="8" fillId="7" borderId="0" xfId="0" applyNumberFormat="1" applyFont="1" applyFill="1"/>
    <xf numFmtId="0" fontId="5" fillId="8" borderId="0" xfId="0" applyFont="1" applyFill="1"/>
    <xf numFmtId="2" fontId="5" fillId="8" borderId="0" xfId="0" applyNumberFormat="1" applyFont="1" applyFill="1"/>
    <xf numFmtId="49" fontId="6" fillId="9" borderId="1" xfId="0" applyNumberFormat="1" applyFont="1" applyFill="1" applyBorder="1" applyAlignment="1">
      <alignment vertical="top" wrapText="1"/>
    </xf>
    <xf numFmtId="0" fontId="0" fillId="0" borderId="1" xfId="0" applyBorder="1" applyAlignment="1">
      <alignment vertical="top" wrapText="1"/>
    </xf>
    <xf numFmtId="49" fontId="0" fillId="0" borderId="1" xfId="0" applyNumberFormat="1" applyBorder="1" applyAlignment="1">
      <alignment vertical="top" wrapText="1"/>
    </xf>
    <xf numFmtId="49" fontId="7" fillId="0" borderId="0" xfId="0" applyNumberFormat="1" applyFont="1" applyAlignment="1">
      <alignment wrapText="1"/>
    </xf>
    <xf numFmtId="0" fontId="0" fillId="0" borderId="0" xfId="0"/>
    <xf numFmtId="0" fontId="0" fillId="0" borderId="0" xfId="0" applyAlignment="1">
      <alignment wrapText="1"/>
    </xf>
    <xf numFmtId="49" fontId="1" fillId="4"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AF0E3"/>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3B3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
  <sheetViews>
    <sheetView showGridLines="0" tabSelected="1" workbookViewId="0">
      <pane ySplit="6" topLeftCell="A7" activePane="bottomLeft" state="frozen"/>
      <selection pane="bottomLeft"/>
    </sheetView>
  </sheetViews>
  <sheetFormatPr baseColWidth="10" defaultColWidth="8.6640625" defaultRowHeight="13.2" x14ac:dyDescent="0.25"/>
  <cols>
    <col min="1" max="1" width="10" customWidth="1"/>
    <col min="2" max="2" width="12" customWidth="1"/>
    <col min="3" max="3" width="32" customWidth="1"/>
    <col min="4" max="4" width="8" customWidth="1"/>
    <col min="5" max="6" width="13" customWidth="1"/>
    <col min="7" max="8" width="12" customWidth="1"/>
    <col min="9" max="12" width="11" customWidth="1"/>
    <col min="13" max="14" width="14" customWidth="1"/>
    <col min="15" max="15" width="24" customWidth="1"/>
    <col min="16" max="16" width="85" customWidth="1"/>
  </cols>
  <sheetData>
    <row r="1" spans="1:16" ht="15" customHeight="1" x14ac:dyDescent="0.25">
      <c r="A1" s="1"/>
      <c r="B1" s="1"/>
      <c r="C1" s="1"/>
      <c r="D1" s="1"/>
      <c r="E1" s="1"/>
      <c r="F1" s="1"/>
      <c r="G1" s="1"/>
      <c r="H1" s="1"/>
      <c r="I1" s="1"/>
      <c r="J1" s="1"/>
      <c r="K1" s="1"/>
      <c r="L1" s="1"/>
      <c r="M1" s="1"/>
      <c r="N1" s="1"/>
      <c r="O1" s="1"/>
      <c r="P1" s="1"/>
    </row>
    <row r="2" spans="1:16" ht="19.5" customHeight="1" x14ac:dyDescent="0.25">
      <c r="A2" s="2" t="s">
        <v>0</v>
      </c>
      <c r="B2" s="1"/>
      <c r="C2" s="1"/>
      <c r="D2" s="1"/>
      <c r="E2" s="1"/>
      <c r="F2" s="1"/>
      <c r="G2" s="1"/>
      <c r="H2" s="1"/>
      <c r="I2" s="1"/>
      <c r="J2" s="1"/>
      <c r="K2" s="1"/>
      <c r="L2" s="1"/>
      <c r="M2" s="1"/>
      <c r="N2" s="1"/>
      <c r="O2" s="1"/>
      <c r="P2" s="1"/>
    </row>
    <row r="3" spans="1:16" ht="15" customHeight="1" x14ac:dyDescent="0.25">
      <c r="A3" s="1" t="s">
        <v>1</v>
      </c>
      <c r="B3" s="1"/>
      <c r="C3" s="1"/>
      <c r="D3" s="1"/>
      <c r="E3" s="1"/>
      <c r="F3" s="1"/>
      <c r="G3" s="1"/>
      <c r="H3" s="1"/>
      <c r="I3" s="1"/>
      <c r="J3" s="1"/>
      <c r="K3" s="1"/>
      <c r="L3" s="1"/>
      <c r="M3" s="1"/>
      <c r="N3" s="1"/>
      <c r="O3" s="1"/>
      <c r="P3" s="1"/>
    </row>
    <row r="4" spans="1:16" ht="15" customHeight="1" x14ac:dyDescent="0.25">
      <c r="A4" s="1" t="s">
        <v>2</v>
      </c>
      <c r="B4" s="1"/>
      <c r="C4" s="1"/>
      <c r="D4" s="1"/>
      <c r="E4" s="1"/>
      <c r="F4" s="1"/>
      <c r="G4" s="1"/>
      <c r="H4" s="1"/>
      <c r="I4" s="1"/>
      <c r="J4" s="1"/>
      <c r="K4" s="1"/>
      <c r="L4" s="1"/>
      <c r="M4" s="1"/>
      <c r="N4" s="1"/>
      <c r="O4" s="1"/>
      <c r="P4" s="1"/>
    </row>
    <row r="5" spans="1:16" ht="15" customHeight="1" x14ac:dyDescent="0.25">
      <c r="A5" s="1"/>
      <c r="B5" s="1"/>
      <c r="C5" s="1"/>
      <c r="D5" s="1"/>
      <c r="E5" s="1"/>
      <c r="F5" s="1"/>
      <c r="G5" s="1"/>
      <c r="H5" s="1"/>
      <c r="I5" s="1"/>
      <c r="J5" s="1"/>
      <c r="K5" s="1"/>
      <c r="L5" s="1"/>
      <c r="M5" s="1"/>
      <c r="N5" s="1"/>
      <c r="O5" s="1"/>
      <c r="P5" s="1"/>
    </row>
    <row r="6" spans="1:16" ht="42" customHeight="1" x14ac:dyDescent="0.25">
      <c r="A6" s="3" t="s">
        <v>3</v>
      </c>
      <c r="B6" s="3" t="s">
        <v>4</v>
      </c>
      <c r="C6" s="3" t="s">
        <v>5</v>
      </c>
      <c r="D6" s="3" t="s">
        <v>6</v>
      </c>
      <c r="E6" s="3" t="s">
        <v>7</v>
      </c>
      <c r="F6" s="3" t="s">
        <v>8</v>
      </c>
      <c r="G6" s="3" t="s">
        <v>9</v>
      </c>
      <c r="H6" s="3" t="s">
        <v>10</v>
      </c>
      <c r="I6" s="3" t="s">
        <v>11</v>
      </c>
      <c r="J6" s="3" t="s">
        <v>12</v>
      </c>
      <c r="K6" s="3" t="s">
        <v>13</v>
      </c>
      <c r="L6" s="3" t="s">
        <v>14</v>
      </c>
      <c r="M6" s="3" t="s">
        <v>15</v>
      </c>
      <c r="N6" s="3" t="s">
        <v>16</v>
      </c>
      <c r="O6" s="3" t="s">
        <v>17</v>
      </c>
      <c r="P6" s="3" t="s">
        <v>18</v>
      </c>
    </row>
    <row r="7" spans="1:16" ht="54" customHeight="1" x14ac:dyDescent="0.25">
      <c r="A7" s="1" t="s">
        <v>19</v>
      </c>
      <c r="B7" s="1" t="s">
        <v>20</v>
      </c>
      <c r="C7" s="4" t="s">
        <v>21</v>
      </c>
      <c r="D7" s="1">
        <v>2</v>
      </c>
      <c r="E7" s="1">
        <v>2280</v>
      </c>
      <c r="F7" s="1">
        <v>560</v>
      </c>
      <c r="G7" s="1">
        <v>15</v>
      </c>
      <c r="H7" s="5">
        <f t="shared" ref="H7:H30" si="0">D7*E7*F7/1000000</f>
        <v>2.5535999999999999</v>
      </c>
      <c r="I7" s="12" t="s">
        <v>22</v>
      </c>
      <c r="J7" s="12" t="s">
        <v>23</v>
      </c>
      <c r="K7" s="12" t="s">
        <v>24</v>
      </c>
      <c r="L7" s="12" t="s">
        <v>24</v>
      </c>
      <c r="M7" s="6">
        <f t="shared" ref="M7:M30" si="1">E7-IF(K7="2",2,IF(K7="0.45",0.45,0))-IF(L7="2",2,IF(L7="0.45",0.45,0))</f>
        <v>2279.1000000000004</v>
      </c>
      <c r="N7" s="6">
        <f t="shared" ref="N7:N30" si="2">F7-IF(I7="2",2,IF(I7="0.45",0.45,0))-IF(J7="2",2,IF(J7="0.45",0.45,0))</f>
        <v>558</v>
      </c>
      <c r="O7" s="7" t="s">
        <v>25</v>
      </c>
      <c r="P7" s="4" t="s">
        <v>26</v>
      </c>
    </row>
    <row r="8" spans="1:16" ht="54" customHeight="1" x14ac:dyDescent="0.25">
      <c r="A8" s="1" t="s">
        <v>27</v>
      </c>
      <c r="B8" s="1" t="s">
        <v>20</v>
      </c>
      <c r="C8" s="4" t="s">
        <v>28</v>
      </c>
      <c r="D8" s="1">
        <v>1</v>
      </c>
      <c r="E8" s="1">
        <v>2280</v>
      </c>
      <c r="F8" s="1">
        <v>490</v>
      </c>
      <c r="G8" s="1">
        <v>15</v>
      </c>
      <c r="H8" s="5">
        <f t="shared" si="0"/>
        <v>1.1172</v>
      </c>
      <c r="I8" s="12" t="s">
        <v>22</v>
      </c>
      <c r="J8" s="12" t="s">
        <v>23</v>
      </c>
      <c r="K8" s="12" t="s">
        <v>24</v>
      </c>
      <c r="L8" s="12" t="s">
        <v>23</v>
      </c>
      <c r="M8" s="6">
        <f t="shared" si="1"/>
        <v>2279.5500000000002</v>
      </c>
      <c r="N8" s="6">
        <f t="shared" si="2"/>
        <v>488</v>
      </c>
      <c r="O8" s="7" t="s">
        <v>25</v>
      </c>
      <c r="P8" s="4" t="s">
        <v>29</v>
      </c>
    </row>
    <row r="9" spans="1:16" ht="54" customHeight="1" x14ac:dyDescent="0.25">
      <c r="A9" s="1" t="s">
        <v>30</v>
      </c>
      <c r="B9" s="1" t="s">
        <v>31</v>
      </c>
      <c r="C9" s="4" t="s">
        <v>32</v>
      </c>
      <c r="D9" s="1">
        <v>1</v>
      </c>
      <c r="E9" s="1">
        <v>830</v>
      </c>
      <c r="F9" s="1">
        <v>560</v>
      </c>
      <c r="G9" s="1">
        <v>15</v>
      </c>
      <c r="H9" s="5">
        <f t="shared" si="0"/>
        <v>0.46479999999999999</v>
      </c>
      <c r="I9" s="12" t="s">
        <v>22</v>
      </c>
      <c r="J9" s="12" t="s">
        <v>23</v>
      </c>
      <c r="K9" s="12" t="s">
        <v>24</v>
      </c>
      <c r="L9" s="12" t="s">
        <v>23</v>
      </c>
      <c r="M9" s="6">
        <f t="shared" si="1"/>
        <v>829.55</v>
      </c>
      <c r="N9" s="6">
        <f t="shared" si="2"/>
        <v>558</v>
      </c>
      <c r="O9" s="7" t="s">
        <v>25</v>
      </c>
      <c r="P9" s="4" t="s">
        <v>33</v>
      </c>
    </row>
    <row r="10" spans="1:16" ht="54" customHeight="1" x14ac:dyDescent="0.25">
      <c r="A10" s="1" t="s">
        <v>34</v>
      </c>
      <c r="B10" s="1" t="s">
        <v>31</v>
      </c>
      <c r="C10" s="4" t="s">
        <v>35</v>
      </c>
      <c r="D10" s="1">
        <v>1</v>
      </c>
      <c r="E10" s="1">
        <v>830</v>
      </c>
      <c r="F10" s="1">
        <v>505</v>
      </c>
      <c r="G10" s="1">
        <v>15</v>
      </c>
      <c r="H10" s="5">
        <f t="shared" si="0"/>
        <v>0.41915000000000002</v>
      </c>
      <c r="I10" s="12" t="s">
        <v>24</v>
      </c>
      <c r="J10" s="12" t="s">
        <v>23</v>
      </c>
      <c r="K10" s="12" t="s">
        <v>23</v>
      </c>
      <c r="L10" s="12" t="s">
        <v>23</v>
      </c>
      <c r="M10" s="6">
        <f t="shared" si="1"/>
        <v>830</v>
      </c>
      <c r="N10" s="6">
        <f t="shared" si="2"/>
        <v>504.55</v>
      </c>
      <c r="O10" s="7" t="s">
        <v>25</v>
      </c>
      <c r="P10" s="4" t="s">
        <v>36</v>
      </c>
    </row>
    <row r="11" spans="1:16" ht="54" customHeight="1" x14ac:dyDescent="0.25">
      <c r="A11" s="1" t="s">
        <v>37</v>
      </c>
      <c r="B11" s="1" t="s">
        <v>31</v>
      </c>
      <c r="C11" s="4" t="s">
        <v>38</v>
      </c>
      <c r="D11" s="1">
        <v>1</v>
      </c>
      <c r="E11" s="1">
        <v>2250</v>
      </c>
      <c r="F11" s="1">
        <v>830</v>
      </c>
      <c r="G11" s="1">
        <v>15</v>
      </c>
      <c r="H11" s="5">
        <f t="shared" si="0"/>
        <v>1.8674999999999999</v>
      </c>
      <c r="I11" s="12" t="s">
        <v>23</v>
      </c>
      <c r="J11" s="12" t="s">
        <v>23</v>
      </c>
      <c r="K11" s="12" t="s">
        <v>23</v>
      </c>
      <c r="L11" s="12" t="s">
        <v>23</v>
      </c>
      <c r="M11" s="6">
        <f t="shared" si="1"/>
        <v>2250</v>
      </c>
      <c r="N11" s="6">
        <f t="shared" si="2"/>
        <v>830</v>
      </c>
      <c r="O11" s="7" t="s">
        <v>25</v>
      </c>
      <c r="P11" s="4" t="s">
        <v>39</v>
      </c>
    </row>
    <row r="12" spans="1:16" ht="54" customHeight="1" x14ac:dyDescent="0.25">
      <c r="A12" s="1" t="s">
        <v>40</v>
      </c>
      <c r="B12" s="1" t="s">
        <v>31</v>
      </c>
      <c r="C12" s="4" t="s">
        <v>41</v>
      </c>
      <c r="D12" s="1">
        <v>1</v>
      </c>
      <c r="E12" s="1">
        <v>830</v>
      </c>
      <c r="F12" s="1">
        <v>475</v>
      </c>
      <c r="G12" s="1">
        <v>15</v>
      </c>
      <c r="H12" s="5">
        <f t="shared" si="0"/>
        <v>0.39424999999999999</v>
      </c>
      <c r="I12" s="12" t="s">
        <v>22</v>
      </c>
      <c r="J12" s="12" t="s">
        <v>23</v>
      </c>
      <c r="K12" s="12" t="s">
        <v>23</v>
      </c>
      <c r="L12" s="12" t="s">
        <v>23</v>
      </c>
      <c r="M12" s="6">
        <f t="shared" si="1"/>
        <v>830</v>
      </c>
      <c r="N12" s="6">
        <f t="shared" si="2"/>
        <v>473</v>
      </c>
      <c r="O12" s="7" t="s">
        <v>25</v>
      </c>
      <c r="P12" s="4" t="s">
        <v>42</v>
      </c>
    </row>
    <row r="13" spans="1:16" ht="54" customHeight="1" x14ac:dyDescent="0.25">
      <c r="A13" s="1" t="s">
        <v>43</v>
      </c>
      <c r="B13" s="1" t="s">
        <v>31</v>
      </c>
      <c r="C13" s="4" t="s">
        <v>44</v>
      </c>
      <c r="D13" s="1">
        <v>1</v>
      </c>
      <c r="E13" s="1">
        <v>830</v>
      </c>
      <c r="F13" s="1">
        <v>80</v>
      </c>
      <c r="G13" s="1">
        <v>15</v>
      </c>
      <c r="H13" s="5">
        <f t="shared" si="0"/>
        <v>6.6400000000000001E-2</v>
      </c>
      <c r="I13" s="12" t="s">
        <v>24</v>
      </c>
      <c r="J13" s="12" t="s">
        <v>23</v>
      </c>
      <c r="K13" s="12" t="s">
        <v>23</v>
      </c>
      <c r="L13" s="12" t="s">
        <v>23</v>
      </c>
      <c r="M13" s="6">
        <f t="shared" si="1"/>
        <v>830</v>
      </c>
      <c r="N13" s="6">
        <f t="shared" si="2"/>
        <v>79.55</v>
      </c>
      <c r="O13" s="7" t="s">
        <v>25</v>
      </c>
      <c r="P13" s="4" t="s">
        <v>45</v>
      </c>
    </row>
    <row r="14" spans="1:16" ht="54" customHeight="1" x14ac:dyDescent="0.25">
      <c r="A14" s="1" t="s">
        <v>46</v>
      </c>
      <c r="B14" s="1" t="s">
        <v>31</v>
      </c>
      <c r="C14" s="4" t="s">
        <v>47</v>
      </c>
      <c r="D14" s="1">
        <v>1</v>
      </c>
      <c r="E14" s="1">
        <v>830</v>
      </c>
      <c r="F14" s="1">
        <v>100</v>
      </c>
      <c r="G14" s="1">
        <v>15</v>
      </c>
      <c r="H14" s="5">
        <f t="shared" si="0"/>
        <v>8.3000000000000004E-2</v>
      </c>
      <c r="I14" s="12" t="s">
        <v>24</v>
      </c>
      <c r="J14" s="12" t="s">
        <v>23</v>
      </c>
      <c r="K14" s="12" t="s">
        <v>23</v>
      </c>
      <c r="L14" s="12" t="s">
        <v>23</v>
      </c>
      <c r="M14" s="6">
        <f t="shared" si="1"/>
        <v>830</v>
      </c>
      <c r="N14" s="6">
        <f t="shared" si="2"/>
        <v>99.55</v>
      </c>
      <c r="O14" s="7" t="s">
        <v>25</v>
      </c>
      <c r="P14" s="4" t="s">
        <v>48</v>
      </c>
    </row>
    <row r="15" spans="1:16" ht="54" customHeight="1" x14ac:dyDescent="0.25">
      <c r="A15" s="1" t="s">
        <v>49</v>
      </c>
      <c r="B15" s="1" t="s">
        <v>50</v>
      </c>
      <c r="C15" s="4" t="s">
        <v>32</v>
      </c>
      <c r="D15" s="1">
        <v>1</v>
      </c>
      <c r="E15" s="1">
        <v>1075</v>
      </c>
      <c r="F15" s="1">
        <v>560</v>
      </c>
      <c r="G15" s="1">
        <v>15</v>
      </c>
      <c r="H15" s="5">
        <f t="shared" si="0"/>
        <v>0.60199999999999998</v>
      </c>
      <c r="I15" s="12" t="s">
        <v>22</v>
      </c>
      <c r="J15" s="12" t="s">
        <v>23</v>
      </c>
      <c r="K15" s="12" t="s">
        <v>24</v>
      </c>
      <c r="L15" s="12" t="s">
        <v>23</v>
      </c>
      <c r="M15" s="6">
        <f t="shared" si="1"/>
        <v>1074.55</v>
      </c>
      <c r="N15" s="6">
        <f t="shared" si="2"/>
        <v>558</v>
      </c>
      <c r="O15" s="7" t="s">
        <v>25</v>
      </c>
      <c r="P15" s="4" t="s">
        <v>33</v>
      </c>
    </row>
    <row r="16" spans="1:16" ht="54" customHeight="1" x14ac:dyDescent="0.25">
      <c r="A16" s="1" t="s">
        <v>51</v>
      </c>
      <c r="B16" s="1" t="s">
        <v>50</v>
      </c>
      <c r="C16" s="4" t="s">
        <v>35</v>
      </c>
      <c r="D16" s="1">
        <v>1</v>
      </c>
      <c r="E16" s="1">
        <v>1075</v>
      </c>
      <c r="F16" s="1">
        <v>505</v>
      </c>
      <c r="G16" s="1">
        <v>15</v>
      </c>
      <c r="H16" s="5">
        <f t="shared" si="0"/>
        <v>0.542875</v>
      </c>
      <c r="I16" s="12" t="s">
        <v>24</v>
      </c>
      <c r="J16" s="12" t="s">
        <v>23</v>
      </c>
      <c r="K16" s="12" t="s">
        <v>23</v>
      </c>
      <c r="L16" s="12" t="s">
        <v>23</v>
      </c>
      <c r="M16" s="6">
        <f t="shared" si="1"/>
        <v>1075</v>
      </c>
      <c r="N16" s="6">
        <f t="shared" si="2"/>
        <v>504.55</v>
      </c>
      <c r="O16" s="7" t="s">
        <v>25</v>
      </c>
      <c r="P16" s="4" t="s">
        <v>36</v>
      </c>
    </row>
    <row r="17" spans="1:16" ht="54" customHeight="1" x14ac:dyDescent="0.25">
      <c r="A17" s="1" t="s">
        <v>52</v>
      </c>
      <c r="B17" s="1" t="s">
        <v>50</v>
      </c>
      <c r="C17" s="4" t="s">
        <v>38</v>
      </c>
      <c r="D17" s="1">
        <v>1</v>
      </c>
      <c r="E17" s="1">
        <v>2250</v>
      </c>
      <c r="F17" s="1">
        <v>1075</v>
      </c>
      <c r="G17" s="1">
        <v>15</v>
      </c>
      <c r="H17" s="5">
        <f t="shared" si="0"/>
        <v>2.4187500000000002</v>
      </c>
      <c r="I17" s="12" t="s">
        <v>23</v>
      </c>
      <c r="J17" s="12" t="s">
        <v>23</v>
      </c>
      <c r="K17" s="12" t="s">
        <v>23</v>
      </c>
      <c r="L17" s="12" t="s">
        <v>23</v>
      </c>
      <c r="M17" s="6">
        <f t="shared" si="1"/>
        <v>2250</v>
      </c>
      <c r="N17" s="6">
        <f t="shared" si="2"/>
        <v>1075</v>
      </c>
      <c r="O17" s="7" t="s">
        <v>25</v>
      </c>
      <c r="P17" s="4" t="s">
        <v>39</v>
      </c>
    </row>
    <row r="18" spans="1:16" ht="54" customHeight="1" x14ac:dyDescent="0.25">
      <c r="A18" s="1" t="s">
        <v>53</v>
      </c>
      <c r="B18" s="1" t="s">
        <v>50</v>
      </c>
      <c r="C18" s="4" t="s">
        <v>41</v>
      </c>
      <c r="D18" s="1">
        <v>1</v>
      </c>
      <c r="E18" s="1">
        <v>1075</v>
      </c>
      <c r="F18" s="1">
        <v>475</v>
      </c>
      <c r="G18" s="1">
        <v>15</v>
      </c>
      <c r="H18" s="5">
        <f t="shared" si="0"/>
        <v>0.510625</v>
      </c>
      <c r="I18" s="12" t="s">
        <v>22</v>
      </c>
      <c r="J18" s="12" t="s">
        <v>23</v>
      </c>
      <c r="K18" s="12" t="s">
        <v>23</v>
      </c>
      <c r="L18" s="12" t="s">
        <v>23</v>
      </c>
      <c r="M18" s="6">
        <f t="shared" si="1"/>
        <v>1075</v>
      </c>
      <c r="N18" s="6">
        <f t="shared" si="2"/>
        <v>473</v>
      </c>
      <c r="O18" s="7" t="s">
        <v>25</v>
      </c>
      <c r="P18" s="4" t="s">
        <v>42</v>
      </c>
    </row>
    <row r="19" spans="1:16" ht="54" customHeight="1" x14ac:dyDescent="0.25">
      <c r="A19" s="1" t="s">
        <v>54</v>
      </c>
      <c r="B19" s="1" t="s">
        <v>50</v>
      </c>
      <c r="C19" s="4" t="s">
        <v>44</v>
      </c>
      <c r="D19" s="1">
        <v>1</v>
      </c>
      <c r="E19" s="1">
        <v>1075</v>
      </c>
      <c r="F19" s="1">
        <v>80</v>
      </c>
      <c r="G19" s="1">
        <v>15</v>
      </c>
      <c r="H19" s="5">
        <f t="shared" si="0"/>
        <v>8.5999999999999993E-2</v>
      </c>
      <c r="I19" s="12" t="s">
        <v>24</v>
      </c>
      <c r="J19" s="12" t="s">
        <v>23</v>
      </c>
      <c r="K19" s="12" t="s">
        <v>23</v>
      </c>
      <c r="L19" s="12" t="s">
        <v>23</v>
      </c>
      <c r="M19" s="6">
        <f t="shared" si="1"/>
        <v>1075</v>
      </c>
      <c r="N19" s="6">
        <f t="shared" si="2"/>
        <v>79.55</v>
      </c>
      <c r="O19" s="7" t="s">
        <v>25</v>
      </c>
      <c r="P19" s="4" t="s">
        <v>45</v>
      </c>
    </row>
    <row r="20" spans="1:16" ht="54" customHeight="1" x14ac:dyDescent="0.25">
      <c r="A20" s="1" t="s">
        <v>55</v>
      </c>
      <c r="B20" s="1" t="s">
        <v>50</v>
      </c>
      <c r="C20" s="4" t="s">
        <v>47</v>
      </c>
      <c r="D20" s="1">
        <v>1</v>
      </c>
      <c r="E20" s="1">
        <v>1075</v>
      </c>
      <c r="F20" s="1">
        <v>100</v>
      </c>
      <c r="G20" s="1">
        <v>15</v>
      </c>
      <c r="H20" s="5">
        <f t="shared" si="0"/>
        <v>0.1075</v>
      </c>
      <c r="I20" s="12" t="s">
        <v>24</v>
      </c>
      <c r="J20" s="12" t="s">
        <v>23</v>
      </c>
      <c r="K20" s="12" t="s">
        <v>23</v>
      </c>
      <c r="L20" s="12" t="s">
        <v>23</v>
      </c>
      <c r="M20" s="6">
        <f t="shared" si="1"/>
        <v>1075</v>
      </c>
      <c r="N20" s="6">
        <f t="shared" si="2"/>
        <v>99.55</v>
      </c>
      <c r="O20" s="7" t="s">
        <v>25</v>
      </c>
      <c r="P20" s="4" t="s">
        <v>48</v>
      </c>
    </row>
    <row r="21" spans="1:16" ht="54" customHeight="1" x14ac:dyDescent="0.25">
      <c r="A21" s="1" t="s">
        <v>56</v>
      </c>
      <c r="B21" s="1" t="s">
        <v>31</v>
      </c>
      <c r="C21" s="4" t="s">
        <v>57</v>
      </c>
      <c r="D21" s="1">
        <v>3</v>
      </c>
      <c r="E21" s="1">
        <v>824</v>
      </c>
      <c r="F21" s="1">
        <v>210</v>
      </c>
      <c r="G21" s="1">
        <v>15</v>
      </c>
      <c r="H21" s="5">
        <f t="shared" si="0"/>
        <v>0.51912000000000003</v>
      </c>
      <c r="I21" s="12" t="s">
        <v>22</v>
      </c>
      <c r="J21" s="12" t="s">
        <v>22</v>
      </c>
      <c r="K21" s="12" t="s">
        <v>22</v>
      </c>
      <c r="L21" s="12" t="s">
        <v>22</v>
      </c>
      <c r="M21" s="6">
        <f t="shared" si="1"/>
        <v>820</v>
      </c>
      <c r="N21" s="6">
        <f t="shared" si="2"/>
        <v>206</v>
      </c>
      <c r="O21" s="7" t="s">
        <v>25</v>
      </c>
      <c r="P21" s="4" t="s">
        <v>58</v>
      </c>
    </row>
    <row r="22" spans="1:16" ht="54" customHeight="1" x14ac:dyDescent="0.25">
      <c r="A22" s="1" t="s">
        <v>59</v>
      </c>
      <c r="B22" s="1" t="s">
        <v>31</v>
      </c>
      <c r="C22" s="4" t="s">
        <v>60</v>
      </c>
      <c r="D22" s="1">
        <v>6</v>
      </c>
      <c r="E22" s="1">
        <v>450</v>
      </c>
      <c r="F22" s="1">
        <v>155</v>
      </c>
      <c r="G22" s="1">
        <v>15</v>
      </c>
      <c r="H22" s="5">
        <f t="shared" si="0"/>
        <v>0.41849999999999998</v>
      </c>
      <c r="I22" s="12" t="s">
        <v>24</v>
      </c>
      <c r="J22" s="12" t="s">
        <v>23</v>
      </c>
      <c r="K22" s="12" t="s">
        <v>24</v>
      </c>
      <c r="L22" s="12" t="s">
        <v>23</v>
      </c>
      <c r="M22" s="6">
        <f t="shared" si="1"/>
        <v>449.55</v>
      </c>
      <c r="N22" s="6">
        <f t="shared" si="2"/>
        <v>154.55000000000001</v>
      </c>
      <c r="O22" s="7" t="s">
        <v>25</v>
      </c>
      <c r="P22" s="4" t="s">
        <v>33</v>
      </c>
    </row>
    <row r="23" spans="1:16" ht="54" customHeight="1" x14ac:dyDescent="0.25">
      <c r="A23" s="1" t="s">
        <v>61</v>
      </c>
      <c r="B23" s="1" t="s">
        <v>31</v>
      </c>
      <c r="C23" s="4" t="s">
        <v>62</v>
      </c>
      <c r="D23" s="1">
        <v>3</v>
      </c>
      <c r="E23" s="1">
        <v>803</v>
      </c>
      <c r="F23" s="1">
        <v>450</v>
      </c>
      <c r="G23" s="1">
        <v>15</v>
      </c>
      <c r="H23" s="5">
        <f t="shared" si="0"/>
        <v>1.08405</v>
      </c>
      <c r="I23" s="12" t="s">
        <v>24</v>
      </c>
      <c r="J23" s="12" t="s">
        <v>23</v>
      </c>
      <c r="K23" s="12" t="s">
        <v>24</v>
      </c>
      <c r="L23" s="12" t="s">
        <v>24</v>
      </c>
      <c r="M23" s="6">
        <f t="shared" si="1"/>
        <v>802.09999999999991</v>
      </c>
      <c r="N23" s="6">
        <f t="shared" si="2"/>
        <v>449.55</v>
      </c>
      <c r="O23" s="7" t="s">
        <v>25</v>
      </c>
      <c r="P23" s="4" t="s">
        <v>63</v>
      </c>
    </row>
    <row r="24" spans="1:16" ht="54" customHeight="1" x14ac:dyDescent="0.25">
      <c r="A24" s="1" t="s">
        <v>64</v>
      </c>
      <c r="B24" s="1" t="s">
        <v>31</v>
      </c>
      <c r="C24" s="4" t="s">
        <v>65</v>
      </c>
      <c r="D24" s="1">
        <v>6</v>
      </c>
      <c r="E24" s="1">
        <v>773</v>
      </c>
      <c r="F24" s="1">
        <v>155</v>
      </c>
      <c r="G24" s="1">
        <v>15</v>
      </c>
      <c r="H24" s="5">
        <f t="shared" si="0"/>
        <v>0.71889000000000003</v>
      </c>
      <c r="I24" s="12" t="s">
        <v>24</v>
      </c>
      <c r="J24" s="12" t="s">
        <v>23</v>
      </c>
      <c r="K24" s="12" t="s">
        <v>23</v>
      </c>
      <c r="L24" s="12" t="s">
        <v>23</v>
      </c>
      <c r="M24" s="6">
        <f t="shared" si="1"/>
        <v>773</v>
      </c>
      <c r="N24" s="6">
        <f t="shared" si="2"/>
        <v>154.55000000000001</v>
      </c>
      <c r="O24" s="7" t="s">
        <v>25</v>
      </c>
      <c r="P24" s="4" t="s">
        <v>33</v>
      </c>
    </row>
    <row r="25" spans="1:16" ht="54" customHeight="1" x14ac:dyDescent="0.25">
      <c r="A25" s="1" t="s">
        <v>66</v>
      </c>
      <c r="B25" s="1" t="s">
        <v>31</v>
      </c>
      <c r="C25" s="4" t="s">
        <v>67</v>
      </c>
      <c r="D25" s="1">
        <v>3</v>
      </c>
      <c r="E25" s="1">
        <v>803</v>
      </c>
      <c r="F25" s="1">
        <v>40</v>
      </c>
      <c r="G25" s="1">
        <v>15</v>
      </c>
      <c r="H25" s="5">
        <f t="shared" si="0"/>
        <v>9.6360000000000001E-2</v>
      </c>
      <c r="I25" s="12" t="s">
        <v>24</v>
      </c>
      <c r="J25" s="12" t="s">
        <v>23</v>
      </c>
      <c r="K25" s="12" t="s">
        <v>24</v>
      </c>
      <c r="L25" s="12" t="s">
        <v>24</v>
      </c>
      <c r="M25" s="6">
        <f t="shared" si="1"/>
        <v>802.09999999999991</v>
      </c>
      <c r="N25" s="6">
        <f t="shared" si="2"/>
        <v>39.549999999999997</v>
      </c>
      <c r="O25" s="7" t="s">
        <v>25</v>
      </c>
      <c r="P25" s="4" t="s">
        <v>68</v>
      </c>
    </row>
    <row r="26" spans="1:16" ht="54" customHeight="1" x14ac:dyDescent="0.25">
      <c r="A26" s="1" t="s">
        <v>69</v>
      </c>
      <c r="B26" s="1" t="s">
        <v>70</v>
      </c>
      <c r="C26" s="4" t="s">
        <v>71</v>
      </c>
      <c r="D26" s="1">
        <v>1</v>
      </c>
      <c r="E26" s="1">
        <v>1950</v>
      </c>
      <c r="F26" s="1">
        <v>92</v>
      </c>
      <c r="G26" s="1">
        <v>15</v>
      </c>
      <c r="H26" s="5">
        <f t="shared" si="0"/>
        <v>0.1794</v>
      </c>
      <c r="I26" s="12" t="s">
        <v>24</v>
      </c>
      <c r="J26" s="12" t="s">
        <v>24</v>
      </c>
      <c r="K26" s="12" t="s">
        <v>24</v>
      </c>
      <c r="L26" s="12" t="s">
        <v>24</v>
      </c>
      <c r="M26" s="6">
        <f t="shared" si="1"/>
        <v>1949.1</v>
      </c>
      <c r="N26" s="6">
        <f t="shared" si="2"/>
        <v>91.1</v>
      </c>
      <c r="O26" s="7" t="s">
        <v>25</v>
      </c>
      <c r="P26" s="4" t="s">
        <v>33</v>
      </c>
    </row>
    <row r="27" spans="1:16" ht="54" customHeight="1" x14ac:dyDescent="0.25">
      <c r="A27" s="1" t="s">
        <v>72</v>
      </c>
      <c r="B27" s="1" t="s">
        <v>70</v>
      </c>
      <c r="C27" s="4" t="s">
        <v>73</v>
      </c>
      <c r="D27" s="1">
        <v>1</v>
      </c>
      <c r="E27" s="1">
        <v>1950</v>
      </c>
      <c r="F27" s="1">
        <v>80</v>
      </c>
      <c r="G27" s="1">
        <v>15</v>
      </c>
      <c r="H27" s="5">
        <f t="shared" si="0"/>
        <v>0.156</v>
      </c>
      <c r="I27" s="12" t="s">
        <v>24</v>
      </c>
      <c r="J27" s="12" t="s">
        <v>24</v>
      </c>
      <c r="K27" s="12" t="s">
        <v>24</v>
      </c>
      <c r="L27" s="12" t="s">
        <v>24</v>
      </c>
      <c r="M27" s="6">
        <f t="shared" si="1"/>
        <v>1949.1</v>
      </c>
      <c r="N27" s="6">
        <f t="shared" si="2"/>
        <v>79.099999999999994</v>
      </c>
      <c r="O27" s="7" t="s">
        <v>25</v>
      </c>
      <c r="P27" s="4" t="s">
        <v>33</v>
      </c>
    </row>
    <row r="28" spans="1:16" ht="54" customHeight="1" x14ac:dyDescent="0.25">
      <c r="A28" s="1" t="s">
        <v>74</v>
      </c>
      <c r="B28" s="1" t="s">
        <v>70</v>
      </c>
      <c r="C28" s="4" t="s">
        <v>75</v>
      </c>
      <c r="D28" s="1">
        <v>3</v>
      </c>
      <c r="E28" s="1">
        <v>480</v>
      </c>
      <c r="F28" s="1">
        <v>80</v>
      </c>
      <c r="G28" s="1">
        <v>15</v>
      </c>
      <c r="H28" s="5">
        <f t="shared" si="0"/>
        <v>0.1152</v>
      </c>
      <c r="I28" s="12" t="s">
        <v>24</v>
      </c>
      <c r="J28" s="12" t="s">
        <v>24</v>
      </c>
      <c r="K28" s="12" t="s">
        <v>24</v>
      </c>
      <c r="L28" s="12" t="s">
        <v>24</v>
      </c>
      <c r="M28" s="6">
        <f t="shared" si="1"/>
        <v>479.1</v>
      </c>
      <c r="N28" s="6">
        <f t="shared" si="2"/>
        <v>79.099999999999994</v>
      </c>
      <c r="O28" s="7" t="s">
        <v>25</v>
      </c>
      <c r="P28" s="4" t="s">
        <v>33</v>
      </c>
    </row>
    <row r="29" spans="1:16" ht="54" customHeight="1" x14ac:dyDescent="0.25">
      <c r="A29" s="1" t="s">
        <v>76</v>
      </c>
      <c r="B29" s="1" t="s">
        <v>77</v>
      </c>
      <c r="C29" s="4" t="s">
        <v>78</v>
      </c>
      <c r="D29" s="1">
        <v>2</v>
      </c>
      <c r="E29" s="1">
        <v>2175</v>
      </c>
      <c r="F29" s="1">
        <v>975</v>
      </c>
      <c r="G29" s="1">
        <v>15</v>
      </c>
      <c r="H29" s="5">
        <f t="shared" si="0"/>
        <v>4.24125</v>
      </c>
      <c r="I29" s="12" t="s">
        <v>22</v>
      </c>
      <c r="J29" s="12" t="s">
        <v>22</v>
      </c>
      <c r="K29" s="12" t="s">
        <v>22</v>
      </c>
      <c r="L29" s="12" t="s">
        <v>22</v>
      </c>
      <c r="M29" s="6">
        <f t="shared" si="1"/>
        <v>2171</v>
      </c>
      <c r="N29" s="6">
        <f t="shared" si="2"/>
        <v>971</v>
      </c>
      <c r="O29" s="7" t="s">
        <v>79</v>
      </c>
      <c r="P29" s="4" t="s">
        <v>80</v>
      </c>
    </row>
    <row r="30" spans="1:16" ht="54" customHeight="1" x14ac:dyDescent="0.25">
      <c r="A30" s="1" t="s">
        <v>81</v>
      </c>
      <c r="B30" s="1" t="s">
        <v>20</v>
      </c>
      <c r="C30" s="4" t="s">
        <v>82</v>
      </c>
      <c r="D30" s="1">
        <v>1</v>
      </c>
      <c r="E30" s="1">
        <v>1950</v>
      </c>
      <c r="F30" s="1">
        <v>120</v>
      </c>
      <c r="G30" s="1">
        <v>15</v>
      </c>
      <c r="H30" s="5">
        <f t="shared" si="0"/>
        <v>0.23400000000000001</v>
      </c>
      <c r="I30" s="12" t="s">
        <v>22</v>
      </c>
      <c r="J30" s="12" t="s">
        <v>24</v>
      </c>
      <c r="K30" s="12" t="s">
        <v>22</v>
      </c>
      <c r="L30" s="12" t="s">
        <v>22</v>
      </c>
      <c r="M30" s="6">
        <f t="shared" si="1"/>
        <v>1946</v>
      </c>
      <c r="N30" s="6">
        <f t="shared" si="2"/>
        <v>117.55</v>
      </c>
      <c r="O30" s="7" t="s">
        <v>25</v>
      </c>
      <c r="P30" s="4" t="s">
        <v>83</v>
      </c>
    </row>
    <row r="31" spans="1:16" ht="15" customHeight="1" x14ac:dyDescent="0.25">
      <c r="A31" s="1"/>
      <c r="B31" s="1"/>
      <c r="C31" s="1"/>
      <c r="D31" s="1"/>
      <c r="E31" s="1"/>
      <c r="F31" s="1"/>
      <c r="G31" s="1"/>
      <c r="H31" s="5"/>
      <c r="I31" s="1"/>
      <c r="J31" s="1"/>
      <c r="K31" s="1"/>
      <c r="L31" s="1"/>
      <c r="M31" s="1"/>
      <c r="N31" s="1"/>
      <c r="O31" s="1"/>
      <c r="P31" s="1"/>
    </row>
    <row r="32" spans="1:16" ht="15" customHeight="1" x14ac:dyDescent="0.25">
      <c r="A32" s="1"/>
      <c r="B32" s="1"/>
      <c r="C32" s="1" t="s">
        <v>84</v>
      </c>
      <c r="D32" s="1">
        <f>SUM(D7:D30)</f>
        <v>44</v>
      </c>
      <c r="E32" s="1"/>
      <c r="F32" s="1"/>
      <c r="G32" s="1" t="s">
        <v>85</v>
      </c>
      <c r="H32" s="5">
        <f>SUM(H7:H30)</f>
        <v>18.996420000000001</v>
      </c>
      <c r="I32" s="1"/>
      <c r="J32" s="1"/>
      <c r="K32" s="1"/>
      <c r="L32" s="1"/>
      <c r="M32" s="1"/>
      <c r="N32" s="1"/>
      <c r="O32" s="1"/>
      <c r="P32" s="1"/>
    </row>
    <row r="33" spans="1:16" ht="15" customHeight="1" x14ac:dyDescent="0.25">
      <c r="A33" s="1" t="s">
        <v>86</v>
      </c>
      <c r="B33" s="1"/>
      <c r="C33" s="1"/>
      <c r="D33" s="1"/>
      <c r="E33" s="1"/>
      <c r="F33" s="1"/>
      <c r="G33" s="1"/>
      <c r="H33" s="1"/>
      <c r="I33" s="1"/>
      <c r="J33" s="1"/>
      <c r="K33" s="1"/>
      <c r="L33" s="1"/>
      <c r="M33" s="1"/>
      <c r="N33" s="1"/>
      <c r="O33" s="1"/>
      <c r="P33" s="1"/>
    </row>
    <row r="34" spans="1:16" ht="15" customHeight="1" x14ac:dyDescent="0.25">
      <c r="A34" s="1"/>
      <c r="B34" s="1"/>
      <c r="C34" s="1"/>
      <c r="D34" s="1"/>
      <c r="E34" s="1"/>
      <c r="F34" s="1"/>
      <c r="G34" s="1"/>
      <c r="H34" s="1"/>
      <c r="I34" s="1"/>
      <c r="J34" s="1"/>
      <c r="K34" s="1"/>
      <c r="L34" s="1"/>
      <c r="M34" s="1"/>
      <c r="N34" s="1"/>
      <c r="O34" s="1"/>
      <c r="P3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7"/>
  <sheetViews>
    <sheetView workbookViewId="0">
      <pane ySplit="6" topLeftCell="A7" activePane="bottomLeft" state="frozen"/>
      <selection pane="bottomLeft"/>
    </sheetView>
  </sheetViews>
  <sheetFormatPr baseColWidth="10" defaultRowHeight="13.2" x14ac:dyDescent="0.25"/>
  <cols>
    <col min="1" max="1" width="9.77734375" customWidth="1"/>
    <col min="2" max="2" width="22.77734375" customWidth="1"/>
    <col min="3" max="3" width="38.77734375" customWidth="1"/>
    <col min="4" max="4" width="24.77734375" customWidth="1"/>
    <col min="5" max="5" width="6.77734375" customWidth="1"/>
    <col min="6" max="7" width="11.77734375" customWidth="1"/>
    <col min="8" max="11" width="7.77734375" customWidth="1"/>
    <col min="12" max="12" width="11.77734375" customWidth="1"/>
    <col min="13" max="13" width="14.77734375" customWidth="1"/>
    <col min="14" max="14" width="46.77734375" customWidth="1"/>
    <col min="16" max="16" width="48.77734375" customWidth="1"/>
    <col min="17" max="17" width="8.77734375" customWidth="1"/>
    <col min="19" max="19" width="10.77734375" customWidth="1"/>
    <col min="20" max="20" width="60.77734375" customWidth="1"/>
  </cols>
  <sheetData>
    <row r="1" spans="1:20" x14ac:dyDescent="0.25">
      <c r="S1" s="14" t="s">
        <v>87</v>
      </c>
    </row>
    <row r="2" spans="1:20" ht="17.399999999999999" x14ac:dyDescent="0.3">
      <c r="A2" s="15" t="s">
        <v>88</v>
      </c>
      <c r="P2" s="17" t="s">
        <v>89</v>
      </c>
      <c r="Q2" s="18" t="s">
        <v>235</v>
      </c>
      <c r="S2" s="14" t="s">
        <v>19</v>
      </c>
      <c r="T2" s="14" t="s">
        <v>90</v>
      </c>
    </row>
    <row r="3" spans="1:20" x14ac:dyDescent="0.25">
      <c r="A3" s="14" t="s">
        <v>236</v>
      </c>
      <c r="P3" s="17" t="s">
        <v>237</v>
      </c>
      <c r="Q3" s="26">
        <v>100</v>
      </c>
      <c r="S3" s="14" t="s">
        <v>56</v>
      </c>
      <c r="T3" s="14" t="s">
        <v>91</v>
      </c>
    </row>
    <row r="4" spans="1:20" x14ac:dyDescent="0.25">
      <c r="A4" s="14" t="s">
        <v>238</v>
      </c>
      <c r="P4" s="17" t="s">
        <v>239</v>
      </c>
      <c r="Q4" s="26">
        <v>250</v>
      </c>
      <c r="S4" s="14" t="s">
        <v>76</v>
      </c>
      <c r="T4" s="14" t="s">
        <v>92</v>
      </c>
    </row>
    <row r="5" spans="1:20" x14ac:dyDescent="0.25">
      <c r="P5" s="17" t="s">
        <v>93</v>
      </c>
    </row>
    <row r="6" spans="1:20" ht="26.4" x14ac:dyDescent="0.25">
      <c r="A6" s="19" t="s">
        <v>3</v>
      </c>
      <c r="B6" s="19" t="s">
        <v>94</v>
      </c>
      <c r="C6" s="19" t="s">
        <v>5</v>
      </c>
      <c r="D6" s="19" t="s">
        <v>95</v>
      </c>
      <c r="E6" s="19" t="s">
        <v>6</v>
      </c>
      <c r="F6" s="19" t="s">
        <v>96</v>
      </c>
      <c r="G6" s="19" t="s">
        <v>97</v>
      </c>
      <c r="H6" s="19" t="s">
        <v>98</v>
      </c>
      <c r="I6" s="19" t="s">
        <v>99</v>
      </c>
      <c r="J6" s="19" t="s">
        <v>100</v>
      </c>
      <c r="K6" s="19" t="s">
        <v>101</v>
      </c>
      <c r="L6" s="19" t="s">
        <v>102</v>
      </c>
      <c r="M6" s="19" t="s">
        <v>103</v>
      </c>
      <c r="N6" s="19" t="s">
        <v>104</v>
      </c>
    </row>
    <row r="7" spans="1:20" x14ac:dyDescent="0.25">
      <c r="A7" s="20" t="str">
        <f>Despiece!A7</f>
        <v>C3-001</v>
      </c>
      <c r="B7" s="20" t="str">
        <f>Despiece!B7</f>
        <v>EST</v>
      </c>
      <c r="C7" s="20" t="str">
        <f>Despiece!C7</f>
        <v>Lateral exterior</v>
      </c>
      <c r="D7" s="20" t="str">
        <f>"RH15 Cartagena "&amp;Despiece!G7&amp;" mm"</f>
        <v>RH15 Cartagena 15 mm</v>
      </c>
      <c r="E7" s="20">
        <f>Despiece!D7</f>
        <v>2</v>
      </c>
      <c r="F7" s="31">
        <f>IF($Q$2="NO",ROUND(Despiece!M7,2),Despiece!E7)</f>
        <v>2280</v>
      </c>
      <c r="G7" s="31">
        <f>IF($Q$2="NO",ROUND(Despiece!N7,2),Despiece!F7)</f>
        <v>560</v>
      </c>
      <c r="H7" s="21" t="str">
        <f>IF(Despiece!I7="2","R",IF(Despiece!I7="0.45","F","—"))</f>
        <v>R</v>
      </c>
      <c r="I7" s="21" t="str">
        <f>IF(Despiece!J7="2","R",IF(Despiece!J7="0.45","F","—"))</f>
        <v>—</v>
      </c>
      <c r="J7" s="21" t="str">
        <f>IF(Despiece!K7="2","R",IF(Despiece!K7="0.45","F","—"))</f>
        <v>F</v>
      </c>
      <c r="K7" s="21" t="str">
        <f>IF(Despiece!L7="2","R",IF(Despiece!L7="0.45","F","—"))</f>
        <v>F</v>
      </c>
      <c r="L7" s="21" t="str">
        <f>IF(SUMPRODUCT((Despiece!I7:L7="2")+(Despiece!I7:L7="0.45"))=0,"Sin canto",IF(OR(MIN(Despiece!M7,Despiece!N7)&lt;$Q$3,MAX(Despiece!M7,Despiece!N7)&lt;$Q$4),"Pequeña","Normal"))</f>
        <v>Normal</v>
      </c>
      <c r="M7" s="20" t="str">
        <f>Despiece!E7&amp;" × "&amp;Despiece!F7</f>
        <v>2280 × 560</v>
      </c>
      <c r="N7" s="22" t="str">
        <f>IF(LEN(TRIM(IF($L7="Pequeña","Si no la cantean: cortar a "&amp;ROUND(Despiece!M7,2)&amp;" × "&amp;ROUND(Despiece!N7,2)&amp;" y cantear en el armado.","")&amp;" "&amp;IFERROR(VLOOKUP(Despiece!A7,$S$2:$T$40,2,FALSE),"")))=0,"—",TRIM(IF($L7="Pequeña","Si no la cantean: cortar a "&amp;ROUND(Despiece!M7,2)&amp;" × "&amp;ROUND(Despiece!N7,2)&amp;" y cantear en el armado.","")&amp;" "&amp;IFERROR(VLOOKUP(Despiece!A7,$S$2:$T$40,2,FALSE),"")))</f>
        <v>Rebaje superior para el listón de pino 4 × 4 en taller.</v>
      </c>
    </row>
    <row r="8" spans="1:20" x14ac:dyDescent="0.25">
      <c r="A8" s="20" t="str">
        <f>Despiece!A8</f>
        <v>C3-002</v>
      </c>
      <c r="B8" s="20" t="str">
        <f>Despiece!B8</f>
        <v>EST</v>
      </c>
      <c r="C8" s="20" t="str">
        <f>Despiece!C8</f>
        <v>Divisor central</v>
      </c>
      <c r="D8" s="20" t="str">
        <f>"RH15 Cartagena "&amp;Despiece!G8&amp;" mm"</f>
        <v>RH15 Cartagena 15 mm</v>
      </c>
      <c r="E8" s="20">
        <f>Despiece!D8</f>
        <v>1</v>
      </c>
      <c r="F8" s="31">
        <f>IF($Q$2="NO",ROUND(Despiece!M8,2),Despiece!E8)</f>
        <v>2280</v>
      </c>
      <c r="G8" s="31">
        <f>IF($Q$2="NO",ROUND(Despiece!N8,2),Despiece!F8)</f>
        <v>490</v>
      </c>
      <c r="H8" s="21" t="str">
        <f>IF(Despiece!I8="2","R",IF(Despiece!I8="0.45","F","—"))</f>
        <v>R</v>
      </c>
      <c r="I8" s="21" t="str">
        <f>IF(Despiece!J8="2","R",IF(Despiece!J8="0.45","F","—"))</f>
        <v>—</v>
      </c>
      <c r="J8" s="21" t="str">
        <f>IF(Despiece!K8="2","R",IF(Despiece!K8="0.45","F","—"))</f>
        <v>F</v>
      </c>
      <c r="K8" s="21" t="str">
        <f>IF(Despiece!L8="2","R",IF(Despiece!L8="0.45","F","—"))</f>
        <v>—</v>
      </c>
      <c r="L8" s="21" t="str">
        <f>IF(SUMPRODUCT((Despiece!I8:L8="2")+(Despiece!I8:L8="0.45"))=0,"Sin canto",IF(OR(MIN(Despiece!M8,Despiece!N8)&lt;$Q$3,MAX(Despiece!M8,Despiece!N8)&lt;$Q$4),"Pequeña","Normal"))</f>
        <v>Normal</v>
      </c>
      <c r="M8" s="20" t="str">
        <f>Despiece!E8&amp;" × "&amp;Despiece!F8</f>
        <v>2280 × 490</v>
      </c>
      <c r="N8" s="22" t="str">
        <f>IF(LEN(TRIM(IF($L8="Pequeña","Si no la cantean: cortar a "&amp;ROUND(Despiece!M8,2)&amp;" × "&amp;ROUND(Despiece!N8,2)&amp;" y cantear en el armado.","")&amp;" "&amp;IFERROR(VLOOKUP(Despiece!A8,$S$2:$T$40,2,FALSE),"")))=0,"—",TRIM(IF($L8="Pequeña","Si no la cantean: cortar a "&amp;ROUND(Despiece!M8,2)&amp;" × "&amp;ROUND(Despiece!N8,2)&amp;" y cantear en el armado.","")&amp;" "&amp;IFERROR(VLOOKUP(Despiece!A8,$S$2:$T$40,2,FALSE),"")))</f>
        <v>—</v>
      </c>
    </row>
    <row r="9" spans="1:20" x14ac:dyDescent="0.25">
      <c r="A9" s="20" t="str">
        <f>Despiece!A9</f>
        <v>C3-003</v>
      </c>
      <c r="B9" s="20" t="str">
        <f>Despiece!B9</f>
        <v>B1</v>
      </c>
      <c r="C9" s="20" t="str">
        <f>Despiece!C9</f>
        <v>Piso sobre base</v>
      </c>
      <c r="D9" s="20" t="str">
        <f>"RH15 Cartagena "&amp;Despiece!G9&amp;" mm"</f>
        <v>RH15 Cartagena 15 mm</v>
      </c>
      <c r="E9" s="20">
        <f>Despiece!D9</f>
        <v>1</v>
      </c>
      <c r="F9" s="31">
        <f>IF($Q$2="NO",ROUND(Despiece!M9,2),Despiece!E9)</f>
        <v>830</v>
      </c>
      <c r="G9" s="31">
        <f>IF($Q$2="NO",ROUND(Despiece!N9,2),Despiece!F9)</f>
        <v>560</v>
      </c>
      <c r="H9" s="21" t="str">
        <f>IF(Despiece!I9="2","R",IF(Despiece!I9="0.45","F","—"))</f>
        <v>R</v>
      </c>
      <c r="I9" s="21" t="str">
        <f>IF(Despiece!J9="2","R",IF(Despiece!J9="0.45","F","—"))</f>
        <v>—</v>
      </c>
      <c r="J9" s="21" t="str">
        <f>IF(Despiece!K9="2","R",IF(Despiece!K9="0.45","F","—"))</f>
        <v>F</v>
      </c>
      <c r="K9" s="21" t="str">
        <f>IF(Despiece!L9="2","R",IF(Despiece!L9="0.45","F","—"))</f>
        <v>—</v>
      </c>
      <c r="L9" s="21" t="str">
        <f>IF(SUMPRODUCT((Despiece!I9:L9="2")+(Despiece!I9:L9="0.45"))=0,"Sin canto",IF(OR(MIN(Despiece!M9,Despiece!N9)&lt;$Q$3,MAX(Despiece!M9,Despiece!N9)&lt;$Q$4),"Pequeña","Normal"))</f>
        <v>Normal</v>
      </c>
      <c r="M9" s="20" t="str">
        <f>Despiece!E9&amp;" × "&amp;Despiece!F9</f>
        <v>830 × 560</v>
      </c>
      <c r="N9" s="22" t="str">
        <f>IF(LEN(TRIM(IF($L9="Pequeña","Si no la cantean: cortar a "&amp;ROUND(Despiece!M9,2)&amp;" × "&amp;ROUND(Despiece!N9,2)&amp;" y cantear en el armado.","")&amp;" "&amp;IFERROR(VLOOKUP(Despiece!A9,$S$2:$T$40,2,FALSE),"")))=0,"—",TRIM(IF($L9="Pequeña","Si no la cantean: cortar a "&amp;ROUND(Despiece!M9,2)&amp;" × "&amp;ROUND(Despiece!N9,2)&amp;" y cantear en el armado.","")&amp;" "&amp;IFERROR(VLOOKUP(Despiece!A9,$S$2:$T$40,2,FALSE),"")))</f>
        <v>—</v>
      </c>
    </row>
    <row r="10" spans="1:20" x14ac:dyDescent="0.25">
      <c r="A10" s="20" t="str">
        <f>Despiece!A10</f>
        <v>C3-004</v>
      </c>
      <c r="B10" s="20" t="str">
        <f>Despiece!B10</f>
        <v>B1</v>
      </c>
      <c r="C10" s="20" t="str">
        <f>Despiece!C10</f>
        <v>Tapa superior</v>
      </c>
      <c r="D10" s="20" t="str">
        <f>"RH15 Cartagena "&amp;Despiece!G10&amp;" mm"</f>
        <v>RH15 Cartagena 15 mm</v>
      </c>
      <c r="E10" s="20">
        <f>Despiece!D10</f>
        <v>1</v>
      </c>
      <c r="F10" s="31">
        <f>IF($Q$2="NO",ROUND(Despiece!M10,2),Despiece!E10)</f>
        <v>830</v>
      </c>
      <c r="G10" s="31">
        <f>IF($Q$2="NO",ROUND(Despiece!N10,2),Despiece!F10)</f>
        <v>505</v>
      </c>
      <c r="H10" s="21" t="str">
        <f>IF(Despiece!I10="2","R",IF(Despiece!I10="0.45","F","—"))</f>
        <v>F</v>
      </c>
      <c r="I10" s="21" t="str">
        <f>IF(Despiece!J10="2","R",IF(Despiece!J10="0.45","F","—"))</f>
        <v>—</v>
      </c>
      <c r="J10" s="21" t="str">
        <f>IF(Despiece!K10="2","R",IF(Despiece!K10="0.45","F","—"))</f>
        <v>—</v>
      </c>
      <c r="K10" s="21" t="str">
        <f>IF(Despiece!L10="2","R",IF(Despiece!L10="0.45","F","—"))</f>
        <v>—</v>
      </c>
      <c r="L10" s="21" t="str">
        <f>IF(SUMPRODUCT((Despiece!I10:L10="2")+(Despiece!I10:L10="0.45"))=0,"Sin canto",IF(OR(MIN(Despiece!M10,Despiece!N10)&lt;$Q$3,MAX(Despiece!M10,Despiece!N10)&lt;$Q$4),"Pequeña","Normal"))</f>
        <v>Normal</v>
      </c>
      <c r="M10" s="20" t="str">
        <f>Despiece!E10&amp;" × "&amp;Despiece!F10</f>
        <v>830 × 505</v>
      </c>
      <c r="N10" s="22" t="str">
        <f>IF(LEN(TRIM(IF($L10="Pequeña","Si no la cantean: cortar a "&amp;ROUND(Despiece!M10,2)&amp;" × "&amp;ROUND(Despiece!N10,2)&amp;" y cantear en el armado.","")&amp;" "&amp;IFERROR(VLOOKUP(Despiece!A10,$S$2:$T$40,2,FALSE),"")))=0,"—",TRIM(IF($L10="Pequeña","Si no la cantean: cortar a "&amp;ROUND(Despiece!M10,2)&amp;" × "&amp;ROUND(Despiece!N10,2)&amp;" y cantear en el armado.","")&amp;" "&amp;IFERROR(VLOOKUP(Despiece!A10,$S$2:$T$40,2,FALSE),"")))</f>
        <v>—</v>
      </c>
    </row>
    <row r="11" spans="1:20" x14ac:dyDescent="0.25">
      <c r="A11" s="20" t="str">
        <f>Despiece!A11</f>
        <v>C3-005</v>
      </c>
      <c r="B11" s="20" t="str">
        <f>Despiece!B11</f>
        <v>B1</v>
      </c>
      <c r="C11" s="20" t="str">
        <f>Despiece!C11</f>
        <v>Fondo RH15</v>
      </c>
      <c r="D11" s="20" t="str">
        <f>"RH15 Cartagena "&amp;Despiece!G11&amp;" mm"</f>
        <v>RH15 Cartagena 15 mm</v>
      </c>
      <c r="E11" s="20">
        <f>Despiece!D11</f>
        <v>1</v>
      </c>
      <c r="F11" s="31">
        <f>IF($Q$2="NO",ROUND(Despiece!M11,2),Despiece!E11)</f>
        <v>2250</v>
      </c>
      <c r="G11" s="31">
        <f>IF($Q$2="NO",ROUND(Despiece!N11,2),Despiece!F11)</f>
        <v>830</v>
      </c>
      <c r="H11" s="21" t="str">
        <f>IF(Despiece!I11="2","R",IF(Despiece!I11="0.45","F","—"))</f>
        <v>—</v>
      </c>
      <c r="I11" s="21" t="str">
        <f>IF(Despiece!J11="2","R",IF(Despiece!J11="0.45","F","—"))</f>
        <v>—</v>
      </c>
      <c r="J11" s="21" t="str">
        <f>IF(Despiece!K11="2","R",IF(Despiece!K11="0.45","F","—"))</f>
        <v>—</v>
      </c>
      <c r="K11" s="21" t="str">
        <f>IF(Despiece!L11="2","R",IF(Despiece!L11="0.45","F","—"))</f>
        <v>—</v>
      </c>
      <c r="L11" s="21" t="str">
        <f>IF(SUMPRODUCT((Despiece!I11:L11="2")+(Despiece!I11:L11="0.45"))=0,"Sin canto",IF(OR(MIN(Despiece!M11,Despiece!N11)&lt;$Q$3,MAX(Despiece!M11,Despiece!N11)&lt;$Q$4),"Pequeña","Normal"))</f>
        <v>Sin canto</v>
      </c>
      <c r="M11" s="20" t="str">
        <f>Despiece!E11&amp;" × "&amp;Despiece!F11</f>
        <v>2250 × 830</v>
      </c>
      <c r="N11" s="22" t="str">
        <f>IF(LEN(TRIM(IF($L11="Pequeña","Si no la cantean: cortar a "&amp;ROUND(Despiece!M11,2)&amp;" × "&amp;ROUND(Despiece!N11,2)&amp;" y cantear en el armado.","")&amp;" "&amp;IFERROR(VLOOKUP(Despiece!A11,$S$2:$T$40,2,FALSE),"")))=0,"—",TRIM(IF($L11="Pequeña","Si no la cantean: cortar a "&amp;ROUND(Despiece!M11,2)&amp;" × "&amp;ROUND(Despiece!N11,2)&amp;" y cantear en el armado.","")&amp;" "&amp;IFERROR(VLOOKUP(Despiece!A11,$S$2:$T$40,2,FALSE),"")))</f>
        <v>—</v>
      </c>
    </row>
    <row r="12" spans="1:20" x14ac:dyDescent="0.25">
      <c r="A12" s="20" t="str">
        <f>Despiece!A12</f>
        <v>C3-006</v>
      </c>
      <c r="B12" s="20" t="str">
        <f>Despiece!B12</f>
        <v>B1</v>
      </c>
      <c r="C12" s="20" t="str">
        <f>Despiece!C12</f>
        <v>Piso de maletero</v>
      </c>
      <c r="D12" s="20" t="str">
        <f>"RH15 Cartagena "&amp;Despiece!G12&amp;" mm"</f>
        <v>RH15 Cartagena 15 mm</v>
      </c>
      <c r="E12" s="20">
        <f>Despiece!D12</f>
        <v>1</v>
      </c>
      <c r="F12" s="31">
        <f>IF($Q$2="NO",ROUND(Despiece!M12,2),Despiece!E12)</f>
        <v>830</v>
      </c>
      <c r="G12" s="31">
        <f>IF($Q$2="NO",ROUND(Despiece!N12,2),Despiece!F12)</f>
        <v>475</v>
      </c>
      <c r="H12" s="21" t="str">
        <f>IF(Despiece!I12="2","R",IF(Despiece!I12="0.45","F","—"))</f>
        <v>R</v>
      </c>
      <c r="I12" s="21" t="str">
        <f>IF(Despiece!J12="2","R",IF(Despiece!J12="0.45","F","—"))</f>
        <v>—</v>
      </c>
      <c r="J12" s="21" t="str">
        <f>IF(Despiece!K12="2","R",IF(Despiece!K12="0.45","F","—"))</f>
        <v>—</v>
      </c>
      <c r="K12" s="21" t="str">
        <f>IF(Despiece!L12="2","R",IF(Despiece!L12="0.45","F","—"))</f>
        <v>—</v>
      </c>
      <c r="L12" s="21" t="str">
        <f>IF(SUMPRODUCT((Despiece!I12:L12="2")+(Despiece!I12:L12="0.45"))=0,"Sin canto",IF(OR(MIN(Despiece!M12,Despiece!N12)&lt;$Q$3,MAX(Despiece!M12,Despiece!N12)&lt;$Q$4),"Pequeña","Normal"))</f>
        <v>Normal</v>
      </c>
      <c r="M12" s="20" t="str">
        <f>Despiece!E12&amp;" × "&amp;Despiece!F12</f>
        <v>830 × 475</v>
      </c>
      <c r="N12" s="22" t="str">
        <f>IF(LEN(TRIM(IF($L12="Pequeña","Si no la cantean: cortar a "&amp;ROUND(Despiece!M12,2)&amp;" × "&amp;ROUND(Despiece!N12,2)&amp;" y cantear en el armado.","")&amp;" "&amp;IFERROR(VLOOKUP(Despiece!A12,$S$2:$T$40,2,FALSE),"")))=0,"—",TRIM(IF($L12="Pequeña","Si no la cantean: cortar a "&amp;ROUND(Despiece!M12,2)&amp;" × "&amp;ROUND(Despiece!N12,2)&amp;" y cantear en el armado.","")&amp;" "&amp;IFERROR(VLOOKUP(Despiece!A12,$S$2:$T$40,2,FALSE),"")))</f>
        <v>—</v>
      </c>
    </row>
    <row r="13" spans="1:20" ht="26.4" x14ac:dyDescent="0.25">
      <c r="A13" s="20" t="str">
        <f>Despiece!A13</f>
        <v>C3-007</v>
      </c>
      <c r="B13" s="20" t="str">
        <f>Despiece!B13</f>
        <v>B1</v>
      </c>
      <c r="C13" s="20" t="str">
        <f>Despiece!C13</f>
        <v>Refuerzo frontal de maletero</v>
      </c>
      <c r="D13" s="20" t="str">
        <f>"RH15 Cartagena "&amp;Despiece!G13&amp;" mm"</f>
        <v>RH15 Cartagena 15 mm</v>
      </c>
      <c r="E13" s="20">
        <f>Despiece!D13</f>
        <v>1</v>
      </c>
      <c r="F13" s="31">
        <f>IF($Q$2="NO",ROUND(Despiece!M13,2),Despiece!E13)</f>
        <v>830</v>
      </c>
      <c r="G13" s="31">
        <f>IF($Q$2="NO",ROUND(Despiece!N13,2),Despiece!F13)</f>
        <v>80</v>
      </c>
      <c r="H13" s="21" t="str">
        <f>IF(Despiece!I13="2","R",IF(Despiece!I13="0.45","F","—"))</f>
        <v>F</v>
      </c>
      <c r="I13" s="21" t="str">
        <f>IF(Despiece!J13="2","R",IF(Despiece!J13="0.45","F","—"))</f>
        <v>—</v>
      </c>
      <c r="J13" s="21" t="str">
        <f>IF(Despiece!K13="2","R",IF(Despiece!K13="0.45","F","—"))</f>
        <v>—</v>
      </c>
      <c r="K13" s="21" t="str">
        <f>IF(Despiece!L13="2","R",IF(Despiece!L13="0.45","F","—"))</f>
        <v>—</v>
      </c>
      <c r="L13" s="21" t="str">
        <f>IF(SUMPRODUCT((Despiece!I13:L13="2")+(Despiece!I13:L13="0.45"))=0,"Sin canto",IF(OR(MIN(Despiece!M13,Despiece!N13)&lt;$Q$3,MAX(Despiece!M13,Despiece!N13)&lt;$Q$4),"Pequeña","Normal"))</f>
        <v>Pequeña</v>
      </c>
      <c r="M13" s="20" t="str">
        <f>Despiece!E13&amp;" × "&amp;Despiece!F13</f>
        <v>830 × 80</v>
      </c>
      <c r="N13" s="22" t="str">
        <f>IF(LEN(TRIM(IF($L13="Pequeña","Si no la cantean: cortar a "&amp;ROUND(Despiece!M13,2)&amp;" × "&amp;ROUND(Despiece!N13,2)&amp;" y cantear en el armado.","")&amp;" "&amp;IFERROR(VLOOKUP(Despiece!A13,$S$2:$T$40,2,FALSE),"")))=0,"—",TRIM(IF($L13="Pequeña","Si no la cantean: cortar a "&amp;ROUND(Despiece!M13,2)&amp;" × "&amp;ROUND(Despiece!N13,2)&amp;" y cantear en el armado.","")&amp;" "&amp;IFERROR(VLOOKUP(Despiece!A13,$S$2:$T$40,2,FALSE),"")))</f>
        <v>Si no la cantean: cortar a 830 × 79,55 y cantear en el armado.</v>
      </c>
    </row>
    <row r="14" spans="1:20" ht="88.05" customHeight="1" x14ac:dyDescent="0.25">
      <c r="A14" s="20" t="str">
        <f>Despiece!A14</f>
        <v>C3-008</v>
      </c>
      <c r="B14" s="20" t="str">
        <f>Despiece!B14</f>
        <v>B1</v>
      </c>
      <c r="C14" s="20" t="str">
        <f>Despiece!C14</f>
        <v>Refuerzo trasero de maletero</v>
      </c>
      <c r="D14" s="20" t="str">
        <f>"RH15 Cartagena "&amp;Despiece!G14&amp;" mm"</f>
        <v>RH15 Cartagena 15 mm</v>
      </c>
      <c r="E14" s="20">
        <f>Despiece!D14</f>
        <v>1</v>
      </c>
      <c r="F14" s="31">
        <f>IF($Q$2="NO",ROUND(Despiece!M14,2),Despiece!E14)</f>
        <v>830</v>
      </c>
      <c r="G14" s="31">
        <f>IF($Q$2="NO",ROUND(Despiece!N14,2),Despiece!F14)</f>
        <v>100</v>
      </c>
      <c r="H14" s="21" t="str">
        <f>IF(Despiece!I14="2","R",IF(Despiece!I14="0.45","F","—"))</f>
        <v>F</v>
      </c>
      <c r="I14" s="21" t="str">
        <f>IF(Despiece!J14="2","R",IF(Despiece!J14="0.45","F","—"))</f>
        <v>—</v>
      </c>
      <c r="J14" s="21" t="str">
        <f>IF(Despiece!K14="2","R",IF(Despiece!K14="0.45","F","—"))</f>
        <v>—</v>
      </c>
      <c r="K14" s="21" t="str">
        <f>IF(Despiece!L14="2","R",IF(Despiece!L14="0.45","F","—"))</f>
        <v>—</v>
      </c>
      <c r="L14" s="21" t="str">
        <f>IF(SUMPRODUCT((Despiece!I14:L14="2")+(Despiece!I14:L14="0.45"))=0,"Sin canto",IF(OR(MIN(Despiece!M14,Despiece!N14)&lt;$Q$3,MAX(Despiece!M14,Despiece!N14)&lt;$Q$4),"Pequeña","Normal"))</f>
        <v>Pequeña</v>
      </c>
      <c r="M14" s="20" t="str">
        <f>Despiece!E14&amp;" × "&amp;Despiece!F14</f>
        <v>830 × 100</v>
      </c>
      <c r="N14" s="22" t="str">
        <f>IF(LEN(TRIM(IF($L14="Pequeña","Si no la cantean: cortar a "&amp;ROUND(Despiece!M14,2)&amp;" × "&amp;ROUND(Despiece!N14,2)&amp;" y cantear en el armado.","")&amp;" "&amp;IFERROR(VLOOKUP(Despiece!A14,$S$2:$T$40,2,FALSE),"")))=0,"—",TRIM(IF($L14="Pequeña","Si no la cantean: cortar a "&amp;ROUND(Despiece!M14,2)&amp;" × "&amp;ROUND(Despiece!N14,2)&amp;" y cantear en el armado.","")&amp;" "&amp;IFERROR(VLOOKUP(Despiece!A14,$S$2:$T$40,2,FALSE),"")))</f>
        <v>Si no la cantean: cortar a 830 × 99,55 y cantear en el armado.</v>
      </c>
    </row>
    <row r="15" spans="1:20" x14ac:dyDescent="0.25">
      <c r="A15" s="20" t="str">
        <f>Despiece!A15</f>
        <v>C3-009</v>
      </c>
      <c r="B15" s="20" t="str">
        <f>Despiece!B15</f>
        <v>B2</v>
      </c>
      <c r="C15" s="20" t="str">
        <f>Despiece!C15</f>
        <v>Piso sobre base</v>
      </c>
      <c r="D15" s="20" t="str">
        <f>"RH15 Cartagena "&amp;Despiece!G15&amp;" mm"</f>
        <v>RH15 Cartagena 15 mm</v>
      </c>
      <c r="E15" s="20">
        <f>Despiece!D15</f>
        <v>1</v>
      </c>
      <c r="F15" s="31">
        <f>IF($Q$2="NO",ROUND(Despiece!M15,2),Despiece!E15)</f>
        <v>1075</v>
      </c>
      <c r="G15" s="31">
        <f>IF($Q$2="NO",ROUND(Despiece!N15,2),Despiece!F15)</f>
        <v>560</v>
      </c>
      <c r="H15" s="21" t="str">
        <f>IF(Despiece!I15="2","R",IF(Despiece!I15="0.45","F","—"))</f>
        <v>R</v>
      </c>
      <c r="I15" s="21" t="str">
        <f>IF(Despiece!J15="2","R",IF(Despiece!J15="0.45","F","—"))</f>
        <v>—</v>
      </c>
      <c r="J15" s="21" t="str">
        <f>IF(Despiece!K15="2","R",IF(Despiece!K15="0.45","F","—"))</f>
        <v>F</v>
      </c>
      <c r="K15" s="21" t="str">
        <f>IF(Despiece!L15="2","R",IF(Despiece!L15="0.45","F","—"))</f>
        <v>—</v>
      </c>
      <c r="L15" s="21" t="str">
        <f>IF(SUMPRODUCT((Despiece!I15:L15="2")+(Despiece!I15:L15="0.45"))=0,"Sin canto",IF(OR(MIN(Despiece!M15,Despiece!N15)&lt;$Q$3,MAX(Despiece!M15,Despiece!N15)&lt;$Q$4),"Pequeña","Normal"))</f>
        <v>Normal</v>
      </c>
      <c r="M15" s="20" t="str">
        <f>Despiece!E15&amp;" × "&amp;Despiece!F15</f>
        <v>1075 × 560</v>
      </c>
      <c r="N15" s="22" t="str">
        <f>IF(LEN(TRIM(IF($L15="Pequeña","Si no la cantean: cortar a "&amp;ROUND(Despiece!M15,2)&amp;" × "&amp;ROUND(Despiece!N15,2)&amp;" y cantear en el armado.","")&amp;" "&amp;IFERROR(VLOOKUP(Despiece!A15,$S$2:$T$40,2,FALSE),"")))=0,"—",TRIM(IF($L15="Pequeña","Si no la cantean: cortar a "&amp;ROUND(Despiece!M15,2)&amp;" × "&amp;ROUND(Despiece!N15,2)&amp;" y cantear en el armado.","")&amp;" "&amp;IFERROR(VLOOKUP(Despiece!A15,$S$2:$T$40,2,FALSE),"")))</f>
        <v>—</v>
      </c>
    </row>
    <row r="16" spans="1:20" x14ac:dyDescent="0.25">
      <c r="A16" s="20" t="str">
        <f>Despiece!A16</f>
        <v>C3-010</v>
      </c>
      <c r="B16" s="20" t="str">
        <f>Despiece!B16</f>
        <v>B2</v>
      </c>
      <c r="C16" s="20" t="str">
        <f>Despiece!C16</f>
        <v>Tapa superior</v>
      </c>
      <c r="D16" s="20" t="str">
        <f>"RH15 Cartagena "&amp;Despiece!G16&amp;" mm"</f>
        <v>RH15 Cartagena 15 mm</v>
      </c>
      <c r="E16" s="20">
        <f>Despiece!D16</f>
        <v>1</v>
      </c>
      <c r="F16" s="31">
        <f>IF($Q$2="NO",ROUND(Despiece!M16,2),Despiece!E16)</f>
        <v>1075</v>
      </c>
      <c r="G16" s="31">
        <f>IF($Q$2="NO",ROUND(Despiece!N16,2),Despiece!F16)</f>
        <v>505</v>
      </c>
      <c r="H16" s="21" t="str">
        <f>IF(Despiece!I16="2","R",IF(Despiece!I16="0.45","F","—"))</f>
        <v>F</v>
      </c>
      <c r="I16" s="21" t="str">
        <f>IF(Despiece!J16="2","R",IF(Despiece!J16="0.45","F","—"))</f>
        <v>—</v>
      </c>
      <c r="J16" s="21" t="str">
        <f>IF(Despiece!K16="2","R",IF(Despiece!K16="0.45","F","—"))</f>
        <v>—</v>
      </c>
      <c r="K16" s="21" t="str">
        <f>IF(Despiece!L16="2","R",IF(Despiece!L16="0.45","F","—"))</f>
        <v>—</v>
      </c>
      <c r="L16" s="21" t="str">
        <f>IF(SUMPRODUCT((Despiece!I16:L16="2")+(Despiece!I16:L16="0.45"))=0,"Sin canto",IF(OR(MIN(Despiece!M16,Despiece!N16)&lt;$Q$3,MAX(Despiece!M16,Despiece!N16)&lt;$Q$4),"Pequeña","Normal"))</f>
        <v>Normal</v>
      </c>
      <c r="M16" s="20" t="str">
        <f>Despiece!E16&amp;" × "&amp;Despiece!F16</f>
        <v>1075 × 505</v>
      </c>
      <c r="N16" s="22" t="str">
        <f>IF(LEN(TRIM(IF($L16="Pequeña","Si no la cantean: cortar a "&amp;ROUND(Despiece!M16,2)&amp;" × "&amp;ROUND(Despiece!N16,2)&amp;" y cantear en el armado.","")&amp;" "&amp;IFERROR(VLOOKUP(Despiece!A16,$S$2:$T$40,2,FALSE),"")))=0,"—",TRIM(IF($L16="Pequeña","Si no la cantean: cortar a "&amp;ROUND(Despiece!M16,2)&amp;" × "&amp;ROUND(Despiece!N16,2)&amp;" y cantear en el armado.","")&amp;" "&amp;IFERROR(VLOOKUP(Despiece!A16,$S$2:$T$40,2,FALSE),"")))</f>
        <v>—</v>
      </c>
    </row>
    <row r="17" spans="1:14" x14ac:dyDescent="0.25">
      <c r="A17" s="20" t="str">
        <f>Despiece!A17</f>
        <v>C3-011</v>
      </c>
      <c r="B17" s="20" t="str">
        <f>Despiece!B17</f>
        <v>B2</v>
      </c>
      <c r="C17" s="20" t="str">
        <f>Despiece!C17</f>
        <v>Fondo RH15</v>
      </c>
      <c r="D17" s="20" t="str">
        <f>"RH15 Cartagena "&amp;Despiece!G17&amp;" mm"</f>
        <v>RH15 Cartagena 15 mm</v>
      </c>
      <c r="E17" s="20">
        <f>Despiece!D17</f>
        <v>1</v>
      </c>
      <c r="F17" s="31">
        <f>IF($Q$2="NO",ROUND(Despiece!M17,2),Despiece!E17)</f>
        <v>2250</v>
      </c>
      <c r="G17" s="31">
        <f>IF($Q$2="NO",ROUND(Despiece!N17,2),Despiece!F17)</f>
        <v>1075</v>
      </c>
      <c r="H17" s="21" t="str">
        <f>IF(Despiece!I17="2","R",IF(Despiece!I17="0.45","F","—"))</f>
        <v>—</v>
      </c>
      <c r="I17" s="21" t="str">
        <f>IF(Despiece!J17="2","R",IF(Despiece!J17="0.45","F","—"))</f>
        <v>—</v>
      </c>
      <c r="J17" s="21" t="str">
        <f>IF(Despiece!K17="2","R",IF(Despiece!K17="0.45","F","—"))</f>
        <v>—</v>
      </c>
      <c r="K17" s="21" t="str">
        <f>IF(Despiece!L17="2","R",IF(Despiece!L17="0.45","F","—"))</f>
        <v>—</v>
      </c>
      <c r="L17" s="21" t="str">
        <f>IF(SUMPRODUCT((Despiece!I17:L17="2")+(Despiece!I17:L17="0.45"))=0,"Sin canto",IF(OR(MIN(Despiece!M17,Despiece!N17)&lt;$Q$3,MAX(Despiece!M17,Despiece!N17)&lt;$Q$4),"Pequeña","Normal"))</f>
        <v>Sin canto</v>
      </c>
      <c r="M17" s="20" t="str">
        <f>Despiece!E17&amp;" × "&amp;Despiece!F17</f>
        <v>2250 × 1075</v>
      </c>
      <c r="N17" s="22" t="str">
        <f>IF(LEN(TRIM(IF($L17="Pequeña","Si no la cantean: cortar a "&amp;ROUND(Despiece!M17,2)&amp;" × "&amp;ROUND(Despiece!N17,2)&amp;" y cantear en el armado.","")&amp;" "&amp;IFERROR(VLOOKUP(Despiece!A17,$S$2:$T$40,2,FALSE),"")))=0,"—",TRIM(IF($L17="Pequeña","Si no la cantean: cortar a "&amp;ROUND(Despiece!M17,2)&amp;" × "&amp;ROUND(Despiece!N17,2)&amp;" y cantear en el armado.","")&amp;" "&amp;IFERROR(VLOOKUP(Despiece!A17,$S$2:$T$40,2,FALSE),"")))</f>
        <v>—</v>
      </c>
    </row>
    <row r="18" spans="1:14" x14ac:dyDescent="0.25">
      <c r="A18" s="20" t="str">
        <f>Despiece!A18</f>
        <v>C3-012</v>
      </c>
      <c r="B18" s="20" t="str">
        <f>Despiece!B18</f>
        <v>B2</v>
      </c>
      <c r="C18" s="20" t="str">
        <f>Despiece!C18</f>
        <v>Piso de maletero</v>
      </c>
      <c r="D18" s="20" t="str">
        <f>"RH15 Cartagena "&amp;Despiece!G18&amp;" mm"</f>
        <v>RH15 Cartagena 15 mm</v>
      </c>
      <c r="E18" s="20">
        <f>Despiece!D18</f>
        <v>1</v>
      </c>
      <c r="F18" s="31">
        <f>IF($Q$2="NO",ROUND(Despiece!M18,2),Despiece!E18)</f>
        <v>1075</v>
      </c>
      <c r="G18" s="31">
        <f>IF($Q$2="NO",ROUND(Despiece!N18,2),Despiece!F18)</f>
        <v>475</v>
      </c>
      <c r="H18" s="21" t="str">
        <f>IF(Despiece!I18="2","R",IF(Despiece!I18="0.45","F","—"))</f>
        <v>R</v>
      </c>
      <c r="I18" s="21" t="str">
        <f>IF(Despiece!J18="2","R",IF(Despiece!J18="0.45","F","—"))</f>
        <v>—</v>
      </c>
      <c r="J18" s="21" t="str">
        <f>IF(Despiece!K18="2","R",IF(Despiece!K18="0.45","F","—"))</f>
        <v>—</v>
      </c>
      <c r="K18" s="21" t="str">
        <f>IF(Despiece!L18="2","R",IF(Despiece!L18="0.45","F","—"))</f>
        <v>—</v>
      </c>
      <c r="L18" s="21" t="str">
        <f>IF(SUMPRODUCT((Despiece!I18:L18="2")+(Despiece!I18:L18="0.45"))=0,"Sin canto",IF(OR(MIN(Despiece!M18,Despiece!N18)&lt;$Q$3,MAX(Despiece!M18,Despiece!N18)&lt;$Q$4),"Pequeña","Normal"))</f>
        <v>Normal</v>
      </c>
      <c r="M18" s="20" t="str">
        <f>Despiece!E18&amp;" × "&amp;Despiece!F18</f>
        <v>1075 × 475</v>
      </c>
      <c r="N18" s="22" t="str">
        <f>IF(LEN(TRIM(IF($L18="Pequeña","Si no la cantean: cortar a "&amp;ROUND(Despiece!M18,2)&amp;" × "&amp;ROUND(Despiece!N18,2)&amp;" y cantear en el armado.","")&amp;" "&amp;IFERROR(VLOOKUP(Despiece!A18,$S$2:$T$40,2,FALSE),"")))=0,"—",TRIM(IF($L18="Pequeña","Si no la cantean: cortar a "&amp;ROUND(Despiece!M18,2)&amp;" × "&amp;ROUND(Despiece!N18,2)&amp;" y cantear en el armado.","")&amp;" "&amp;IFERROR(VLOOKUP(Despiece!A18,$S$2:$T$40,2,FALSE),"")))</f>
        <v>—</v>
      </c>
    </row>
    <row r="19" spans="1:14" ht="26.4" x14ac:dyDescent="0.25">
      <c r="A19" s="20" t="str">
        <f>Despiece!A19</f>
        <v>C3-013</v>
      </c>
      <c r="B19" s="20" t="str">
        <f>Despiece!B19</f>
        <v>B2</v>
      </c>
      <c r="C19" s="20" t="str">
        <f>Despiece!C19</f>
        <v>Refuerzo frontal de maletero</v>
      </c>
      <c r="D19" s="20" t="str">
        <f>"RH15 Cartagena "&amp;Despiece!G19&amp;" mm"</f>
        <v>RH15 Cartagena 15 mm</v>
      </c>
      <c r="E19" s="20">
        <f>Despiece!D19</f>
        <v>1</v>
      </c>
      <c r="F19" s="31">
        <f>IF($Q$2="NO",ROUND(Despiece!M19,2),Despiece!E19)</f>
        <v>1075</v>
      </c>
      <c r="G19" s="31">
        <f>IF($Q$2="NO",ROUND(Despiece!N19,2),Despiece!F19)</f>
        <v>80</v>
      </c>
      <c r="H19" s="21" t="str">
        <f>IF(Despiece!I19="2","R",IF(Despiece!I19="0.45","F","—"))</f>
        <v>F</v>
      </c>
      <c r="I19" s="21" t="str">
        <f>IF(Despiece!J19="2","R",IF(Despiece!J19="0.45","F","—"))</f>
        <v>—</v>
      </c>
      <c r="J19" s="21" t="str">
        <f>IF(Despiece!K19="2","R",IF(Despiece!K19="0.45","F","—"))</f>
        <v>—</v>
      </c>
      <c r="K19" s="21" t="str">
        <f>IF(Despiece!L19="2","R",IF(Despiece!L19="0.45","F","—"))</f>
        <v>—</v>
      </c>
      <c r="L19" s="21" t="str">
        <f>IF(SUMPRODUCT((Despiece!I19:L19="2")+(Despiece!I19:L19="0.45"))=0,"Sin canto",IF(OR(MIN(Despiece!M19,Despiece!N19)&lt;$Q$3,MAX(Despiece!M19,Despiece!N19)&lt;$Q$4),"Pequeña","Normal"))</f>
        <v>Pequeña</v>
      </c>
      <c r="M19" s="20" t="str">
        <f>Despiece!E19&amp;" × "&amp;Despiece!F19</f>
        <v>1075 × 80</v>
      </c>
      <c r="N19" s="22" t="str">
        <f>IF(LEN(TRIM(IF($L19="Pequeña","Si no la cantean: cortar a "&amp;ROUND(Despiece!M19,2)&amp;" × "&amp;ROUND(Despiece!N19,2)&amp;" y cantear en el armado.","")&amp;" "&amp;IFERROR(VLOOKUP(Despiece!A19,$S$2:$T$40,2,FALSE),"")))=0,"—",TRIM(IF($L19="Pequeña","Si no la cantean: cortar a "&amp;ROUND(Despiece!M19,2)&amp;" × "&amp;ROUND(Despiece!N19,2)&amp;" y cantear en el armado.","")&amp;" "&amp;IFERROR(VLOOKUP(Despiece!A19,$S$2:$T$40,2,FALSE),"")))</f>
        <v>Si no la cantean: cortar a 1075 × 79,55 y cantear en el armado.</v>
      </c>
    </row>
    <row r="20" spans="1:14" ht="88.05" customHeight="1" x14ac:dyDescent="0.25">
      <c r="A20" s="20" t="str">
        <f>Despiece!A20</f>
        <v>C3-014</v>
      </c>
      <c r="B20" s="20" t="str">
        <f>Despiece!B20</f>
        <v>B2</v>
      </c>
      <c r="C20" s="20" t="str">
        <f>Despiece!C20</f>
        <v>Refuerzo trasero de maletero</v>
      </c>
      <c r="D20" s="20" t="str">
        <f>"RH15 Cartagena "&amp;Despiece!G20&amp;" mm"</f>
        <v>RH15 Cartagena 15 mm</v>
      </c>
      <c r="E20" s="20">
        <f>Despiece!D20</f>
        <v>1</v>
      </c>
      <c r="F20" s="31">
        <f>IF($Q$2="NO",ROUND(Despiece!M20,2),Despiece!E20)</f>
        <v>1075</v>
      </c>
      <c r="G20" s="31">
        <f>IF($Q$2="NO",ROUND(Despiece!N20,2),Despiece!F20)</f>
        <v>100</v>
      </c>
      <c r="H20" s="21" t="str">
        <f>IF(Despiece!I20="2","R",IF(Despiece!I20="0.45","F","—"))</f>
        <v>F</v>
      </c>
      <c r="I20" s="21" t="str">
        <f>IF(Despiece!J20="2","R",IF(Despiece!J20="0.45","F","—"))</f>
        <v>—</v>
      </c>
      <c r="J20" s="21" t="str">
        <f>IF(Despiece!K20="2","R",IF(Despiece!K20="0.45","F","—"))</f>
        <v>—</v>
      </c>
      <c r="K20" s="21" t="str">
        <f>IF(Despiece!L20="2","R",IF(Despiece!L20="0.45","F","—"))</f>
        <v>—</v>
      </c>
      <c r="L20" s="21" t="str">
        <f>IF(SUMPRODUCT((Despiece!I20:L20="2")+(Despiece!I20:L20="0.45"))=0,"Sin canto",IF(OR(MIN(Despiece!M20,Despiece!N20)&lt;$Q$3,MAX(Despiece!M20,Despiece!N20)&lt;$Q$4),"Pequeña","Normal"))</f>
        <v>Pequeña</v>
      </c>
      <c r="M20" s="20" t="str">
        <f>Despiece!E20&amp;" × "&amp;Despiece!F20</f>
        <v>1075 × 100</v>
      </c>
      <c r="N20" s="22" t="str">
        <f>IF(LEN(TRIM(IF($L20="Pequeña","Si no la cantean: cortar a "&amp;ROUND(Despiece!M20,2)&amp;" × "&amp;ROUND(Despiece!N20,2)&amp;" y cantear en el armado.","")&amp;" "&amp;IFERROR(VLOOKUP(Despiece!A20,$S$2:$T$40,2,FALSE),"")))=0,"—",TRIM(IF($L20="Pequeña","Si no la cantean: cortar a "&amp;ROUND(Despiece!M20,2)&amp;" × "&amp;ROUND(Despiece!N20,2)&amp;" y cantear en el armado.","")&amp;" "&amp;IFERROR(VLOOKUP(Despiece!A20,$S$2:$T$40,2,FALSE),"")))</f>
        <v>Si no la cantean: cortar a 1075 × 99,55 y cantear en el armado.</v>
      </c>
    </row>
    <row r="21" spans="1:14" ht="26.4" x14ac:dyDescent="0.25">
      <c r="A21" s="20" t="str">
        <f>Despiece!A21</f>
        <v>C3-015</v>
      </c>
      <c r="B21" s="20" t="str">
        <f>Despiece!B21</f>
        <v>B1</v>
      </c>
      <c r="C21" s="20" t="str">
        <f>Despiece!C21</f>
        <v>Frente de cajón</v>
      </c>
      <c r="D21" s="20" t="str">
        <f>"RH15 Cartagena "&amp;Despiece!G21&amp;" mm"</f>
        <v>RH15 Cartagena 15 mm</v>
      </c>
      <c r="E21" s="20">
        <f>Despiece!D21</f>
        <v>3</v>
      </c>
      <c r="F21" s="31">
        <f>IF($Q$2="NO",ROUND(Despiece!M21,2),Despiece!E21)</f>
        <v>824</v>
      </c>
      <c r="G21" s="31">
        <f>IF($Q$2="NO",ROUND(Despiece!N21,2),Despiece!F21)</f>
        <v>210</v>
      </c>
      <c r="H21" s="21" t="str">
        <f>IF(Despiece!I21="2","R",IF(Despiece!I21="0.45","F","—"))</f>
        <v>R</v>
      </c>
      <c r="I21" s="21" t="str">
        <f>IF(Despiece!J21="2","R",IF(Despiece!J21="0.45","F","—"))</f>
        <v>R</v>
      </c>
      <c r="J21" s="21" t="str">
        <f>IF(Despiece!K21="2","R",IF(Despiece!K21="0.45","F","—"))</f>
        <v>R</v>
      </c>
      <c r="K21" s="21" t="str">
        <f>IF(Despiece!L21="2","R",IF(Despiece!L21="0.45","F","—"))</f>
        <v>R</v>
      </c>
      <c r="L21" s="21" t="str">
        <f>IF(SUMPRODUCT((Despiece!I21:L21="2")+(Despiece!I21:L21="0.45"))=0,"Sin canto",IF(OR(MIN(Despiece!M21,Despiece!N21)&lt;$Q$3,MAX(Despiece!M21,Despiece!N21)&lt;$Q$4),"Pequeña","Normal"))</f>
        <v>Normal</v>
      </c>
      <c r="M21" s="20" t="str">
        <f>Despiece!E21&amp;" × "&amp;Despiece!F21</f>
        <v>824 × 210</v>
      </c>
      <c r="N21" s="22" t="str">
        <f>IF(LEN(TRIM(IF($L21="Pequeña","Si no la cantean: cortar a "&amp;ROUND(Despiece!M21,2)&amp;" × "&amp;ROUND(Despiece!N21,2)&amp;" y cantear en el armado.","")&amp;" "&amp;IFERROR(VLOOKUP(Despiece!A21,$S$2:$T$40,2,FALSE),"")))=0,"—",TRIM(IF($L21="Pequeña","Si no la cantean: cortar a "&amp;ROUND(Despiece!M21,2)&amp;" × "&amp;ROUND(Despiece!N21,2)&amp;" y cantear en el armado.","")&amp;" "&amp;IFERROR(VLOOKUP(Despiece!A21,$S$2:$T$40,2,FALSE),"")))</f>
        <v>Veta horizontal: frente de 824 de ancho, queda detrás de las hojas.</v>
      </c>
    </row>
    <row r="22" spans="1:14" x14ac:dyDescent="0.25">
      <c r="A22" s="20" t="str">
        <f>Despiece!A22</f>
        <v>C3-016</v>
      </c>
      <c r="B22" s="20" t="str">
        <f>Despiece!B22</f>
        <v>B1</v>
      </c>
      <c r="C22" s="20" t="str">
        <f>Despiece!C22</f>
        <v>Costado de cajón</v>
      </c>
      <c r="D22" s="20" t="str">
        <f>"RH15 Cartagena "&amp;Despiece!G22&amp;" mm"</f>
        <v>RH15 Cartagena 15 mm</v>
      </c>
      <c r="E22" s="20">
        <f>Despiece!D22</f>
        <v>6</v>
      </c>
      <c r="F22" s="31">
        <f>IF($Q$2="NO",ROUND(Despiece!M22,2),Despiece!E22)</f>
        <v>450</v>
      </c>
      <c r="G22" s="31">
        <f>IF($Q$2="NO",ROUND(Despiece!N22,2),Despiece!F22)</f>
        <v>155</v>
      </c>
      <c r="H22" s="21" t="str">
        <f>IF(Despiece!I22="2","R",IF(Despiece!I22="0.45","F","—"))</f>
        <v>F</v>
      </c>
      <c r="I22" s="21" t="str">
        <f>IF(Despiece!J22="2","R",IF(Despiece!J22="0.45","F","—"))</f>
        <v>—</v>
      </c>
      <c r="J22" s="21" t="str">
        <f>IF(Despiece!K22="2","R",IF(Despiece!K22="0.45","F","—"))</f>
        <v>F</v>
      </c>
      <c r="K22" s="21" t="str">
        <f>IF(Despiece!L22="2","R",IF(Despiece!L22="0.45","F","—"))</f>
        <v>—</v>
      </c>
      <c r="L22" s="21" t="str">
        <f>IF(SUMPRODUCT((Despiece!I22:L22="2")+(Despiece!I22:L22="0.45"))=0,"Sin canto",IF(OR(MIN(Despiece!M22,Despiece!N22)&lt;$Q$3,MAX(Despiece!M22,Despiece!N22)&lt;$Q$4),"Pequeña","Normal"))</f>
        <v>Normal</v>
      </c>
      <c r="M22" s="20" t="str">
        <f>Despiece!E22&amp;" × "&amp;Despiece!F22</f>
        <v>450 × 155</v>
      </c>
      <c r="N22" s="22" t="str">
        <f>IF(LEN(TRIM(IF($L22="Pequeña","Si no la cantean: cortar a "&amp;ROUND(Despiece!M22,2)&amp;" × "&amp;ROUND(Despiece!N22,2)&amp;" y cantear en el armado.","")&amp;" "&amp;IFERROR(VLOOKUP(Despiece!A22,$S$2:$T$40,2,FALSE),"")))=0,"—",TRIM(IF($L22="Pequeña","Si no la cantean: cortar a "&amp;ROUND(Despiece!M22,2)&amp;" × "&amp;ROUND(Despiece!N22,2)&amp;" y cantear en el armado.","")&amp;" "&amp;IFERROR(VLOOKUP(Despiece!A22,$S$2:$T$40,2,FALSE),"")))</f>
        <v>—</v>
      </c>
    </row>
    <row r="23" spans="1:14" x14ac:dyDescent="0.25">
      <c r="A23" s="20" t="str">
        <f>Despiece!A23</f>
        <v>C3-017</v>
      </c>
      <c r="B23" s="20" t="str">
        <f>Despiece!B23</f>
        <v>B1</v>
      </c>
      <c r="C23" s="20" t="str">
        <f>Despiece!C23</f>
        <v>Base aplicada de cajón</v>
      </c>
      <c r="D23" s="20" t="str">
        <f>"RH15 Cartagena "&amp;Despiece!G23&amp;" mm"</f>
        <v>RH15 Cartagena 15 mm</v>
      </c>
      <c r="E23" s="20">
        <f>Despiece!D23</f>
        <v>3</v>
      </c>
      <c r="F23" s="31">
        <f>IF($Q$2="NO",ROUND(Despiece!M23,2),Despiece!E23)</f>
        <v>803</v>
      </c>
      <c r="G23" s="31">
        <f>IF($Q$2="NO",ROUND(Despiece!N23,2),Despiece!F23)</f>
        <v>450</v>
      </c>
      <c r="H23" s="21" t="str">
        <f>IF(Despiece!I23="2","R",IF(Despiece!I23="0.45","F","—"))</f>
        <v>F</v>
      </c>
      <c r="I23" s="21" t="str">
        <f>IF(Despiece!J23="2","R",IF(Despiece!J23="0.45","F","—"))</f>
        <v>—</v>
      </c>
      <c r="J23" s="21" t="str">
        <f>IF(Despiece!K23="2","R",IF(Despiece!K23="0.45","F","—"))</f>
        <v>F</v>
      </c>
      <c r="K23" s="21" t="str">
        <f>IF(Despiece!L23="2","R",IF(Despiece!L23="0.45","F","—"))</f>
        <v>F</v>
      </c>
      <c r="L23" s="21" t="str">
        <f>IF(SUMPRODUCT((Despiece!I23:L23="2")+(Despiece!I23:L23="0.45"))=0,"Sin canto",IF(OR(MIN(Despiece!M23,Despiece!N23)&lt;$Q$3,MAX(Despiece!M23,Despiece!N23)&lt;$Q$4),"Pequeña","Normal"))</f>
        <v>Normal</v>
      </c>
      <c r="M23" s="20" t="str">
        <f>Despiece!E23&amp;" × "&amp;Despiece!F23</f>
        <v>803 × 450</v>
      </c>
      <c r="N23" s="22" t="str">
        <f>IF(LEN(TRIM(IF($L23="Pequeña","Si no la cantean: cortar a "&amp;ROUND(Despiece!M23,2)&amp;" × "&amp;ROUND(Despiece!N23,2)&amp;" y cantear en el armado.","")&amp;" "&amp;IFERROR(VLOOKUP(Despiece!A23,$S$2:$T$40,2,FALSE),"")))=0,"—",TRIM(IF($L23="Pequeña","Si no la cantean: cortar a "&amp;ROUND(Despiece!M23,2)&amp;" × "&amp;ROUND(Despiece!N23,2)&amp;" y cantear en el armado.","")&amp;" "&amp;IFERROR(VLOOKUP(Despiece!A23,$S$2:$T$40,2,FALSE),"")))</f>
        <v>—</v>
      </c>
    </row>
    <row r="24" spans="1:14" x14ac:dyDescent="0.25">
      <c r="A24" s="20" t="str">
        <f>Despiece!A24</f>
        <v>C3-018</v>
      </c>
      <c r="B24" s="20" t="str">
        <f>Despiece!B24</f>
        <v>B1</v>
      </c>
      <c r="C24" s="20" t="str">
        <f>Despiece!C24</f>
        <v>Frente / trasero interior de cajón</v>
      </c>
      <c r="D24" s="20" t="str">
        <f>"RH15 Cartagena "&amp;Despiece!G24&amp;" mm"</f>
        <v>RH15 Cartagena 15 mm</v>
      </c>
      <c r="E24" s="20">
        <f>Despiece!D24</f>
        <v>6</v>
      </c>
      <c r="F24" s="31">
        <f>IF($Q$2="NO",ROUND(Despiece!M24,2),Despiece!E24)</f>
        <v>773</v>
      </c>
      <c r="G24" s="31">
        <f>IF($Q$2="NO",ROUND(Despiece!N24,2),Despiece!F24)</f>
        <v>155</v>
      </c>
      <c r="H24" s="21" t="str">
        <f>IF(Despiece!I24="2","R",IF(Despiece!I24="0.45","F","—"))</f>
        <v>F</v>
      </c>
      <c r="I24" s="21" t="str">
        <f>IF(Despiece!J24="2","R",IF(Despiece!J24="0.45","F","—"))</f>
        <v>—</v>
      </c>
      <c r="J24" s="21" t="str">
        <f>IF(Despiece!K24="2","R",IF(Despiece!K24="0.45","F","—"))</f>
        <v>—</v>
      </c>
      <c r="K24" s="21" t="str">
        <f>IF(Despiece!L24="2","R",IF(Despiece!L24="0.45","F","—"))</f>
        <v>—</v>
      </c>
      <c r="L24" s="21" t="str">
        <f>IF(SUMPRODUCT((Despiece!I24:L24="2")+(Despiece!I24:L24="0.45"))=0,"Sin canto",IF(OR(MIN(Despiece!M24,Despiece!N24)&lt;$Q$3,MAX(Despiece!M24,Despiece!N24)&lt;$Q$4),"Pequeña","Normal"))</f>
        <v>Normal</v>
      </c>
      <c r="M24" s="20" t="str">
        <f>Despiece!E24&amp;" × "&amp;Despiece!F24</f>
        <v>773 × 155</v>
      </c>
      <c r="N24" s="22" t="str">
        <f>IF(LEN(TRIM(IF($L24="Pequeña","Si no la cantean: cortar a "&amp;ROUND(Despiece!M24,2)&amp;" × "&amp;ROUND(Despiece!N24,2)&amp;" y cantear en el armado.","")&amp;" "&amp;IFERROR(VLOOKUP(Despiece!A24,$S$2:$T$40,2,FALSE),"")))=0,"—",TRIM(IF($L24="Pequeña","Si no la cantean: cortar a "&amp;ROUND(Despiece!M24,2)&amp;" × "&amp;ROUND(Despiece!N24,2)&amp;" y cantear en el armado.","")&amp;" "&amp;IFERROR(VLOOKUP(Despiece!A24,$S$2:$T$40,2,FALSE),"")))</f>
        <v>—</v>
      </c>
    </row>
    <row r="25" spans="1:14" ht="26.4" x14ac:dyDescent="0.25">
      <c r="A25" s="20" t="str">
        <f>Despiece!A25</f>
        <v>C3-019</v>
      </c>
      <c r="B25" s="20" t="str">
        <f>Despiece!B25</f>
        <v>B1</v>
      </c>
      <c r="C25" s="20" t="str">
        <f>Despiece!C25</f>
        <v>Refuerzo bajo base de cajón</v>
      </c>
      <c r="D25" s="20" t="str">
        <f>"RH15 Cartagena "&amp;Despiece!G25&amp;" mm"</f>
        <v>RH15 Cartagena 15 mm</v>
      </c>
      <c r="E25" s="20">
        <f>Despiece!D25</f>
        <v>3</v>
      </c>
      <c r="F25" s="31">
        <f>IF($Q$2="NO",ROUND(Despiece!M25,2),Despiece!E25)</f>
        <v>803</v>
      </c>
      <c r="G25" s="31">
        <f>IF($Q$2="NO",ROUND(Despiece!N25,2),Despiece!F25)</f>
        <v>40</v>
      </c>
      <c r="H25" s="21" t="str">
        <f>IF(Despiece!I25="2","R",IF(Despiece!I25="0.45","F","—"))</f>
        <v>F</v>
      </c>
      <c r="I25" s="21" t="str">
        <f>IF(Despiece!J25="2","R",IF(Despiece!J25="0.45","F","—"))</f>
        <v>—</v>
      </c>
      <c r="J25" s="21" t="str">
        <f>IF(Despiece!K25="2","R",IF(Despiece!K25="0.45","F","—"))</f>
        <v>F</v>
      </c>
      <c r="K25" s="21" t="str">
        <f>IF(Despiece!L25="2","R",IF(Despiece!L25="0.45","F","—"))</f>
        <v>F</v>
      </c>
      <c r="L25" s="21" t="str">
        <f>IF(SUMPRODUCT((Despiece!I25:L25="2")+(Despiece!I25:L25="0.45"))=0,"Sin canto",IF(OR(MIN(Despiece!M25,Despiece!N25)&lt;$Q$3,MAX(Despiece!M25,Despiece!N25)&lt;$Q$4),"Pequeña","Normal"))</f>
        <v>Pequeña</v>
      </c>
      <c r="M25" s="20" t="str">
        <f>Despiece!E25&amp;" × "&amp;Despiece!F25</f>
        <v>803 × 40</v>
      </c>
      <c r="N25" s="22" t="str">
        <f>IF(LEN(TRIM(IF($L25="Pequeña","Si no la cantean: cortar a "&amp;ROUND(Despiece!M25,2)&amp;" × "&amp;ROUND(Despiece!N25,2)&amp;" y cantear en el armado.","")&amp;" "&amp;IFERROR(VLOOKUP(Despiece!A25,$S$2:$T$40,2,FALSE),"")))=0,"—",TRIM(IF($L25="Pequeña","Si no la cantean: cortar a "&amp;ROUND(Despiece!M25,2)&amp;" × "&amp;ROUND(Despiece!N25,2)&amp;" y cantear en el armado.","")&amp;" "&amp;IFERROR(VLOOKUP(Despiece!A25,$S$2:$T$40,2,FALSE),"")))</f>
        <v>Si no la cantean: cortar a 802,1 × 39,55 y cantear en el armado.</v>
      </c>
    </row>
    <row r="26" spans="1:14" ht="26.4" x14ac:dyDescent="0.25">
      <c r="A26" s="20" t="str">
        <f>Despiece!A26</f>
        <v>C3-020</v>
      </c>
      <c r="B26" s="20" t="str">
        <f>Despiece!B26</f>
        <v>BASE</v>
      </c>
      <c r="C26" s="20" t="str">
        <f>Despiece!C26</f>
        <v>Zócalo frontal</v>
      </c>
      <c r="D26" s="20" t="str">
        <f>"RH15 Cartagena "&amp;Despiece!G26&amp;" mm"</f>
        <v>RH15 Cartagena 15 mm</v>
      </c>
      <c r="E26" s="20">
        <f>Despiece!D26</f>
        <v>1</v>
      </c>
      <c r="F26" s="31">
        <f>IF($Q$2="NO",ROUND(Despiece!M26,2),Despiece!E26)</f>
        <v>1950</v>
      </c>
      <c r="G26" s="31">
        <f>IF($Q$2="NO",ROUND(Despiece!N26,2),Despiece!F26)</f>
        <v>92</v>
      </c>
      <c r="H26" s="21" t="str">
        <f>IF(Despiece!I26="2","R",IF(Despiece!I26="0.45","F","—"))</f>
        <v>F</v>
      </c>
      <c r="I26" s="21" t="str">
        <f>IF(Despiece!J26="2","R",IF(Despiece!J26="0.45","F","—"))</f>
        <v>F</v>
      </c>
      <c r="J26" s="21" t="str">
        <f>IF(Despiece!K26="2","R",IF(Despiece!K26="0.45","F","—"))</f>
        <v>F</v>
      </c>
      <c r="K26" s="21" t="str">
        <f>IF(Despiece!L26="2","R",IF(Despiece!L26="0.45","F","—"))</f>
        <v>F</v>
      </c>
      <c r="L26" s="21" t="str">
        <f>IF(SUMPRODUCT((Despiece!I26:L26="2")+(Despiece!I26:L26="0.45"))=0,"Sin canto",IF(OR(MIN(Despiece!M26,Despiece!N26)&lt;$Q$3,MAX(Despiece!M26,Despiece!N26)&lt;$Q$4),"Pequeña","Normal"))</f>
        <v>Pequeña</v>
      </c>
      <c r="M26" s="20" t="str">
        <f>Despiece!E26&amp;" × "&amp;Despiece!F26</f>
        <v>1950 × 92</v>
      </c>
      <c r="N26" s="22" t="str">
        <f>IF(LEN(TRIM(IF($L26="Pequeña","Si no la cantean: cortar a "&amp;ROUND(Despiece!M26,2)&amp;" × "&amp;ROUND(Despiece!N26,2)&amp;" y cantear en el armado.","")&amp;" "&amp;IFERROR(VLOOKUP(Despiece!A26,$S$2:$T$40,2,FALSE),"")))=0,"—",TRIM(IF($L26="Pequeña","Si no la cantean: cortar a "&amp;ROUND(Despiece!M26,2)&amp;" × "&amp;ROUND(Despiece!N26,2)&amp;" y cantear en el armado.","")&amp;" "&amp;IFERROR(VLOOKUP(Despiece!A26,$S$2:$T$40,2,FALSE),"")))</f>
        <v>Si no la cantean: cortar a 1949,1 × 91,1 y cantear en el armado.</v>
      </c>
    </row>
    <row r="27" spans="1:14" ht="26.4" x14ac:dyDescent="0.25">
      <c r="A27" s="20" t="str">
        <f>Despiece!A27</f>
        <v>C3-021</v>
      </c>
      <c r="B27" s="20" t="str">
        <f>Despiece!B27</f>
        <v>BASE</v>
      </c>
      <c r="C27" s="20" t="str">
        <f>Despiece!C27</f>
        <v>Travesaño trasero de base</v>
      </c>
      <c r="D27" s="20" t="str">
        <f>"RH15 Cartagena "&amp;Despiece!G27&amp;" mm"</f>
        <v>RH15 Cartagena 15 mm</v>
      </c>
      <c r="E27" s="20">
        <f>Despiece!D27</f>
        <v>1</v>
      </c>
      <c r="F27" s="31">
        <f>IF($Q$2="NO",ROUND(Despiece!M27,2),Despiece!E27)</f>
        <v>1950</v>
      </c>
      <c r="G27" s="31">
        <f>IF($Q$2="NO",ROUND(Despiece!N27,2),Despiece!F27)</f>
        <v>80</v>
      </c>
      <c r="H27" s="21" t="str">
        <f>IF(Despiece!I27="2","R",IF(Despiece!I27="0.45","F","—"))</f>
        <v>F</v>
      </c>
      <c r="I27" s="21" t="str">
        <f>IF(Despiece!J27="2","R",IF(Despiece!J27="0.45","F","—"))</f>
        <v>F</v>
      </c>
      <c r="J27" s="21" t="str">
        <f>IF(Despiece!K27="2","R",IF(Despiece!K27="0.45","F","—"))</f>
        <v>F</v>
      </c>
      <c r="K27" s="21" t="str">
        <f>IF(Despiece!L27="2","R",IF(Despiece!L27="0.45","F","—"))</f>
        <v>F</v>
      </c>
      <c r="L27" s="21" t="str">
        <f>IF(SUMPRODUCT((Despiece!I27:L27="2")+(Despiece!I27:L27="0.45"))=0,"Sin canto",IF(OR(MIN(Despiece!M27,Despiece!N27)&lt;$Q$3,MAX(Despiece!M27,Despiece!N27)&lt;$Q$4),"Pequeña","Normal"))</f>
        <v>Pequeña</v>
      </c>
      <c r="M27" s="20" t="str">
        <f>Despiece!E27&amp;" × "&amp;Despiece!F27</f>
        <v>1950 × 80</v>
      </c>
      <c r="N27" s="22" t="str">
        <f>IF(LEN(TRIM(IF($L27="Pequeña","Si no la cantean: cortar a "&amp;ROUND(Despiece!M27,2)&amp;" × "&amp;ROUND(Despiece!N27,2)&amp;" y cantear en el armado.","")&amp;" "&amp;IFERROR(VLOOKUP(Despiece!A27,$S$2:$T$40,2,FALSE),"")))=0,"—",TRIM(IF($L27="Pequeña","Si no la cantean: cortar a "&amp;ROUND(Despiece!M27,2)&amp;" × "&amp;ROUND(Despiece!N27,2)&amp;" y cantear en el armado.","")&amp;" "&amp;IFERROR(VLOOKUP(Despiece!A27,$S$2:$T$40,2,FALSE),"")))</f>
        <v>Si no la cantean: cortar a 1949,1 × 79,1 y cantear en el armado.</v>
      </c>
    </row>
    <row r="28" spans="1:14" ht="26.4" x14ac:dyDescent="0.25">
      <c r="A28" s="20" t="str">
        <f>Despiece!A28</f>
        <v>C3-022</v>
      </c>
      <c r="B28" s="20" t="str">
        <f>Despiece!B28</f>
        <v>BASE</v>
      </c>
      <c r="C28" s="20" t="str">
        <f>Despiece!C28</f>
        <v>Travesaño de base</v>
      </c>
      <c r="D28" s="20" t="str">
        <f>"RH15 Cartagena "&amp;Despiece!G28&amp;" mm"</f>
        <v>RH15 Cartagena 15 mm</v>
      </c>
      <c r="E28" s="20">
        <f>Despiece!D28</f>
        <v>3</v>
      </c>
      <c r="F28" s="31">
        <f>IF($Q$2="NO",ROUND(Despiece!M28,2),Despiece!E28)</f>
        <v>480</v>
      </c>
      <c r="G28" s="31">
        <f>IF($Q$2="NO",ROUND(Despiece!N28,2),Despiece!F28)</f>
        <v>80</v>
      </c>
      <c r="H28" s="21" t="str">
        <f>IF(Despiece!I28="2","R",IF(Despiece!I28="0.45","F","—"))</f>
        <v>F</v>
      </c>
      <c r="I28" s="21" t="str">
        <f>IF(Despiece!J28="2","R",IF(Despiece!J28="0.45","F","—"))</f>
        <v>F</v>
      </c>
      <c r="J28" s="21" t="str">
        <f>IF(Despiece!K28="2","R",IF(Despiece!K28="0.45","F","—"))</f>
        <v>F</v>
      </c>
      <c r="K28" s="21" t="str">
        <f>IF(Despiece!L28="2","R",IF(Despiece!L28="0.45","F","—"))</f>
        <v>F</v>
      </c>
      <c r="L28" s="21" t="str">
        <f>IF(SUMPRODUCT((Despiece!I28:L28="2")+(Despiece!I28:L28="0.45"))=0,"Sin canto",IF(OR(MIN(Despiece!M28,Despiece!N28)&lt;$Q$3,MAX(Despiece!M28,Despiece!N28)&lt;$Q$4),"Pequeña","Normal"))</f>
        <v>Pequeña</v>
      </c>
      <c r="M28" s="20" t="str">
        <f>Despiece!E28&amp;" × "&amp;Despiece!F28</f>
        <v>480 × 80</v>
      </c>
      <c r="N28" s="22" t="str">
        <f>IF(LEN(TRIM(IF($L28="Pequeña","Si no la cantean: cortar a "&amp;ROUND(Despiece!M28,2)&amp;" × "&amp;ROUND(Despiece!N28,2)&amp;" y cantear en el armado.","")&amp;" "&amp;IFERROR(VLOOKUP(Despiece!A28,$S$2:$T$40,2,FALSE),"")))=0,"—",TRIM(IF($L28="Pequeña","Si no la cantean: cortar a "&amp;ROUND(Despiece!M28,2)&amp;" × "&amp;ROUND(Despiece!N28,2)&amp;" y cantear en el armado.","")&amp;" "&amp;IFERROR(VLOOKUP(Despiece!A28,$S$2:$T$40,2,FALSE),"")))</f>
        <v>Si no la cantean: cortar a 479,1 × 79,1 y cantear en el armado.</v>
      </c>
    </row>
    <row r="29" spans="1:14" ht="26.4" x14ac:dyDescent="0.25">
      <c r="A29" s="20" t="str">
        <f>Despiece!A29</f>
        <v>C3-023</v>
      </c>
      <c r="B29" s="20" t="str">
        <f>Despiece!B29</f>
        <v>PUERTAS</v>
      </c>
      <c r="C29" s="20" t="str">
        <f>Despiece!C29</f>
        <v>Hoja corrediza RH15</v>
      </c>
      <c r="D29" s="20" t="str">
        <f>"RH15 Cartagena "&amp;Despiece!G29&amp;" mm"</f>
        <v>RH15 Cartagena 15 mm</v>
      </c>
      <c r="E29" s="20">
        <f>Despiece!D29</f>
        <v>2</v>
      </c>
      <c r="F29" s="31">
        <f>IF($Q$2="NO",ROUND(Despiece!M29,2),Despiece!E29)</f>
        <v>2175</v>
      </c>
      <c r="G29" s="31">
        <f>IF($Q$2="NO",ROUND(Despiece!N29,2),Despiece!F29)</f>
        <v>975</v>
      </c>
      <c r="H29" s="21" t="str">
        <f>IF(Despiece!I29="2","R",IF(Despiece!I29="0.45","F","—"))</f>
        <v>R</v>
      </c>
      <c r="I29" s="21" t="str">
        <f>IF(Despiece!J29="2","R",IF(Despiece!J29="0.45","F","—"))</f>
        <v>R</v>
      </c>
      <c r="J29" s="21" t="str">
        <f>IF(Despiece!K29="2","R",IF(Despiece!K29="0.45","F","—"))</f>
        <v>R</v>
      </c>
      <c r="K29" s="21" t="str">
        <f>IF(Despiece!L29="2","R",IF(Despiece!L29="0.45","F","—"))</f>
        <v>R</v>
      </c>
      <c r="L29" s="21" t="str">
        <f>IF(SUMPRODUCT((Despiece!I29:L29="2")+(Despiece!I29:L29="0.45"))=0,"Sin canto",IF(OR(MIN(Despiece!M29,Despiece!N29)&lt;$Q$3,MAX(Despiece!M29,Despiece!N29)&lt;$Q$4),"Pequeña","Normal"))</f>
        <v>Normal</v>
      </c>
      <c r="M29" s="20" t="str">
        <f>Despiece!E29&amp;" × "&amp;Despiece!F29</f>
        <v>2175 × 975</v>
      </c>
      <c r="N29" s="22" t="str">
        <f>IF(LEN(TRIM(IF($L29="Pequeña","Si no la cantean: cortar a "&amp;ROUND(Despiece!M29,2)&amp;" × "&amp;ROUND(Despiece!N29,2)&amp;" y cantear en el armado.","")&amp;" "&amp;IFERROR(VLOOKUP(Despiece!A29,$S$2:$T$40,2,FALSE),"")))=0,"—",TRIM(IF($L29="Pequeña","Si no la cantean: cortar a "&amp;ROUND(Despiece!M29,2)&amp;" × "&amp;ROUND(Despiece!N29,2)&amp;" y cantear en el armado.","")&amp;" "&amp;IFERROR(VLOOKUP(Despiece!A29,$S$2:$T$40,2,FALSE),"")))</f>
        <v>Cortar después de confirmar el kit Peralma (altura de hoja y plantilla).</v>
      </c>
    </row>
    <row r="30" spans="1:14" x14ac:dyDescent="0.25">
      <c r="A30" s="20" t="str">
        <f>Despiece!A30</f>
        <v>C3-024</v>
      </c>
      <c r="B30" s="20" t="str">
        <f>Despiece!B30</f>
        <v>EST</v>
      </c>
      <c r="C30" s="20" t="str">
        <f>Despiece!C30</f>
        <v>Solapa frontal</v>
      </c>
      <c r="D30" s="20" t="str">
        <f>"RH15 Cartagena "&amp;Despiece!G30&amp;" mm"</f>
        <v>RH15 Cartagena 15 mm</v>
      </c>
      <c r="E30" s="20">
        <f>Despiece!D30</f>
        <v>1</v>
      </c>
      <c r="F30" s="31">
        <f>IF($Q$2="NO",ROUND(Despiece!M30,2),Despiece!E30)</f>
        <v>1950</v>
      </c>
      <c r="G30" s="31">
        <f>IF($Q$2="NO",ROUND(Despiece!N30,2),Despiece!F30)</f>
        <v>120</v>
      </c>
      <c r="H30" s="21" t="str">
        <f>IF(Despiece!I30="2","R",IF(Despiece!I30="0.45","F","—"))</f>
        <v>R</v>
      </c>
      <c r="I30" s="21" t="str">
        <f>IF(Despiece!J30="2","R",IF(Despiece!J30="0.45","F","—"))</f>
        <v>F</v>
      </c>
      <c r="J30" s="21" t="str">
        <f>IF(Despiece!K30="2","R",IF(Despiece!K30="0.45","F","—"))</f>
        <v>R</v>
      </c>
      <c r="K30" s="21" t="str">
        <f>IF(Despiece!L30="2","R",IF(Despiece!L30="0.45","F","—"))</f>
        <v>R</v>
      </c>
      <c r="L30" s="21" t="str">
        <f>IF(SUMPRODUCT((Despiece!I30:L30="2")+(Despiece!I30:L30="0.45"))=0,"Sin canto",IF(OR(MIN(Despiece!M30,Despiece!N30)&lt;$Q$3,MAX(Despiece!M30,Despiece!N30)&lt;$Q$4),"Pequeña","Normal"))</f>
        <v>Normal</v>
      </c>
      <c r="M30" s="20" t="str">
        <f>Despiece!E30&amp;" × "&amp;Despiece!F30</f>
        <v>1950 × 120</v>
      </c>
      <c r="N30" s="22" t="str">
        <f>IF(LEN(TRIM(IF($L30="Pequeña","Si no la cantean: cortar a "&amp;ROUND(Despiece!M30,2)&amp;" × "&amp;ROUND(Despiece!N30,2)&amp;" y cantear en el armado.","")&amp;" "&amp;IFERROR(VLOOKUP(Despiece!A30,$S$2:$T$40,2,FALSE),"")))=0,"—",TRIM(IF($L30="Pequeña","Si no la cantean: cortar a "&amp;ROUND(Despiece!M30,2)&amp;" × "&amp;ROUND(Despiece!N30,2)&amp;" y cantear en el armado.","")&amp;" "&amp;IFERROR(VLOOKUP(Despiece!A30,$S$2:$T$40,2,FALSE),"")))</f>
        <v>—</v>
      </c>
    </row>
    <row r="32" spans="1:14" x14ac:dyDescent="0.25">
      <c r="C32" s="16" t="s">
        <v>105</v>
      </c>
      <c r="D32" s="23"/>
      <c r="E32" s="23"/>
      <c r="F32" s="16" t="s">
        <v>106</v>
      </c>
      <c r="G32" s="16" t="s">
        <v>107</v>
      </c>
    </row>
    <row r="33" spans="3:14" x14ac:dyDescent="0.25">
      <c r="C33" s="16" t="s">
        <v>108</v>
      </c>
      <c r="D33" s="23"/>
      <c r="E33" s="23"/>
      <c r="F33" s="24">
        <f>(SUMPRODUCT(Despiece!$D$7:$D$30,Despiece!$E$7:$E$30,(Despiece!$I$7:$I$30="2")+(Despiece!$J$7:$J$30="2"),--($L$7:$L$30="Normal"))+SUMPRODUCT(Despiece!$D$7:$D$30,Despiece!$F$7:$F$30,(Despiece!$K$7:$K$30="2")+(Despiece!$L$7:$L$30="2"),--($L$7:$L$30="Normal")))/1000</f>
        <v>31.643999999999998</v>
      </c>
      <c r="G33" s="24">
        <f>(SUMPRODUCT(Despiece!$D$7:$D$30,Despiece!$E$7:$E$30,(Despiece!$I$7:$I$30="2")+(Despiece!$J$7:$J$30="2"),--($L$7:$L$30="Pequeña"))+SUMPRODUCT(Despiece!$D$7:$D$30,Despiece!$F$7:$F$30,(Despiece!$K$7:$K$30="2")+(Despiece!$L$7:$L$30="2"),--($L$7:$L$30="Pequeña")))/1000</f>
        <v>0</v>
      </c>
    </row>
    <row r="34" spans="3:14" x14ac:dyDescent="0.25">
      <c r="C34" s="16" t="s">
        <v>109</v>
      </c>
      <c r="D34" s="23"/>
      <c r="E34" s="23"/>
      <c r="F34" s="24">
        <f>(SUMPRODUCT(Despiece!$D$7:$D$30,Despiece!$E$7:$E$30,(Despiece!$I$7:$I$30="0.45")+(Despiece!$J$7:$J$30="0.45"),--($L$7:$L$30="Normal"))+SUMPRODUCT(Despiece!$D$7:$D$30,Despiece!$F$7:$F$30,(Despiece!$K$7:$K$30="0.45")+(Despiece!$L$7:$L$30="0.45"),--($L$7:$L$30="Normal")))/1000</f>
        <v>21.082000000000001</v>
      </c>
      <c r="G34" s="24">
        <f>(SUMPRODUCT(Despiece!$D$7:$D$30,Despiece!$E$7:$E$30,(Despiece!$I$7:$I$30="0.45")+(Despiece!$J$7:$J$30="0.45"),--($L$7:$L$30="Pequeña"))+SUMPRODUCT(Despiece!$D$7:$D$30,Despiece!$F$7:$F$30,(Despiece!$K$7:$K$30="0.45")+(Despiece!$L$7:$L$30="0.45"),--($L$7:$L$30="Pequeña")))/1000</f>
        <v>17.963000000000001</v>
      </c>
    </row>
    <row r="35" spans="3:14" x14ac:dyDescent="0.25">
      <c r="C35" s="16" t="s">
        <v>110</v>
      </c>
      <c r="D35" s="23"/>
      <c r="E35" s="23"/>
      <c r="F35" s="25">
        <f>SUMPRODUCT($E$7:$E$30,--($L$7:$L$30&lt;&gt;"Pequeña"))</f>
        <v>32</v>
      </c>
      <c r="G35" s="25">
        <f>SUMIF($L$7:$L$30,"Pequeña",$E$7:$E$30)</f>
        <v>12</v>
      </c>
    </row>
    <row r="37" spans="3:14" x14ac:dyDescent="0.25">
      <c r="C37" s="16" t="s">
        <v>240</v>
      </c>
      <c r="D37" s="23"/>
      <c r="E37" s="23"/>
      <c r="F37" s="16" t="s">
        <v>108</v>
      </c>
      <c r="G37" s="16" t="s">
        <v>109</v>
      </c>
    </row>
    <row r="38" spans="3:14" x14ac:dyDescent="0.25">
      <c r="C38" s="14" t="s">
        <v>111</v>
      </c>
      <c r="F38" s="27">
        <f>SUMPRODUCT(Despiece!$D$7:$D$30,(Despiece!$I$7:$I$30="2")+(Despiece!$J$7:$J$30="2")+(Despiece!$K$7:$K$30="2")+(Despiece!$L$7:$L$30="2"),--($L$7:$L$30="Pequeña"))</f>
        <v>0</v>
      </c>
      <c r="G38" s="27">
        <f>SUMPRODUCT(Despiece!$D$7:$D$30,(Despiece!$I$7:$I$30="0.45")+(Despiece!$J$7:$J$30="0.45")+(Despiece!$K$7:$K$30="0.45")+(Despiece!$L$7:$L$30="0.45"),--($L$7:$L$30="Pequeña"))</f>
        <v>33</v>
      </c>
    </row>
    <row r="39" spans="3:14" x14ac:dyDescent="0.25">
      <c r="C39" s="14" t="s">
        <v>112</v>
      </c>
      <c r="F39" s="28">
        <f>G33</f>
        <v>0</v>
      </c>
      <c r="G39" s="28">
        <f>G34</f>
        <v>17.963000000000001</v>
      </c>
    </row>
    <row r="40" spans="3:14" x14ac:dyDescent="0.25">
      <c r="C40" s="14" t="s">
        <v>113</v>
      </c>
      <c r="F40" s="29">
        <v>0.1</v>
      </c>
      <c r="G40" s="29">
        <v>0.1</v>
      </c>
    </row>
    <row r="41" spans="3:14" x14ac:dyDescent="0.25">
      <c r="C41" s="14" t="s">
        <v>114</v>
      </c>
      <c r="F41" s="30">
        <v>0.2</v>
      </c>
      <c r="G41" s="30">
        <v>0.2</v>
      </c>
    </row>
    <row r="42" spans="3:14" x14ac:dyDescent="0.25">
      <c r="C42" s="16" t="s">
        <v>241</v>
      </c>
      <c r="D42" s="23"/>
      <c r="E42" s="23"/>
      <c r="F42" s="26">
        <f>IF(F38=0,0,ROUNDUP((F39+F38*F40)*(1+F41),0))</f>
        <v>0</v>
      </c>
      <c r="G42" s="26">
        <f>IF(G38=0,0,ROUNDUP((G39+G38*G40)*(1+G41),0))</f>
        <v>26</v>
      </c>
    </row>
    <row r="43" spans="3:14" ht="49.95" customHeight="1" x14ac:dyDescent="0.25">
      <c r="C43" s="38" t="s">
        <v>242</v>
      </c>
      <c r="D43" s="39"/>
      <c r="E43" s="39"/>
      <c r="F43" s="39"/>
      <c r="G43" s="39"/>
      <c r="H43" s="39"/>
      <c r="I43" s="39"/>
      <c r="J43" s="39"/>
      <c r="K43" s="39"/>
      <c r="L43" s="39"/>
      <c r="M43" s="39"/>
      <c r="N43" s="39"/>
    </row>
    <row r="44" spans="3:14" ht="34.049999999999997" customHeight="1" x14ac:dyDescent="0.25">
      <c r="C44" t="s">
        <v>243</v>
      </c>
      <c r="F44" s="32"/>
      <c r="G44" s="32"/>
    </row>
    <row r="45" spans="3:14" ht="34.049999999999997" customHeight="1" x14ac:dyDescent="0.25">
      <c r="C45" t="s">
        <v>244</v>
      </c>
      <c r="F45" s="32">
        <v>0</v>
      </c>
      <c r="G45" s="32">
        <v>0</v>
      </c>
    </row>
    <row r="46" spans="3:14" ht="34.049999999999997" customHeight="1" x14ac:dyDescent="0.25">
      <c r="C46" s="33" t="s">
        <v>245</v>
      </c>
      <c r="D46" s="33"/>
      <c r="E46" s="33"/>
      <c r="F46" s="34">
        <f>ROUNDUP(MAX(IF(ISNUMBER(F44),F44,F42)-F45,0),0)</f>
        <v>0</v>
      </c>
      <c r="G46" s="34">
        <f>ROUNDUP(MAX(IF(ISNUMBER(G44),G44,G42)-G45,0),0)</f>
        <v>26</v>
      </c>
    </row>
    <row r="47" spans="3:14" ht="49.95" customHeight="1" x14ac:dyDescent="0.25">
      <c r="C47" s="40" t="s">
        <v>246</v>
      </c>
      <c r="D47" s="39"/>
      <c r="E47" s="39"/>
      <c r="F47" s="39"/>
      <c r="G47" s="39"/>
      <c r="H47" s="39"/>
      <c r="I47" s="39"/>
      <c r="J47" s="39"/>
      <c r="K47" s="39"/>
      <c r="L47" s="39"/>
      <c r="M47" s="39"/>
      <c r="N47" s="39"/>
    </row>
  </sheetData>
  <mergeCells count="2">
    <mergeCell ref="C43:N43"/>
    <mergeCell ref="C47:N47"/>
  </mergeCells>
  <dataValidations count="1">
    <dataValidation type="list" allowBlank="1" showInputMessage="1" showErrorMessage="1" sqref="Q2" xr:uid="{00000000-0002-0000-0100-000000000000}"/>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4"/>
  <sheetViews>
    <sheetView showGridLines="0" workbookViewId="0">
      <pane ySplit="6" topLeftCell="A7" activePane="bottomLeft" state="frozen"/>
      <selection pane="bottomLeft"/>
    </sheetView>
  </sheetViews>
  <sheetFormatPr baseColWidth="10" defaultColWidth="8.6640625" defaultRowHeight="13.2" x14ac:dyDescent="0.25"/>
  <cols>
    <col min="1" max="1" width="25" customWidth="1"/>
    <col min="2" max="2" width="32" customWidth="1"/>
    <col min="3" max="3" width="12" customWidth="1"/>
    <col min="4" max="4" width="13" customWidth="1"/>
    <col min="5" max="5" width="17" customWidth="1"/>
    <col min="6" max="6" width="18" customWidth="1"/>
    <col min="7" max="7" width="24" customWidth="1"/>
    <col min="8" max="8" width="86" customWidth="1"/>
    <col min="9" max="9" width="3" customWidth="1"/>
    <col min="10" max="10" width="80" customWidth="1"/>
  </cols>
  <sheetData>
    <row r="1" spans="1:10" ht="15" customHeight="1" x14ac:dyDescent="0.25">
      <c r="A1" s="1"/>
      <c r="B1" s="1"/>
      <c r="C1" s="1"/>
      <c r="D1" s="1"/>
      <c r="E1" s="1"/>
      <c r="F1" s="1"/>
      <c r="G1" s="1"/>
      <c r="H1" s="1"/>
      <c r="I1" s="1"/>
      <c r="J1" s="1"/>
    </row>
    <row r="2" spans="1:10" ht="19.5" customHeight="1" x14ac:dyDescent="0.25">
      <c r="A2" s="2" t="s">
        <v>130</v>
      </c>
      <c r="B2" s="1"/>
      <c r="C2" s="1"/>
      <c r="D2" s="1"/>
      <c r="E2" s="1"/>
      <c r="F2" s="1"/>
      <c r="G2" s="1"/>
      <c r="H2" s="1"/>
      <c r="I2" s="1"/>
      <c r="J2" s="1"/>
    </row>
    <row r="3" spans="1:10" ht="15" customHeight="1" x14ac:dyDescent="0.25">
      <c r="A3" s="12" t="s">
        <v>249</v>
      </c>
      <c r="B3" s="1"/>
      <c r="C3" s="1"/>
      <c r="D3" s="1"/>
      <c r="E3" s="1"/>
      <c r="F3" s="1"/>
      <c r="G3" s="1"/>
      <c r="H3" s="1"/>
      <c r="I3" s="1"/>
      <c r="J3" s="1"/>
    </row>
    <row r="4" spans="1:10" ht="15" customHeight="1" x14ac:dyDescent="0.25">
      <c r="A4" s="1" t="s">
        <v>131</v>
      </c>
      <c r="B4" s="1"/>
      <c r="C4" s="1"/>
      <c r="D4" s="1"/>
      <c r="E4" s="1"/>
      <c r="F4" s="1"/>
      <c r="G4" s="1"/>
      <c r="H4" s="1"/>
      <c r="I4" s="1"/>
      <c r="J4" s="1"/>
    </row>
    <row r="5" spans="1:10" ht="15" customHeight="1" x14ac:dyDescent="0.25">
      <c r="A5" s="1"/>
      <c r="B5" s="1"/>
      <c r="C5" s="1"/>
      <c r="D5" s="1"/>
      <c r="E5" s="1"/>
      <c r="F5" s="1"/>
      <c r="G5" s="1"/>
      <c r="H5" s="1"/>
      <c r="I5" s="1"/>
      <c r="J5" s="1"/>
    </row>
    <row r="6" spans="1:10" ht="42" customHeight="1" x14ac:dyDescent="0.25">
      <c r="A6" s="3" t="s">
        <v>132</v>
      </c>
      <c r="B6" s="3" t="s">
        <v>133</v>
      </c>
      <c r="C6" s="3" t="s">
        <v>134</v>
      </c>
      <c r="D6" s="3" t="s">
        <v>135</v>
      </c>
      <c r="E6" s="3" t="s">
        <v>136</v>
      </c>
      <c r="F6" s="3" t="s">
        <v>137</v>
      </c>
      <c r="G6" s="3" t="s">
        <v>17</v>
      </c>
      <c r="H6" s="3" t="s">
        <v>138</v>
      </c>
      <c r="I6" s="1"/>
      <c r="J6" s="1" t="s">
        <v>139</v>
      </c>
    </row>
    <row r="7" spans="1:10" ht="79.5" customHeight="1" x14ac:dyDescent="0.25">
      <c r="A7" s="1" t="s">
        <v>140</v>
      </c>
      <c r="B7" s="4" t="s">
        <v>141</v>
      </c>
      <c r="C7" s="1">
        <v>5</v>
      </c>
      <c r="D7" s="1" t="s">
        <v>142</v>
      </c>
      <c r="E7" s="9">
        <v>365872</v>
      </c>
      <c r="F7" s="9">
        <f t="shared" ref="F7:F21" si="0">IF(COUNT(C7,E7)=2,C7*E7,"Por cotizar")</f>
        <v>1829360</v>
      </c>
      <c r="G7" s="4" t="s">
        <v>143</v>
      </c>
      <c r="H7" s="4" t="s">
        <v>144</v>
      </c>
      <c r="I7" s="12"/>
      <c r="J7" s="13" t="s">
        <v>290</v>
      </c>
    </row>
    <row r="8" spans="1:10" ht="79.5" customHeight="1" x14ac:dyDescent="0.25">
      <c r="A8" s="1" t="s">
        <v>145</v>
      </c>
      <c r="B8" s="4" t="s">
        <v>146</v>
      </c>
      <c r="C8" s="1">
        <f>Cantos!H7</f>
        <v>1</v>
      </c>
      <c r="D8" s="1" t="s">
        <v>147</v>
      </c>
      <c r="E8" s="9">
        <v>531600</v>
      </c>
      <c r="F8" s="9">
        <f t="shared" si="0"/>
        <v>531600</v>
      </c>
      <c r="G8" s="4" t="s">
        <v>148</v>
      </c>
      <c r="H8" s="4" t="s">
        <v>247</v>
      </c>
      <c r="I8" s="1"/>
      <c r="J8" s="13" t="s">
        <v>291</v>
      </c>
    </row>
    <row r="9" spans="1:10" ht="79.5" customHeight="1" x14ac:dyDescent="0.25">
      <c r="A9" s="1" t="s">
        <v>149</v>
      </c>
      <c r="B9" s="4" t="s">
        <v>150</v>
      </c>
      <c r="C9" s="1">
        <f>Cantos!H8</f>
        <v>1</v>
      </c>
      <c r="D9" s="1" t="s">
        <v>147</v>
      </c>
      <c r="E9" s="9">
        <v>285600</v>
      </c>
      <c r="F9" s="9">
        <f t="shared" si="0"/>
        <v>285600</v>
      </c>
      <c r="G9" s="4" t="s">
        <v>148</v>
      </c>
      <c r="H9" s="4" t="s">
        <v>248</v>
      </c>
      <c r="I9" s="1"/>
      <c r="J9" s="13" t="s">
        <v>291</v>
      </c>
    </row>
    <row r="10" spans="1:10" ht="79.5" customHeight="1" x14ac:dyDescent="0.25">
      <c r="A10" s="1" t="s">
        <v>151</v>
      </c>
      <c r="B10" s="4" t="s">
        <v>152</v>
      </c>
      <c r="C10" s="1">
        <v>3</v>
      </c>
      <c r="D10" s="1" t="s">
        <v>153</v>
      </c>
      <c r="E10" s="9">
        <v>11287</v>
      </c>
      <c r="F10" s="9">
        <f t="shared" si="0"/>
        <v>33861</v>
      </c>
      <c r="G10" s="4" t="s">
        <v>154</v>
      </c>
      <c r="H10" s="13" t="s">
        <v>250</v>
      </c>
      <c r="I10" s="12"/>
      <c r="J10" s="13" t="s">
        <v>251</v>
      </c>
    </row>
    <row r="11" spans="1:10" ht="79.5" customHeight="1" x14ac:dyDescent="0.25">
      <c r="A11" s="1" t="s">
        <v>155</v>
      </c>
      <c r="B11" s="4" t="s">
        <v>156</v>
      </c>
      <c r="C11" s="1">
        <v>1</v>
      </c>
      <c r="D11" s="1" t="s">
        <v>157</v>
      </c>
      <c r="E11" s="9">
        <v>12730</v>
      </c>
      <c r="F11" s="9">
        <f t="shared" si="0"/>
        <v>12730</v>
      </c>
      <c r="G11" s="4" t="s">
        <v>158</v>
      </c>
      <c r="H11" s="4" t="s">
        <v>159</v>
      </c>
      <c r="I11" s="1"/>
      <c r="J11" s="4" t="s">
        <v>160</v>
      </c>
    </row>
    <row r="12" spans="1:10" ht="79.5" customHeight="1" x14ac:dyDescent="0.25">
      <c r="A12" s="1" t="s">
        <v>161</v>
      </c>
      <c r="B12" s="4" t="s">
        <v>162</v>
      </c>
      <c r="C12" s="1">
        <v>1</v>
      </c>
      <c r="D12" s="1" t="s">
        <v>163</v>
      </c>
      <c r="E12" s="9">
        <v>33278</v>
      </c>
      <c r="F12" s="9">
        <f t="shared" si="0"/>
        <v>33278</v>
      </c>
      <c r="G12" s="4" t="s">
        <v>154</v>
      </c>
      <c r="H12" s="4" t="s">
        <v>164</v>
      </c>
      <c r="I12" s="1"/>
      <c r="J12" s="4" t="s">
        <v>165</v>
      </c>
    </row>
    <row r="13" spans="1:10" ht="79.5" customHeight="1" x14ac:dyDescent="0.25">
      <c r="A13" s="1" t="s">
        <v>166</v>
      </c>
      <c r="B13" s="4" t="s">
        <v>167</v>
      </c>
      <c r="C13" s="1">
        <v>2</v>
      </c>
      <c r="D13" s="1" t="s">
        <v>168</v>
      </c>
      <c r="E13" s="9">
        <v>2743</v>
      </c>
      <c r="F13" s="9">
        <f t="shared" si="0"/>
        <v>5486</v>
      </c>
      <c r="G13" s="13" t="s">
        <v>292</v>
      </c>
      <c r="H13" s="4" t="s">
        <v>169</v>
      </c>
      <c r="I13" s="1"/>
      <c r="J13" s="4" t="s">
        <v>170</v>
      </c>
    </row>
    <row r="14" spans="1:10" ht="79.5" customHeight="1" x14ac:dyDescent="0.25">
      <c r="A14" s="1" t="s">
        <v>171</v>
      </c>
      <c r="B14" s="4" t="s">
        <v>172</v>
      </c>
      <c r="C14" s="1"/>
      <c r="D14" s="1" t="s">
        <v>173</v>
      </c>
      <c r="E14" s="9"/>
      <c r="F14" s="9" t="str">
        <f t="shared" si="0"/>
        <v>Por cotizar</v>
      </c>
      <c r="G14" s="4" t="s">
        <v>174</v>
      </c>
      <c r="H14" s="4" t="s">
        <v>175</v>
      </c>
      <c r="I14" s="1"/>
      <c r="J14" s="4" t="s">
        <v>176</v>
      </c>
    </row>
    <row r="15" spans="1:10" ht="79.5" customHeight="1" x14ac:dyDescent="0.25">
      <c r="A15" s="1" t="s">
        <v>177</v>
      </c>
      <c r="B15" s="4" t="s">
        <v>178</v>
      </c>
      <c r="C15" s="1">
        <v>3</v>
      </c>
      <c r="D15" s="1" t="s">
        <v>179</v>
      </c>
      <c r="E15" s="9"/>
      <c r="F15" s="9" t="str">
        <f t="shared" si="0"/>
        <v>Por cotizar</v>
      </c>
      <c r="G15" s="4" t="s">
        <v>180</v>
      </c>
      <c r="H15" s="4" t="s">
        <v>181</v>
      </c>
      <c r="I15" s="1"/>
      <c r="J15" s="4" t="s">
        <v>182</v>
      </c>
    </row>
    <row r="16" spans="1:10" ht="79.5" customHeight="1" x14ac:dyDescent="0.25">
      <c r="A16" s="1" t="s">
        <v>177</v>
      </c>
      <c r="B16" s="4" t="s">
        <v>183</v>
      </c>
      <c r="C16" s="1">
        <v>6</v>
      </c>
      <c r="D16" s="1" t="s">
        <v>168</v>
      </c>
      <c r="E16" s="9"/>
      <c r="F16" s="9" t="str">
        <f t="shared" si="0"/>
        <v>Por cotizar</v>
      </c>
      <c r="G16" s="4" t="s">
        <v>180</v>
      </c>
      <c r="H16" s="4" t="s">
        <v>184</v>
      </c>
      <c r="I16" s="1"/>
      <c r="J16" s="4" t="s">
        <v>185</v>
      </c>
    </row>
    <row r="17" spans="1:10" ht="79.5" customHeight="1" x14ac:dyDescent="0.25">
      <c r="A17" s="1" t="s">
        <v>186</v>
      </c>
      <c r="B17" s="4" t="s">
        <v>187</v>
      </c>
      <c r="C17" s="1">
        <v>6</v>
      </c>
      <c r="D17" s="1" t="s">
        <v>168</v>
      </c>
      <c r="E17" s="9"/>
      <c r="F17" s="9" t="str">
        <f t="shared" si="0"/>
        <v>Por cotizar</v>
      </c>
      <c r="G17" s="4" t="s">
        <v>180</v>
      </c>
      <c r="H17" s="4" t="s">
        <v>188</v>
      </c>
      <c r="I17" s="1"/>
      <c r="J17" s="4" t="s">
        <v>189</v>
      </c>
    </row>
    <row r="18" spans="1:10" ht="79.5" customHeight="1" x14ac:dyDescent="0.25">
      <c r="A18" s="1" t="s">
        <v>186</v>
      </c>
      <c r="B18" s="4" t="s">
        <v>190</v>
      </c>
      <c r="C18" s="1">
        <v>1</v>
      </c>
      <c r="D18" s="1" t="s">
        <v>191</v>
      </c>
      <c r="E18" s="9"/>
      <c r="F18" s="9" t="str">
        <f t="shared" si="0"/>
        <v>Por cotizar</v>
      </c>
      <c r="G18" s="4" t="s">
        <v>180</v>
      </c>
      <c r="H18" s="13" t="s">
        <v>293</v>
      </c>
      <c r="I18" s="1"/>
      <c r="J18" s="4" t="s">
        <v>192</v>
      </c>
    </row>
    <row r="19" spans="1:10" ht="79.5" customHeight="1" x14ac:dyDescent="0.25">
      <c r="A19" s="1" t="s">
        <v>193</v>
      </c>
      <c r="B19" s="4" t="s">
        <v>194</v>
      </c>
      <c r="C19" s="1">
        <v>1</v>
      </c>
      <c r="D19" s="1" t="s">
        <v>195</v>
      </c>
      <c r="E19" s="9"/>
      <c r="F19" s="9" t="str">
        <f t="shared" si="0"/>
        <v>Por cotizar</v>
      </c>
      <c r="G19" s="4" t="s">
        <v>180</v>
      </c>
      <c r="H19" s="4" t="s">
        <v>196</v>
      </c>
      <c r="I19" s="1"/>
      <c r="J19" s="4" t="s">
        <v>197</v>
      </c>
    </row>
    <row r="20" spans="1:10" ht="79.5" customHeight="1" x14ac:dyDescent="0.25">
      <c r="A20" s="1" t="s">
        <v>177</v>
      </c>
      <c r="B20" s="4" t="s">
        <v>198</v>
      </c>
      <c r="C20" s="1">
        <v>1</v>
      </c>
      <c r="D20" s="1" t="s">
        <v>191</v>
      </c>
      <c r="E20" s="9"/>
      <c r="F20" s="9" t="str">
        <f t="shared" si="0"/>
        <v>Por cotizar</v>
      </c>
      <c r="G20" s="4" t="s">
        <v>180</v>
      </c>
      <c r="H20" s="4" t="s">
        <v>199</v>
      </c>
      <c r="I20" s="1"/>
      <c r="J20" s="4" t="s">
        <v>185</v>
      </c>
    </row>
    <row r="21" spans="1:10" ht="79.5" customHeight="1" x14ac:dyDescent="0.25">
      <c r="A21" s="1" t="s">
        <v>200</v>
      </c>
      <c r="B21" s="4" t="s">
        <v>201</v>
      </c>
      <c r="C21" s="1">
        <v>1</v>
      </c>
      <c r="D21" s="1" t="s">
        <v>202</v>
      </c>
      <c r="E21" s="9"/>
      <c r="F21" s="9" t="str">
        <f t="shared" si="0"/>
        <v>Por cotizar</v>
      </c>
      <c r="G21" s="4" t="s">
        <v>180</v>
      </c>
      <c r="H21" s="4" t="s">
        <v>203</v>
      </c>
      <c r="I21" s="1"/>
      <c r="J21" s="4" t="s">
        <v>204</v>
      </c>
    </row>
    <row r="22" spans="1:10" ht="23.25" customHeight="1" x14ac:dyDescent="0.25">
      <c r="A22" s="10" t="s">
        <v>205</v>
      </c>
      <c r="B22" s="10"/>
      <c r="C22" s="10"/>
      <c r="D22" s="10"/>
      <c r="E22" s="11"/>
      <c r="F22" s="11">
        <f>SUM(F7:F21)</f>
        <v>2731915</v>
      </c>
      <c r="G22" s="10"/>
      <c r="H22" s="41" t="s">
        <v>294</v>
      </c>
      <c r="I22" s="1"/>
      <c r="J22" s="1"/>
    </row>
    <row r="23" spans="1:10" ht="15" customHeight="1" x14ac:dyDescent="0.25">
      <c r="A23" s="1"/>
      <c r="B23" s="1"/>
      <c r="C23" s="1"/>
      <c r="D23" s="1"/>
      <c r="E23" s="1"/>
      <c r="F23" s="1"/>
      <c r="G23" s="1"/>
      <c r="H23" s="1"/>
      <c r="I23" s="1"/>
      <c r="J23" s="1"/>
    </row>
    <row r="24" spans="1:10" ht="15" customHeight="1" x14ac:dyDescent="0.25">
      <c r="A24" s="1"/>
      <c r="B24" s="1"/>
      <c r="C24" s="1"/>
      <c r="D24" s="1"/>
      <c r="E24" s="1"/>
      <c r="F24" s="1"/>
      <c r="G24" s="1"/>
      <c r="H24" s="1"/>
      <c r="I24" s="1"/>
      <c r="J24"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showGridLines="0" workbookViewId="0">
      <pane ySplit="6" topLeftCell="A7" activePane="bottomLeft" state="frozen"/>
      <selection pane="bottomLeft"/>
    </sheetView>
  </sheetViews>
  <sheetFormatPr baseColWidth="10" defaultColWidth="8.6640625" defaultRowHeight="13.2" x14ac:dyDescent="0.25"/>
  <cols>
    <col min="1" max="1" width="22" customWidth="1"/>
    <col min="2" max="2" width="75" customWidth="1"/>
    <col min="3" max="3" width="16" customWidth="1"/>
    <col min="4" max="4" width="14" customWidth="1"/>
    <col min="5" max="6" width="17" customWidth="1"/>
    <col min="7" max="7" width="15" customWidth="1"/>
    <col min="8" max="8" width="12" customWidth="1"/>
    <col min="9" max="9" width="14" customWidth="1"/>
  </cols>
  <sheetData>
    <row r="1" spans="1:9" ht="15" customHeight="1" x14ac:dyDescent="0.25">
      <c r="A1" s="1"/>
      <c r="B1" s="1"/>
      <c r="C1" s="1"/>
      <c r="D1" s="1"/>
      <c r="E1" s="1"/>
      <c r="F1" s="1"/>
      <c r="G1" s="1"/>
      <c r="H1" s="1"/>
      <c r="I1" s="1"/>
    </row>
    <row r="2" spans="1:9" ht="19.5" customHeight="1" x14ac:dyDescent="0.25">
      <c r="A2" s="2" t="s">
        <v>115</v>
      </c>
      <c r="B2" s="1"/>
      <c r="C2" s="1"/>
      <c r="D2" s="1"/>
      <c r="E2" s="1"/>
      <c r="F2" s="1"/>
      <c r="G2" s="1"/>
      <c r="H2" s="1" t="s">
        <v>116</v>
      </c>
      <c r="I2" s="1">
        <v>0.05</v>
      </c>
    </row>
    <row r="3" spans="1:9" ht="15" customHeight="1" x14ac:dyDescent="0.25">
      <c r="A3" s="12" t="s">
        <v>117</v>
      </c>
      <c r="B3" s="1"/>
      <c r="C3" s="1"/>
      <c r="D3" s="1"/>
      <c r="E3" s="1"/>
      <c r="F3" s="1"/>
      <c r="G3" s="1"/>
      <c r="H3" s="1"/>
      <c r="I3" s="1"/>
    </row>
    <row r="4" spans="1:9" ht="15" customHeight="1" x14ac:dyDescent="0.25">
      <c r="A4" s="1"/>
      <c r="B4" s="1"/>
      <c r="C4" s="1"/>
      <c r="D4" s="1"/>
      <c r="E4" s="1"/>
      <c r="F4" s="1"/>
      <c r="G4" s="1"/>
      <c r="H4" s="1"/>
      <c r="I4" s="1"/>
    </row>
    <row r="5" spans="1:9" ht="15" customHeight="1" x14ac:dyDescent="0.25">
      <c r="A5" s="1"/>
      <c r="B5" s="1"/>
      <c r="C5" s="1"/>
      <c r="D5" s="1"/>
      <c r="E5" s="1"/>
      <c r="F5" s="1"/>
      <c r="G5" s="1"/>
      <c r="H5" s="1"/>
      <c r="I5" s="1"/>
    </row>
    <row r="6" spans="1:9" ht="42" customHeight="1" x14ac:dyDescent="0.25">
      <c r="A6" s="3" t="s">
        <v>118</v>
      </c>
      <c r="B6" s="3" t="s">
        <v>119</v>
      </c>
      <c r="C6" s="3" t="s">
        <v>112</v>
      </c>
      <c r="D6" s="3" t="s">
        <v>120</v>
      </c>
      <c r="E6" s="3" t="s">
        <v>121</v>
      </c>
      <c r="F6" s="3" t="s">
        <v>122</v>
      </c>
      <c r="G6" s="3" t="s">
        <v>123</v>
      </c>
      <c r="H6" s="3" t="s">
        <v>124</v>
      </c>
      <c r="I6" s="1"/>
    </row>
    <row r="7" spans="1:9" ht="60" customHeight="1" x14ac:dyDescent="0.25">
      <c r="A7" s="1" t="s">
        <v>125</v>
      </c>
      <c r="B7" s="4" t="s">
        <v>126</v>
      </c>
      <c r="C7" s="8">
        <f>SUMPRODUCT(Despiece!$D$7:$D$30,Despiece!$E$7:$E$30,(Despiece!$I$7:$I$30="2")+(Despiece!$J$7:$J$30="2"))/1000+SUMPRODUCT(Despiece!$D$7:$D$30,Despiece!$F$7:$F$30,(Despiece!$K$7:$K$30="2")+(Despiece!$L$7:$L$30="2"))/1000</f>
        <v>31.643999999999998</v>
      </c>
      <c r="D7" s="1">
        <f>SUMPRODUCT(Despiece!$D$7:$D$30,(Despiece!$I$7:$I$30="2")+(Despiece!$J$7:$J$30="2")+(Despiece!$K$7:$K$30="2")+(Despiece!$L$7:$L$30="2"))</f>
        <v>30</v>
      </c>
      <c r="E7" s="6">
        <f>D7*$I$2</f>
        <v>1.5</v>
      </c>
      <c r="F7" s="1">
        <f>ROUNDUP((C7+E7)/5,0)*5</f>
        <v>35</v>
      </c>
      <c r="G7" s="1">
        <v>100</v>
      </c>
      <c r="H7" s="1">
        <f>ROUNDUP(F7/G7,0)</f>
        <v>1</v>
      </c>
      <c r="I7" s="1"/>
    </row>
    <row r="8" spans="1:9" ht="60" customHeight="1" x14ac:dyDescent="0.25">
      <c r="A8" s="1" t="s">
        <v>127</v>
      </c>
      <c r="B8" s="13" t="s">
        <v>128</v>
      </c>
      <c r="C8" s="8">
        <f>SUMPRODUCT(Despiece!$D$7:$D$30,Despiece!$E$7:$E$30,(Despiece!$I$7:$I$30="0.45")+(Despiece!$J$7:$J$30="0.45"))/1000+SUMPRODUCT(Despiece!$D$7:$D$30,Despiece!$F$7:$F$30,(Despiece!$K$7:$K$30="0.45")+(Despiece!$L$7:$L$30="0.45"))/1000</f>
        <v>39.045000000000002</v>
      </c>
      <c r="D8" s="1">
        <f>SUMPRODUCT(Despiece!$D$7:$D$30,(Despiece!$I$7:$I$30="0.45")+(Despiece!$J$7:$J$30="0.45")+(Despiece!$K$7:$K$30="0.45")+(Despiece!$L$7:$L$30="0.45"))</f>
        <v>70</v>
      </c>
      <c r="E8" s="6">
        <f>D8*$I$2</f>
        <v>3.5</v>
      </c>
      <c r="F8" s="1">
        <f>ROUNDUP((C8+E8)/5,0)*5</f>
        <v>45</v>
      </c>
      <c r="G8" s="1">
        <v>200</v>
      </c>
      <c r="H8" s="1">
        <f>ROUNDUP(F8/G8,0)</f>
        <v>1</v>
      </c>
      <c r="I8" s="1"/>
    </row>
    <row r="9" spans="1:9" ht="15" customHeight="1" x14ac:dyDescent="0.25">
      <c r="A9" s="1"/>
      <c r="B9" s="1"/>
      <c r="C9" s="1"/>
      <c r="D9" s="1"/>
      <c r="E9" s="1"/>
      <c r="F9" s="1"/>
      <c r="G9" s="1"/>
      <c r="H9" s="1"/>
      <c r="I9" s="1"/>
    </row>
    <row r="10" spans="1:9" ht="15" customHeight="1" x14ac:dyDescent="0.25">
      <c r="A10" s="12" t="s">
        <v>129</v>
      </c>
      <c r="B10" s="1"/>
      <c r="C10" s="1"/>
      <c r="D10" s="1"/>
      <c r="E10" s="1"/>
      <c r="F10" s="1"/>
      <c r="G10" s="1"/>
      <c r="H10" s="1"/>
      <c r="I10" s="1"/>
    </row>
    <row r="11" spans="1:9" ht="15" customHeight="1" x14ac:dyDescent="0.25">
      <c r="A11" s="1"/>
      <c r="B11" s="1"/>
      <c r="C11" s="1"/>
      <c r="D11" s="1"/>
      <c r="E11" s="1"/>
      <c r="F11" s="1"/>
      <c r="G11" s="1"/>
      <c r="H11" s="1"/>
      <c r="I11" s="1"/>
    </row>
    <row r="12" spans="1:9" ht="15" customHeight="1" x14ac:dyDescent="0.25">
      <c r="A12" s="1"/>
      <c r="B12" s="1"/>
      <c r="C12" s="1"/>
      <c r="D12" s="1"/>
      <c r="E12" s="1"/>
      <c r="F12" s="1"/>
      <c r="G12" s="1"/>
      <c r="H12" s="1"/>
      <c r="I1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0963-ED18-48ED-874C-A2B9A2AF845D}">
  <dimension ref="A2:E14"/>
  <sheetViews>
    <sheetView workbookViewId="0"/>
  </sheetViews>
  <sheetFormatPr baseColWidth="10" defaultRowHeight="13.2" x14ac:dyDescent="0.25"/>
  <cols>
    <col min="1" max="1" width="5.77734375" customWidth="1"/>
    <col min="2" max="2" width="24.77734375" customWidth="1"/>
    <col min="3" max="3" width="80.77734375" customWidth="1"/>
    <col min="4" max="5" width="26.77734375" customWidth="1"/>
  </cols>
  <sheetData>
    <row r="2" spans="1:5" ht="17.399999999999999" x14ac:dyDescent="0.3">
      <c r="A2" s="15" t="s">
        <v>252</v>
      </c>
    </row>
    <row r="3" spans="1:5" x14ac:dyDescent="0.25">
      <c r="A3" s="17" t="s">
        <v>253</v>
      </c>
    </row>
    <row r="6" spans="1:5" x14ac:dyDescent="0.25">
      <c r="A6" s="35" t="s">
        <v>254</v>
      </c>
      <c r="B6" s="35" t="s">
        <v>206</v>
      </c>
      <c r="C6" s="35" t="s">
        <v>255</v>
      </c>
      <c r="D6" s="35" t="s">
        <v>256</v>
      </c>
      <c r="E6" s="35" t="s">
        <v>257</v>
      </c>
    </row>
    <row r="7" spans="1:5" ht="26.4" x14ac:dyDescent="0.25">
      <c r="A7" s="36">
        <v>1</v>
      </c>
      <c r="B7" s="37" t="s">
        <v>258</v>
      </c>
      <c r="C7" s="37" t="s">
        <v>259</v>
      </c>
      <c r="D7" s="37" t="s">
        <v>260</v>
      </c>
      <c r="E7" s="37" t="s">
        <v>261</v>
      </c>
    </row>
    <row r="8" spans="1:5" ht="26.4" x14ac:dyDescent="0.25">
      <c r="A8" s="36">
        <v>2</v>
      </c>
      <c r="B8" s="37" t="s">
        <v>262</v>
      </c>
      <c r="C8" s="37" t="s">
        <v>263</v>
      </c>
      <c r="D8" s="37" t="s">
        <v>264</v>
      </c>
      <c r="E8" s="37" t="s">
        <v>265</v>
      </c>
    </row>
    <row r="9" spans="1:5" ht="26.4" x14ac:dyDescent="0.25">
      <c r="A9" s="36">
        <v>3</v>
      </c>
      <c r="B9" s="37" t="s">
        <v>227</v>
      </c>
      <c r="C9" s="37" t="s">
        <v>266</v>
      </c>
      <c r="D9" s="37" t="s">
        <v>267</v>
      </c>
      <c r="E9" s="37" t="s">
        <v>268</v>
      </c>
    </row>
    <row r="10" spans="1:5" ht="26.4" x14ac:dyDescent="0.25">
      <c r="A10" s="36">
        <v>4</v>
      </c>
      <c r="B10" s="37" t="s">
        <v>269</v>
      </c>
      <c r="C10" s="37" t="s">
        <v>270</v>
      </c>
      <c r="D10" s="37" t="s">
        <v>271</v>
      </c>
      <c r="E10" s="37" t="s">
        <v>272</v>
      </c>
    </row>
    <row r="11" spans="1:5" x14ac:dyDescent="0.25">
      <c r="A11" s="36">
        <v>5</v>
      </c>
      <c r="B11" s="37" t="s">
        <v>273</v>
      </c>
      <c r="C11" s="37" t="s">
        <v>274</v>
      </c>
      <c r="D11" s="37" t="s">
        <v>275</v>
      </c>
      <c r="E11" s="37" t="s">
        <v>276</v>
      </c>
    </row>
    <row r="12" spans="1:5" ht="26.4" x14ac:dyDescent="0.25">
      <c r="A12" s="36">
        <v>6</v>
      </c>
      <c r="B12" s="37" t="s">
        <v>277</v>
      </c>
      <c r="C12" s="37" t="s">
        <v>278</v>
      </c>
      <c r="D12" s="37" t="s">
        <v>279</v>
      </c>
      <c r="E12" s="37" t="s">
        <v>272</v>
      </c>
    </row>
    <row r="13" spans="1:5" ht="26.4" x14ac:dyDescent="0.25">
      <c r="A13" s="36">
        <v>7</v>
      </c>
      <c r="B13" s="37" t="s">
        <v>231</v>
      </c>
      <c r="C13" s="37" t="s">
        <v>280</v>
      </c>
      <c r="D13" s="37" t="s">
        <v>275</v>
      </c>
      <c r="E13" s="37" t="s">
        <v>281</v>
      </c>
    </row>
    <row r="14" spans="1:5" ht="26.4" x14ac:dyDescent="0.25">
      <c r="A14" s="36">
        <v>8</v>
      </c>
      <c r="B14" s="37" t="s">
        <v>282</v>
      </c>
      <c r="C14" s="37" t="s">
        <v>283</v>
      </c>
      <c r="D14" s="37" t="s">
        <v>284</v>
      </c>
      <c r="E14" s="37" t="s">
        <v>285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28ED-57E4-401D-9DBD-33391A6C79EA}">
  <dimension ref="A2:C15"/>
  <sheetViews>
    <sheetView workbookViewId="0"/>
  </sheetViews>
  <sheetFormatPr baseColWidth="10" defaultRowHeight="13.2" x14ac:dyDescent="0.25"/>
  <cols>
    <col min="1" max="1" width="24.77734375" customWidth="1"/>
    <col min="2" max="2" width="90.77734375" customWidth="1"/>
    <col min="3" max="3" width="40.77734375" customWidth="1"/>
  </cols>
  <sheetData>
    <row r="2" spans="1:3" ht="17.399999999999999" x14ac:dyDescent="0.3">
      <c r="A2" s="15" t="s">
        <v>286</v>
      </c>
    </row>
    <row r="3" spans="1:3" x14ac:dyDescent="0.25">
      <c r="A3" s="17" t="s">
        <v>287</v>
      </c>
    </row>
    <row r="6" spans="1:3" x14ac:dyDescent="0.25">
      <c r="A6" s="35" t="s">
        <v>206</v>
      </c>
      <c r="B6" s="35" t="s">
        <v>288</v>
      </c>
      <c r="C6" s="35" t="s">
        <v>289</v>
      </c>
    </row>
    <row r="7" spans="1:3" x14ac:dyDescent="0.25">
      <c r="A7" s="37" t="s">
        <v>207</v>
      </c>
      <c r="B7" s="37" t="s">
        <v>208</v>
      </c>
      <c r="C7" s="37" t="s">
        <v>209</v>
      </c>
    </row>
    <row r="8" spans="1:3" ht="39.6" x14ac:dyDescent="0.25">
      <c r="A8" s="37" t="s">
        <v>210</v>
      </c>
      <c r="B8" s="37" t="s">
        <v>211</v>
      </c>
      <c r="C8" s="37" t="s">
        <v>212</v>
      </c>
    </row>
    <row r="9" spans="1:3" ht="26.4" x14ac:dyDescent="0.25">
      <c r="A9" s="37" t="s">
        <v>213</v>
      </c>
      <c r="B9" s="37" t="s">
        <v>214</v>
      </c>
      <c r="C9" s="37" t="s">
        <v>215</v>
      </c>
    </row>
    <row r="10" spans="1:3" ht="39.6" x14ac:dyDescent="0.25">
      <c r="A10" s="37" t="s">
        <v>216</v>
      </c>
      <c r="B10" s="37" t="s">
        <v>217</v>
      </c>
      <c r="C10" s="37" t="s">
        <v>218</v>
      </c>
    </row>
    <row r="11" spans="1:3" ht="39.6" x14ac:dyDescent="0.25">
      <c r="A11" s="37" t="s">
        <v>219</v>
      </c>
      <c r="B11" s="37" t="s">
        <v>220</v>
      </c>
      <c r="C11" s="37" t="s">
        <v>295</v>
      </c>
    </row>
    <row r="12" spans="1:3" ht="52.8" x14ac:dyDescent="0.25">
      <c r="A12" s="37" t="s">
        <v>221</v>
      </c>
      <c r="B12" s="37" t="s">
        <v>222</v>
      </c>
      <c r="C12" s="37" t="s">
        <v>223</v>
      </c>
    </row>
    <row r="13" spans="1:3" ht="26.4" x14ac:dyDescent="0.25">
      <c r="A13" s="37" t="s">
        <v>224</v>
      </c>
      <c r="B13" s="37" t="s">
        <v>225</v>
      </c>
      <c r="C13" s="37" t="s">
        <v>226</v>
      </c>
    </row>
    <row r="14" spans="1:3" ht="26.4" x14ac:dyDescent="0.25">
      <c r="A14" s="37" t="s">
        <v>228</v>
      </c>
      <c r="B14" s="37" t="s">
        <v>229</v>
      </c>
      <c r="C14" s="37" t="s">
        <v>230</v>
      </c>
    </row>
    <row r="15" spans="1:3" ht="39.6" x14ac:dyDescent="0.25">
      <c r="A15" s="37" t="s">
        <v>232</v>
      </c>
      <c r="B15" s="37" t="s">
        <v>233</v>
      </c>
      <c r="C15" s="37" t="s">
        <v>234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Despiece</vt:lpstr>
      <vt:lpstr>Pedido de corte</vt:lpstr>
      <vt:lpstr>Compras</vt:lpstr>
      <vt:lpstr>Cantos</vt:lpstr>
      <vt:lpstr>Pendientes</vt:lpstr>
      <vt:lpstr>Decisiones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Perez Muñoz</cp:lastModifiedBy>
  <dcterms:modified xsi:type="dcterms:W3CDTF">2026-10-28T01:51:47Z</dcterms:modified>
</cp:coreProperties>
</file>