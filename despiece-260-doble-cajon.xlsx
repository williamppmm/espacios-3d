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4e5ee58e4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piece" sheetId="1" r:id="R0da37f7cce464bc7"/>
    <x:sheet xmlns:r="http://schemas.openxmlformats.org/officeDocument/2006/relationships" name="Herrajes" sheetId="2" r:id="Rd8ce614d5fff4835"/>
    <x:sheet xmlns:r="http://schemas.openxmlformats.org/officeDocument/2006/relationships" name="Compras" sheetId="3" r:id="Re0742782590541a2"/>
    <x:sheet xmlns:r="http://schemas.openxmlformats.org/officeDocument/2006/relationships" name="Cantos" sheetId="4" r:id="R455ad5faaa2d4a4d"/>
    <x:sheet xmlns:r="http://schemas.openxmlformats.org/officeDocument/2006/relationships" name="Revisión" sheetId="5" r:id="R94447ad7d59940d7"/>
    <x:sheet xmlns:r="http://schemas.openxmlformats.org/officeDocument/2006/relationships" name="Distribución" sheetId="6" r:id="Rd3e6fe27c1e2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"/>
    <x:numFmt numFmtId="165" formatCode="&quot;$&quot;#,##0;(&quot;$&quot;#,##0);&quot;—&quot;"/>
    <x:numFmt numFmtId="200" formatCode="0.00"/>
    <x:numFmt numFmtId="201" formatCode="0"/>
    <x:numFmt numFmtId="202" formatCode="0.0"/>
  </x:numFmts>
  <x:fonts count="6">
    <x:font>
      <x:sz val="11"/>
      <x:color theme="1"/>
      <x:name val="Calibri"/>
      <x:family val="2"/>
      <x:scheme val="minor"/>
    </x:font>
    <x:font>
      <x:b/>
    </x:font>
    <x:font>
      <x:b/>
      <x:sz val="13"/>
    </x:font>
    <x:font>
      <x:sz val="11"/>
      <x:color theme="1"/>
      <x:name val="Arial"/>
      <x:family val="2"/>
      <x:scheme val="minor"/>
    </x:font>
    <x:font>
      <x:b/>
      <x:sz val="11"/>
      <x:color theme="1"/>
      <x:name val="Arial"/>
      <x:family val="2"/>
      <x:scheme val="minor"/>
    </x:font>
    <x:font>
      <x:b/>
      <x:sz val="15"/>
      <x:color theme="1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E9DFD3"/>
      </x:patternFill>
    </x:fill>
    <x:fill>
      <x:patternFill patternType="solid">
        <x:fgColor rgb="FFE8DFD4"/>
      </x:patternFill>
    </x:fill>
    <x:fill>
      <x:patternFill patternType="solid">
        <x:fgColor rgb="FFFFF5D6"/>
      </x:patternFill>
    </x:fill>
    <x:fill>
      <x:patternFill patternType="solid">
        <x:fgColor rgb="FFE8DFD4"/>
      </x:patternFill>
    </x:fill>
    <x:fill>
      <x:patternFill patternType="solid">
        <x:fgColor rgb="FFFFF0CC"/>
      </x:patternFill>
    </x:fill>
  </x:fills>
  <x:borders count="2">
    <x:border>
      <x:left/>
      <x:right/>
      <x:top/>
      <x:bottom/>
      <x:diagonal/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2" fillId="0" borderId="0" xfId="0"/>
    <x:xf numFmtId="0" fontId="1" fillId="2" borderId="1" xfId="0" applyAlignment="1">
      <x:alignment horizontal="center" wrapText="1"/>
    </x:xf>
    <x:xf numFmtId="0" fontId="0" fillId="0" borderId="1" xfId="0"/>
    <x:xf numFmtId="0" fontId="1" fillId="2" borderId="0" xfId="0"/>
    <x:xf numFmtId="3" fontId="0" fillId="0" borderId="0" xfId="0"/>
    <x:xf numFmtId="0" fontId="1" fillId="0" borderId="0" xfId="0"/>
    <x:xf numFmtId="3" fontId="1" fillId="0" borderId="0" xfId="0"/>
    <x:xf numFmtId="0" fontId="0" fillId="0" borderId="0" xfId="0" applyAlignment="1">
      <x:alignment wrapText="1"/>
    </x:xf>
    <x:xf numFmtId="2" fontId="0" fillId="0" borderId="0" xfId="0"/>
    <x:xf numFmtId="0" fontId="1" fillId="2" borderId="1" xfId="0" applyAlignment="1">
      <x:alignment horizontal="center" wrapText="1"/>
    </x:xf>
    <x:xf numFmtId="164" fontId="0" fillId="0" borderId="0" xfId="0"/>
    <x:xf numFmtId="1" fontId="0" fillId="0" borderId="0" xfId="0"/>
    <x:xf numFmtId="0" fontId="3" fillId="0" borderId="0" xfId="0"/>
    <x:xf numFmtId="2" fontId="3" fillId="0" borderId="0" xfId="0"/>
    <x:xf numFmtId="0" fontId="3" fillId="3" borderId="0" xfId="0"/>
    <x:xf numFmtId="0" fontId="3" fillId="4" borderId="0" xfId="0"/>
    <x:xf numFmtId="2" fontId="3" fillId="4" borderId="0" xfId="0"/>
    <x:xf numFmtId="0" fontId="0" fillId="0" borderId="0" xfId="0" applyAlignment="1">
      <x:alignment wrapText="1"/>
    </x:xf>
    <x:xf numFmtId="0" fontId="1" fillId="0" borderId="0" xfId="0" applyAlignment="1">
      <x:alignment wrapText="1"/>
    </x:xf>
    <x:xf numFmtId="165" fontId="0" fillId="0" borderId="0" xfId="0"/>
    <x:xf numFmtId="165" fontId="1" fillId="0" borderId="0" xfId="0"/>
    <x:xf numFmtId="165" fontId="3" fillId="0" borderId="0" xfId="0"/>
    <x:xf numFmtId="1" fontId="3" fillId="0" borderId="0" xfId="0"/>
    <x:xf numFmtId="0" fontId="4" fillId="0" borderId="0" xfId="0"/>
    <x:xf numFmtId="165" fontId="4" fillId="0" borderId="0" xfId="0"/>
    <x:xf numFmtId="0" fontId="3" fillId="0" borderId="0" xfId="0" applyAlignment="1">
      <x:alignment wrapText="1"/>
    </x:xf>
    <x:xf numFmtId="0" fontId="5" fillId="0" borderId="0" xfId="0"/>
    <x:xf numFmtId="0" fontId="4" fillId="3" borderId="0" xfId="0"/>
    <x:xf numFmtId="0" fontId="4" fillId="3" borderId="0" xfId="0" applyAlignment="1">
      <x:alignment vertical="center"/>
    </x:xf>
    <x:xf numFmtId="0" fontId="3" fillId="0" borderId="0" xfId="0" applyAlignment="1">
      <x:alignment vertical="center" wrapText="1"/>
    </x:xf>
    <x:xf numFmtId="2" fontId="0" fillId="0" borderId="0" xfId="0"/>
    <x:xf numFmtId="1" fontId="0" fillId="0" borderId="0" xfId="0"/>
    <x:xf numFmtId="165" fontId="0" fillId="0" borderId="0" xfId="0"/>
    <x:xf numFmtId="165" fontId="1" fillId="0" borderId="0" xfId="0"/>
    <x:xf numFmtId="165" fontId="3" fillId="0" borderId="0" xfId="0"/>
    <x:xf numFmtId="165" fontId="4" fillId="0" borderId="0" xfId="0"/>
    <x:xf numFmtId="1" fontId="3" fillId="0" borderId="0" xfId="0"/>
    <x:xf numFmtId="2" fontId="3" fillId="4" borderId="0" xfId="0"/>
    <x:xf numFmtId="164" fontId="0" fillId="0" borderId="0" xfId="0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0" fontId="3" fillId="6" borderId="0" xfId="0" applyNumberFormat="1" applyFont="1" applyFill="1" applyBorder="1"/>
    <x:xf numFmtId="202" fontId="3" fillId="0" borderId="0" xfId="0" applyNumberFormat="1" applyFont="1" applyFill="1" applyBorder="1"/>
  </x:cellXfs>
  <x:cellStyles count="1">
    <x:cellStyle name="Normal" xfId="0"/>
  </x:cellStyles>
  <x:dxfs count="2">
    <x:dxf>
      <x:font>
        <x:color rgb="FF9C5700"/>
      </x:font>
      <x:fill>
        <x:patternFill>
          <x:bgColor rgb="FFFFF0CC"/>
        </x:patternFill>
      </x:fill>
    </x:dxf>
    <x:dxf>
      <x:fill>
        <x:patternFill>
          <x:bgColor rgb="FFFFF0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01502a5214e84" /><Relationship Type="http://schemas.openxmlformats.org/officeDocument/2006/relationships/theme" Target="/xl/theme/theme1.xml" Id="R334e659a541c4026" /><Relationship Type="http://schemas.openxmlformats.org/officeDocument/2006/relationships/sharedStrings" Target="/xl/sharedStrings.xml" Id="R25857c668e514581" /><Relationship Type="http://schemas.openxmlformats.org/officeDocument/2006/relationships/worksheet" Target="/xl/worksheets/sheet1.xml" Id="R0da37f7cce464bc7" /><Relationship Type="http://schemas.openxmlformats.org/officeDocument/2006/relationships/worksheet" Target="/xl/worksheets/sheet2.xml" Id="Rd8ce614d5fff4835" /><Relationship Type="http://schemas.openxmlformats.org/officeDocument/2006/relationships/worksheet" Target="/xl/worksheets/sheet3.xml" Id="Re0742782590541a2" /><Relationship Type="http://schemas.openxmlformats.org/officeDocument/2006/relationships/worksheet" Target="/xl/worksheets/sheet4.xml" Id="R455ad5faaa2d4a4d" /><Relationship Type="http://schemas.openxmlformats.org/officeDocument/2006/relationships/worksheet" Target="/xl/worksheets/sheet5.xml" Id="R94447ad7d59940d7" /><Relationship Type="http://schemas.openxmlformats.org/officeDocument/2006/relationships/worksheet" Target="/xl/worksheets/sheet6.xml" Id="Rd3e6fe27c1e243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6" customWidth="1"/>
    <x:col min="2" max="2" width="43" customWidth="1"/>
    <x:col min="3" max="3" width="52" customWidth="1"/>
    <x:col min="4" max="4" width="28" customWidth="1"/>
    <x:col min="5" max="5" width="21" customWidth="1"/>
    <x:col min="6" max="6" width="21" customWidth="1"/>
    <x:col min="7" max="7" width="7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23" customWidth="1"/>
    <x:col min="13" max="13" width="23" customWidth="1"/>
  </x:cols>
  <x:sheetData>
    <x:row r="1">
      <x:c r="A1" s="1" t="inlineStr">
        <x:is>
          <x:t xml:space="preserve">Despiece cocina terraza · melamina Cartagena RH 15 mm · fondos melamina blanco 6 mm · L = sentido de la veta</x:t>
        </x:is>
      </x:c>
    </x:row>
    <x:row r="2">
      <x:c r="A2" t="str">
        <x:v>E/F = dimensiones terminadas. Sin relleno B0 ni S0. Posiciones y holguras: hoja Distribución.</x:v>
      </x:c>
    </x:row>
    <x:row r="3">
      <x:c r="A3" t="inlineStr">
        <x:is>
          <x:t xml:space="preserve">L = veta. H/I: bordes paralelos a E; J/K: paralelos a F. 2 = canto 2 mm; 0.45 = canto 0,45 mm; — = sin canto.</x:t>
        </x:is>
      </x:c>
    </x:row>
    <x:row r="4" ht="32" customHeight="1">
      <x:c r="A4" s="10" t="inlineStr">
        <x:is>
          <x:t xml:space="preserve">N°</x:t>
        </x:is>
      </x:c>
      <x:c r="B4" s="10" t="inlineStr">
        <x:is>
          <x:t xml:space="preserve">Módulo</x:t>
        </x:is>
      </x:c>
      <x:c r="C4" s="10" t="inlineStr">
        <x:is>
          <x:t xml:space="preserve">Pieza</x:t>
        </x:is>
      </x:c>
      <x:c r="D4" s="10" t="inlineStr">
        <x:is>
          <x:t xml:space="preserve">Material</x:t>
        </x:is>
      </x:c>
      <x:c r="E4" s="10" t="inlineStr">
        <x:is>
          <x:t xml:space="preserve">Largo veta terminado (mm)</x:t>
        </x:is>
      </x:c>
      <x:c r="F4" s="10" t="inlineStr">
        <x:is>
          <x:t xml:space="preserve">Ancho terminado (mm)</x:t>
        </x:is>
      </x:c>
      <x:c r="G4" s="10" t="inlineStr">
        <x:is>
          <x:t xml:space="preserve">Cant.</x:t>
        </x:is>
      </x:c>
      <x:c r="H4" s="10" t="inlineStr">
        <x:is>
          <x:t xml:space="preserve">Canto L1</x:t>
        </x:is>
      </x:c>
      <x:c r="I4" s="10" t="inlineStr">
        <x:is>
          <x:t xml:space="preserve">Canto L2</x:t>
        </x:is>
      </x:c>
      <x:c r="J4" s="10" t="inlineStr">
        <x:is>
          <x:t xml:space="preserve">Canto A1</x:t>
        </x:is>
      </x:c>
      <x:c r="K4" s="10" t="inlineStr">
        <x:is>
          <x:t xml:space="preserve">Canto A2</x:t>
        </x:is>
      </x:c>
      <x:c r="L4" s="10" t="inlineStr">
        <x:is>
          <x:t xml:space="preserve">Largo corte teórico (mm)</x:t>
        </x:is>
      </x:c>
      <x:c r="M4" s="10" t="inlineStr">
        <x:is>
          <x:t xml:space="preserve">Ancho corte teórico (mm)</x:t>
        </x:is>
      </x:c>
    </x:row>
    <x:row r="5">
      <x:c r="A5" s="3" t="str">
        <x:v>03</x:v>
      </x:c>
      <x:c r="B5" s="3" t="str">
        <x:v>B1 Basurero 30</x:v>
      </x:c>
      <x:c r="C5" s="3" t="str">
        <x:v>Lateral</x:v>
      </x:c>
      <x:c r="D5" s="3" t="str">
        <x:v>Melamina Cartagena RH 15</x:v>
      </x:c>
      <x:c r="E5" s="3" t="n">
        <x:v>785</x:v>
      </x:c>
      <x:c r="F5" s="3" t="n">
        <x:v>580</x:v>
      </x:c>
      <x:c r="G5" s="3" t="n">
        <x:v>2</x:v>
      </x:c>
      <x:c r="H5" s="3" t="str">
        <x:v>2</x:v>
      </x:c>
      <x:c r="I5" s="3" t="str">
        <x:v>0.45</x:v>
      </x:c>
      <x:c r="J5" s="3" t="str">
        <x:v>0.45</x:v>
      </x:c>
      <x:c r="K5" s="3" t="str">
        <x:v>0.45</x:v>
      </x:c>
      <x:c r="L5" s="40" t="n">
        <x:f>E5-IF(J5="2",2,IF(J5="0.45",0.45,0))-IF(K5="2",2,IF(K5="0.45",0.45,0))</x:f>
        <x:v>784.0999999999999</x:v>
      </x:c>
      <x:c r="M5" s="40" t="n">
        <x:f>F5-IF(H5="2",2,IF(H5="0.45",0.45,0))-IF(I5="2",2,IF(I5="0.45",0.45,0))</x:f>
        <x:v>577.55</x:v>
      </x:c>
    </x:row>
    <x:row r="6">
      <x:c r="A6" s="3" t="str">
        <x:v>04</x:v>
      </x:c>
      <x:c r="B6" s="3" t="str">
        <x:v>B1 Basurero 30</x:v>
      </x:c>
      <x:c r="C6" s="3" t="str">
        <x:v>Piso</x:v>
      </x:c>
      <x:c r="D6" s="3" t="str">
        <x:v>Melamina Cartagena RH 15</x:v>
      </x:c>
      <x:c r="E6" s="3" t="n">
        <x:v>270</x:v>
      </x:c>
      <x:c r="F6" s="3" t="n">
        <x:v>580</x:v>
      </x:c>
      <x:c r="G6" s="3" t="n">
        <x:v>1</x:v>
      </x:c>
      <x:c r="H6" s="3" t="str">
        <x:v>2</x:v>
      </x:c>
      <x:c r="I6" s="3" t="str">
        <x:v>0.45</x:v>
      </x:c>
      <x:c r="J6" s="3" t="str">
        <x:v>0.45</x:v>
      </x:c>
      <x:c r="K6" s="3" t="str">
        <x:v>0.45</x:v>
      </x:c>
      <x:c r="L6" s="40" t="n">
        <x:f>E6-IF(J6="2",2,IF(J6="0.45",0.45,0))-IF(K6="2",2,IF(K6="0.45",0.45,0))</x:f>
        <x:v>269.1</x:v>
      </x:c>
      <x:c r="M6" s="40" t="n">
        <x:f>F6-IF(H6="2",2,IF(H6="0.45",0.45,0))-IF(I6="2",2,IF(I6="0.45",0.45,0))</x:f>
        <x:v>577.55</x:v>
      </x:c>
    </x:row>
    <x:row r="7">
      <x:c r="A7" s="3" t="str">
        <x:v>05</x:v>
      </x:c>
      <x:c r="B7" s="3" t="str">
        <x:v>B1 Basurero 30</x:v>
      </x:c>
      <x:c r="C7" s="3" t="str">
        <x:v>Travesaño (horizontales)</x:v>
      </x:c>
      <x:c r="D7" s="3" t="str">
        <x:v>Melamina Cartagena RH 15</x:v>
      </x:c>
      <x:c r="E7" s="3" t="n">
        <x:v>270</x:v>
      </x:c>
      <x:c r="F7" s="3" t="n">
        <x:v>100</x:v>
      </x:c>
      <x:c r="G7" s="3" t="n">
        <x:v>2</x:v>
      </x:c>
      <x:c r="H7" s="3" t="str">
        <x:v>0.45</x:v>
      </x:c>
      <x:c r="I7" s="3" t="str">
        <x:v>0.45</x:v>
      </x:c>
      <x:c r="J7" s="3" t="str">
        <x:v>0.45</x:v>
      </x:c>
      <x:c r="K7" s="3" t="str">
        <x:v>0.45</x:v>
      </x:c>
      <x:c r="L7" s="40" t="n">
        <x:f>E7-IF(J7="2",2,IF(J7="0.45",0.45,0))-IF(K7="2",2,IF(K7="0.45",0.45,0))</x:f>
        <x:v>269.1</x:v>
      </x:c>
      <x:c r="M7" s="40" t="n">
        <x:f>F7-IF(H7="2",2,IF(H7="0.45",0.45,0))-IF(I7="2",2,IF(I7="0.45",0.45,0))</x:f>
        <x:v>99.1</x:v>
      </x:c>
    </x:row>
    <x:row r="8">
      <x:c r="A8" s="3" t="str">
        <x:v>06</x:v>
      </x:c>
      <x:c r="B8" s="3" t="str">
        <x:v>B1 Basurero 30</x:v>
      </x:c>
      <x:c r="C8" s="3" t="str">
        <x:v>Fondo melamina 6 mm (clavado atrás)</x:v>
      </x:c>
      <x:c r="D8" s="3" t="str">
        <x:v>Fondo melamina 6</x:v>
      </x:c>
      <x:c r="E8" s="3" t="n">
        <x:v>296</x:v>
      </x:c>
      <x:c r="F8" s="3" t="n">
        <x:v>781</x:v>
      </x:c>
      <x:c r="G8" s="3" t="n">
        <x:v>1</x:v>
      </x:c>
      <x:c r="H8" s="3" t="str">
        <x:v>—</x:v>
      </x:c>
      <x:c r="I8" s="3" t="str">
        <x:v>—</x:v>
      </x:c>
      <x:c r="J8" s="3" t="str">
        <x:v>—</x:v>
      </x:c>
      <x:c r="K8" s="3" t="str">
        <x:v>—</x:v>
      </x:c>
      <x:c r="L8" s="40" t="n">
        <x:f>E8-IF(J8="2",2,IF(J8="0.45",0.45,0))-IF(K8="2",2,IF(K8="0.45",0.45,0))</x:f>
        <x:v>296</x:v>
      </x:c>
      <x:c r="M8" s="40" t="n">
        <x:f>F8-IF(H8="2",2,IF(H8="0.45",0.45,0))-IF(I8="2",2,IF(I8="0.45",0.45,0))</x:f>
        <x:v>781</x:v>
      </x:c>
    </x:row>
    <x:row r="9">
      <x:c r="A9" s="3" t="str">
        <x:v>07</x:v>
      </x:c>
      <x:c r="B9" s="3" t="str">
        <x:v>B1 Basurero 30</x:v>
      </x:c>
      <x:c r="C9" s="3" t="str">
        <x:v>Frente basurero</x:v>
      </x:c>
      <x:c r="D9" s="3" t="str">
        <x:v>Melamina Cartagena RH 15</x:v>
      </x:c>
      <x:c r="E9" s="3" t="n">
        <x:v>732</x:v>
      </x:c>
      <x:c r="F9" s="3" t="n">
        <x:v>297</x:v>
      </x:c>
      <x:c r="G9" s="3" t="n">
        <x:v>1</x:v>
      </x:c>
      <x:c r="H9" s="3" t="str">
        <x:v>2</x:v>
      </x:c>
      <x:c r="I9" s="3" t="str">
        <x:v>2</x:v>
      </x:c>
      <x:c r="J9" s="3" t="str">
        <x:v>2</x:v>
      </x:c>
      <x:c r="K9" s="3" t="str">
        <x:v>2</x:v>
      </x:c>
      <x:c r="L9" s="40" t="n">
        <x:f>E9-IF(J9="2",2,IF(J9="0.45",0.45,0))-IF(K9="2",2,IF(K9="0.45",0.45,0))</x:f>
        <x:v>728</x:v>
      </x:c>
      <x:c r="M9" s="40" t="n">
        <x:f>F9-IF(H9="2",2,IF(H9="0.45",0.45,0))-IF(I9="2",2,IF(I9="0.45",0.45,0))</x:f>
        <x:v>293</x:v>
      </x:c>
    </x:row>
    <x:row r="10">
      <x:c r="A10" s="3" t="str">
        <x:v>08</x:v>
      </x:c>
      <x:c r="B10" s="3" t="str">
        <x:v>B2 Horno + estufa 60</x:v>
      </x:c>
      <x:c r="C10" s="3" t="str">
        <x:v>Lateral</x:v>
      </x:c>
      <x:c r="D10" s="3" t="str">
        <x:v>Melamina Cartagena RH 15</x:v>
      </x:c>
      <x:c r="E10" s="3" t="n">
        <x:v>785</x:v>
      </x:c>
      <x:c r="F10" s="3" t="n">
        <x:v>580</x:v>
      </x:c>
      <x:c r="G10" s="3" t="n">
        <x:v>2</x:v>
      </x:c>
      <x:c r="H10" s="3" t="str">
        <x:v>2</x:v>
      </x:c>
      <x:c r="I10" s="3" t="str">
        <x:v>0.45</x:v>
      </x:c>
      <x:c r="J10" s="3" t="str">
        <x:v>0.45</x:v>
      </x:c>
      <x:c r="K10" s="3" t="str">
        <x:v>0.45</x:v>
      </x:c>
      <x:c r="L10" s="40" t="n">
        <x:f>E10-IF(J10="2",2,IF(J10="0.45",0.45,0))-IF(K10="2",2,IF(K10="0.45",0.45,0))</x:f>
        <x:v>784.0999999999999</x:v>
      </x:c>
      <x:c r="M10" s="40" t="n">
        <x:f>F10-IF(H10="2",2,IF(H10="0.45",0.45,0))-IF(I10="2",2,IF(I10="0.45",0.45,0))</x:f>
        <x:v>577.55</x:v>
      </x:c>
    </x:row>
    <x:row r="11">
      <x:c r="A11" s="3" t="str">
        <x:v>09</x:v>
      </x:c>
      <x:c r="B11" s="3" t="str">
        <x:v>B2 Horno + estufa 60</x:v>
      </x:c>
      <x:c r="C11" s="3" t="str">
        <x:v>Piso (apoyo horno)</x:v>
      </x:c>
      <x:c r="D11" s="3" t="str">
        <x:v>Melamina Cartagena RH 15</x:v>
      </x:c>
      <x:c r="E11" s="3" t="n">
        <x:v>570</x:v>
      </x:c>
      <x:c r="F11" s="3" t="n">
        <x:v>580</x:v>
      </x:c>
      <x:c r="G11" s="3" t="n">
        <x:v>1</x:v>
      </x:c>
      <x:c r="H11" s="3" t="str">
        <x:v>2</x:v>
      </x:c>
      <x:c r="I11" s="3" t="str">
        <x:v>0.45</x:v>
      </x:c>
      <x:c r="J11" s="3" t="str">
        <x:v>0.45</x:v>
      </x:c>
      <x:c r="K11" s="3" t="str">
        <x:v>0.45</x:v>
      </x:c>
      <x:c r="L11" s="40" t="n">
        <x:f>E11-IF(J11="2",2,IF(J11="0.45",0.45,0))-IF(K11="2",2,IF(K11="0.45",0.45,0))</x:f>
        <x:v>569.0999999999999</x:v>
      </x:c>
      <x:c r="M11" s="40" t="n">
        <x:f>F11-IF(H11="2",2,IF(H11="0.45",0.45,0))-IF(I11="2",2,IF(I11="0.45",0.45,0))</x:f>
        <x:v>577.55</x:v>
      </x:c>
    </x:row>
    <x:row r="12">
      <x:c r="A12" s="3" t="str">
        <x:v>10</x:v>
      </x:c>
      <x:c r="B12" s="3" t="str">
        <x:v>B2 Horno + estufa 60</x:v>
      </x:c>
      <x:c r="C12" s="3" t="str">
        <x:v>Repisa sobre horno</x:v>
      </x:c>
      <x:c r="D12" s="3" t="str">
        <x:v>Melamina Cartagena RH 15</x:v>
      </x:c>
      <x:c r="E12" s="3" t="n">
        <x:v>570</x:v>
      </x:c>
      <x:c r="F12" s="3" t="n">
        <x:v>500</x:v>
      </x:c>
      <x:c r="G12" s="3" t="n">
        <x:v>1</x:v>
      </x:c>
      <x:c r="H12" s="3" t="str">
        <x:v>2</x:v>
      </x:c>
      <x:c r="I12" s="3" t="str">
        <x:v>0.45</x:v>
      </x:c>
      <x:c r="J12" s="3" t="str">
        <x:v>0.45</x:v>
      </x:c>
      <x:c r="K12" s="3" t="str">
        <x:v>0.45</x:v>
      </x:c>
      <x:c r="L12" s="40" t="n">
        <x:f>E12-IF(J12="2",2,IF(J12="0.45",0.45,0))-IF(K12="2",2,IF(K12="0.45",0.45,0))</x:f>
        <x:v>569.0999999999999</x:v>
      </x:c>
      <x:c r="M12" s="40" t="n">
        <x:f>F12-IF(H12="2",2,IF(H12="0.45",0.45,0))-IF(I12="2",2,IF(I12="0.45",0.45,0))</x:f>
        <x:v>497.55</x:v>
      </x:c>
    </x:row>
    <x:row r="13">
      <x:c r="A13" s="3" t="str">
        <x:v>11</x:v>
      </x:c>
      <x:c r="B13" s="3" t="str">
        <x:v>B2 Horno + estufa 60</x:v>
      </x:c>
      <x:c r="C13" s="3" t="str">
        <x:v>Travesaño trasero</x:v>
      </x:c>
      <x:c r="D13" s="3" t="str">
        <x:v>Melamina Cartagena RH 15</x:v>
      </x:c>
      <x:c r="E13" s="3" t="n">
        <x:v>570</x:v>
      </x:c>
      <x:c r="F13" s="3" t="n">
        <x:v>100</x:v>
      </x:c>
      <x:c r="G13" s="3" t="n">
        <x:v>1</x:v>
      </x:c>
      <x:c r="H13" s="3" t="str">
        <x:v>0.45</x:v>
      </x:c>
      <x:c r="I13" s="3" t="str">
        <x:v>0.45</x:v>
      </x:c>
      <x:c r="J13" s="3" t="str">
        <x:v>0.45</x:v>
      </x:c>
      <x:c r="K13" s="3" t="str">
        <x:v>0.45</x:v>
      </x:c>
      <x:c r="L13" s="40" t="n">
        <x:f>E13-IF(J13="2",2,IF(J13="0.45",0.45,0))-IF(K13="2",2,IF(K13="0.45",0.45,0))</x:f>
        <x:v>569.0999999999999</x:v>
      </x:c>
      <x:c r="M13" s="40" t="n">
        <x:f>F13-IF(H13="2",2,IF(H13="0.45",0.45,0))-IF(I13="2",2,IF(I13="0.45",0.45,0))</x:f>
        <x:v>99.1</x:v>
      </x:c>
    </x:row>
    <x:row r="14">
      <x:c r="A14" s="3" t="str">
        <x:v>12</x:v>
      </x:c>
      <x:c r="B14" s="3" t="str">
        <x:v>B2 Horno + estufa 60</x:v>
      </x:c>
      <x:c r="C14" s="3" t="str">
        <x:v>Listón frontal de apoyo del mesón (de canto)</x:v>
      </x:c>
      <x:c r="D14" s="3" t="str">
        <x:v>Melamina Cartagena RH 15</x:v>
      </x:c>
      <x:c r="E14" s="3" t="n">
        <x:v>570</x:v>
      </x:c>
      <x:c r="F14" s="3" t="n">
        <x:v>80</x:v>
      </x:c>
      <x:c r="G14" s="3" t="n">
        <x:v>1</x:v>
      </x:c>
      <x:c r="H14" s="3" t="str">
        <x:v>0.45</x:v>
      </x:c>
      <x:c r="I14" s="3" t="str">
        <x:v>0.45</x:v>
      </x:c>
      <x:c r="J14" s="3" t="str">
        <x:v>0.45</x:v>
      </x:c>
      <x:c r="K14" s="3" t="str">
        <x:v>0.45</x:v>
      </x:c>
      <x:c r="L14" s="40" t="n">
        <x:f>E14-IF(J14="2",2,IF(J14="0.45",0.45,0))-IF(K14="2",2,IF(K14="0.45",0.45,0))</x:f>
        <x:v>569.0999999999999</x:v>
      </x:c>
      <x:c r="M14" s="40" t="n">
        <x:f>F14-IF(H14="2",2,IF(H14="0.45",0.45,0))-IF(I14="2",2,IF(I14="0.45",0.45,0))</x:f>
        <x:v>79.1</x:v>
      </x:c>
    </x:row>
    <x:row r="15">
      <x:c r="A15" s="3" t="str">
        <x:v>13</x:v>
      </x:c>
      <x:c r="B15" s="3" t="str">
        <x:v>B2 Horno + estufa 60</x:v>
      </x:c>
      <x:c r="C15" s="3" t="str">
        <x:v>Panel fijo bajo estufa (ajustar en obra)</x:v>
      </x:c>
      <x:c r="D15" s="3" t="str">
        <x:v>Melamina Cartagena RH 15</x:v>
      </x:c>
      <x:c r="E15" s="3" t="n">
        <x:v>145</x:v>
      </x:c>
      <x:c r="F15" s="3" t="n">
        <x:v>597</x:v>
      </x:c>
      <x:c r="G15" s="3" t="n">
        <x:v>1</x:v>
      </x:c>
      <x:c r="H15" s="3" t="str">
        <x:v>2</x:v>
      </x:c>
      <x:c r="I15" s="3" t="str">
        <x:v>2</x:v>
      </x:c>
      <x:c r="J15" s="3" t="str">
        <x:v>2</x:v>
      </x:c>
      <x:c r="K15" s="3" t="str">
        <x:v>2</x:v>
      </x:c>
      <x:c r="L15" s="40" t="n">
        <x:f>E15-IF(J15="2",2,IF(J15="0.45",0.45,0))-IF(K15="2",2,IF(K15="0.45",0.45,0))</x:f>
        <x:v>141</x:v>
      </x:c>
      <x:c r="M15" s="40" t="n">
        <x:f>F15-IF(H15="2",2,IF(H15="0.45",0.45,0))-IF(I15="2",2,IF(I15="0.45",0.45,0))</x:f>
        <x:v>593</x:v>
      </x:c>
    </x:row>
    <x:row r="16">
      <x:c r="A16" s="3" t="str">
        <x:v>14</x:v>
      </x:c>
      <x:c r="B16" s="3" t="str">
        <x:v>B3 Cajonero 30 (junto a la estufa)</x:v>
      </x:c>
      <x:c r="C16" s="3" t="str">
        <x:v>Lateral</x:v>
      </x:c>
      <x:c r="D16" s="3" t="str">
        <x:v>Melamina Cartagena RH 15</x:v>
      </x:c>
      <x:c r="E16" s="3" t="n">
        <x:v>785</x:v>
      </x:c>
      <x:c r="F16" s="3" t="n">
        <x:v>580</x:v>
      </x:c>
      <x:c r="G16" s="3" t="n">
        <x:v>2</x:v>
      </x:c>
      <x:c r="H16" s="3" t="str">
        <x:v>2</x:v>
      </x:c>
      <x:c r="I16" s="3" t="str">
        <x:v>0.45</x:v>
      </x:c>
      <x:c r="J16" s="3" t="str">
        <x:v>0.45</x:v>
      </x:c>
      <x:c r="K16" s="3" t="str">
        <x:v>0.45</x:v>
      </x:c>
      <x:c r="L16" s="40" t="n">
        <x:f>E16-IF(J16="2",2,IF(J16="0.45",0.45,0))-IF(K16="2",2,IF(K16="0.45",0.45,0))</x:f>
        <x:v>784.0999999999999</x:v>
      </x:c>
      <x:c r="M16" s="40" t="n">
        <x:f>F16-IF(H16="2",2,IF(H16="0.45",0.45,0))-IF(I16="2",2,IF(I16="0.45",0.45,0))</x:f>
        <x:v>577.55</x:v>
      </x:c>
    </x:row>
    <x:row r="17">
      <x:c r="A17" s="3" t="str">
        <x:v>15</x:v>
      </x:c>
      <x:c r="B17" s="3" t="str">
        <x:v>B3 Cajonero 30 (junto a la estufa)</x:v>
      </x:c>
      <x:c r="C17" s="3" t="str">
        <x:v>Piso</x:v>
      </x:c>
      <x:c r="D17" s="3" t="str">
        <x:v>Melamina Cartagena RH 15</x:v>
      </x:c>
      <x:c r="E17" s="3" t="n">
        <x:v>270</x:v>
      </x:c>
      <x:c r="F17" s="3" t="n">
        <x:v>580</x:v>
      </x:c>
      <x:c r="G17" s="3" t="n">
        <x:v>1</x:v>
      </x:c>
      <x:c r="H17" s="3" t="str">
        <x:v>2</x:v>
      </x:c>
      <x:c r="I17" s="3" t="str">
        <x:v>0.45</x:v>
      </x:c>
      <x:c r="J17" s="3" t="str">
        <x:v>0.45</x:v>
      </x:c>
      <x:c r="K17" s="3" t="str">
        <x:v>0.45</x:v>
      </x:c>
      <x:c r="L17" s="40" t="n">
        <x:f>E17-IF(J17="2",2,IF(J17="0.45",0.45,0))-IF(K17="2",2,IF(K17="0.45",0.45,0))</x:f>
        <x:v>269.1</x:v>
      </x:c>
      <x:c r="M17" s="40" t="n">
        <x:f>F17-IF(H17="2",2,IF(H17="0.45",0.45,0))-IF(I17="2",2,IF(I17="0.45",0.45,0))</x:f>
        <x:v>577.55</x:v>
      </x:c>
    </x:row>
    <x:row r="18">
      <x:c r="A18" s="3" t="str">
        <x:v>16</x:v>
      </x:c>
      <x:c r="B18" s="3" t="str">
        <x:v>B3 Cajonero 30 (junto a la estufa)</x:v>
      </x:c>
      <x:c r="C18" s="3" t="str">
        <x:v>Travesaño (horizontales)</x:v>
      </x:c>
      <x:c r="D18" s="3" t="str">
        <x:v>Melamina Cartagena RH 15</x:v>
      </x:c>
      <x:c r="E18" s="3" t="n">
        <x:v>270</x:v>
      </x:c>
      <x:c r="F18" s="3" t="n">
        <x:v>100</x:v>
      </x:c>
      <x:c r="G18" s="3" t="n">
        <x:v>2</x:v>
      </x:c>
      <x:c r="H18" s="3" t="str">
        <x:v>0.45</x:v>
      </x:c>
      <x:c r="I18" s="3" t="str">
        <x:v>0.45</x:v>
      </x:c>
      <x:c r="J18" s="3" t="str">
        <x:v>0.45</x:v>
      </x:c>
      <x:c r="K18" s="3" t="str">
        <x:v>0.45</x:v>
      </x:c>
      <x:c r="L18" s="40" t="n">
        <x:f>E18-IF(J18="2",2,IF(J18="0.45",0.45,0))-IF(K18="2",2,IF(K18="0.45",0.45,0))</x:f>
        <x:v>269.1</x:v>
      </x:c>
      <x:c r="M18" s="40" t="n">
        <x:f>F18-IF(H18="2",2,IF(H18="0.45",0.45,0))-IF(I18="2",2,IF(I18="0.45",0.45,0))</x:f>
        <x:v>99.1</x:v>
      </x:c>
    </x:row>
    <x:row r="19">
      <x:c r="A19" s="3" t="str">
        <x:v>17</x:v>
      </x:c>
      <x:c r="B19" s="3" t="str">
        <x:v>B3 Cajonero 30 (junto a la estufa)</x:v>
      </x:c>
      <x:c r="C19" s="3" t="str">
        <x:v>Fondo melamina 6 mm (clavado atrás)</x:v>
      </x:c>
      <x:c r="D19" s="3" t="str">
        <x:v>Fondo melamina 6</x:v>
      </x:c>
      <x:c r="E19" s="3" t="n">
        <x:v>296</x:v>
      </x:c>
      <x:c r="F19" s="3" t="n">
        <x:v>781</x:v>
      </x:c>
      <x:c r="G19" s="3" t="n">
        <x:v>1</x:v>
      </x:c>
      <x:c r="H19" s="3" t="str">
        <x:v>—</x:v>
      </x:c>
      <x:c r="I19" s="3" t="str">
        <x:v>—</x:v>
      </x:c>
      <x:c r="J19" s="3" t="str">
        <x:v>—</x:v>
      </x:c>
      <x:c r="K19" s="3" t="str">
        <x:v>—</x:v>
      </x:c>
      <x:c r="L19" s="40" t="n">
        <x:f>E19-IF(J19="2",2,IF(J19="0.45",0.45,0))-IF(K19="2",2,IF(K19="0.45",0.45,0))</x:f>
        <x:v>296</x:v>
      </x:c>
      <x:c r="M19" s="40" t="n">
        <x:f>F19-IF(H19="2",2,IF(H19="0.45",0.45,0))-IF(I19="2",2,IF(I19="0.45",0.45,0))</x:f>
        <x:v>781</x:v>
      </x:c>
    </x:row>
    <x:row r="20">
      <x:c r="A20" s="3" t="str">
        <x:v>18</x:v>
      </x:c>
      <x:c r="B20" s="3" t="str">
        <x:v>B3 Cajonero 30 (junto a la estufa)</x:v>
      </x:c>
      <x:c r="C20" s="3" t="str">
        <x:v>Frente cajón superior</x:v>
      </x:c>
      <x:c r="D20" s="3" t="str">
        <x:v>Melamina Cartagena RH 15</x:v>
      </x:c>
      <x:c r="E20" s="3" t="n">
        <x:v>167</x:v>
      </x:c>
      <x:c r="F20" s="3" t="n">
        <x:v>297</x:v>
      </x:c>
      <x:c r="G20" s="3" t="n">
        <x:v>1</x:v>
      </x:c>
      <x:c r="H20" s="3" t="str">
        <x:v>2</x:v>
      </x:c>
      <x:c r="I20" s="3" t="str">
        <x:v>2</x:v>
      </x:c>
      <x:c r="J20" s="3" t="str">
        <x:v>2</x:v>
      </x:c>
      <x:c r="K20" s="3" t="str">
        <x:v>2</x:v>
      </x:c>
      <x:c r="L20" s="40" t="n">
        <x:f>E20-IF(J20="2",2,IF(J20="0.45",0.45,0))-IF(K20="2",2,IF(K20="0.45",0.45,0))</x:f>
        <x:v>163</x:v>
      </x:c>
      <x:c r="M20" s="40" t="n">
        <x:f>F20-IF(H20="2",2,IF(H20="0.45",0.45,0))-IF(I20="2",2,IF(I20="0.45",0.45,0))</x:f>
        <x:v>293</x:v>
      </x:c>
    </x:row>
    <x:row r="21">
      <x:c r="A21" s="3" t="str">
        <x:v>19</x:v>
      </x:c>
      <x:c r="B21" s="3" t="str">
        <x:v>B3 Cajonero 30 (junto a la estufa)</x:v>
      </x:c>
      <x:c r="C21" s="3" t="str">
        <x:v>Frente gaveta media</x:v>
      </x:c>
      <x:c r="D21" s="3" t="str">
        <x:v>Melamina Cartagena RH 15</x:v>
      </x:c>
      <x:c r="E21" s="3" t="n">
        <x:v>207</x:v>
      </x:c>
      <x:c r="F21" s="3" t="n">
        <x:v>297</x:v>
      </x:c>
      <x:c r="G21" s="3" t="n">
        <x:v>1</x:v>
      </x:c>
      <x:c r="H21" s="3" t="str">
        <x:v>2</x:v>
      </x:c>
      <x:c r="I21" s="3" t="str">
        <x:v>2</x:v>
      </x:c>
      <x:c r="J21" s="3" t="str">
        <x:v>2</x:v>
      </x:c>
      <x:c r="K21" s="3" t="str">
        <x:v>2</x:v>
      </x:c>
      <x:c r="L21" s="40" t="n">
        <x:f>E21-IF(J21="2",2,IF(J21="0.45",0.45,0))-IF(K21="2",2,IF(K21="0.45",0.45,0))</x:f>
        <x:v>203</x:v>
      </x:c>
      <x:c r="M21" s="40" t="n">
        <x:f>F21-IF(H21="2",2,IF(H21="0.45",0.45,0))-IF(I21="2",2,IF(I21="0.45",0.45,0))</x:f>
        <x:v>293</x:v>
      </x:c>
    </x:row>
    <x:row r="22">
      <x:c r="A22" s="3" t="str">
        <x:v>20</x:v>
      </x:c>
      <x:c r="B22" s="3" t="str">
        <x:v>B3 Cajonero 30 (junto a la estufa)</x:v>
      </x:c>
      <x:c r="C22" s="3" t="str">
        <x:v>Frente gaveta honda</x:v>
      </x:c>
      <x:c r="D22" s="3" t="str">
        <x:v>Melamina Cartagena RH 15</x:v>
      </x:c>
      <x:c r="E22" s="3" t="n">
        <x:v>302</x:v>
      </x:c>
      <x:c r="F22" s="3" t="n">
        <x:v>297</x:v>
      </x:c>
      <x:c r="G22" s="3" t="n">
        <x:v>1</x:v>
      </x:c>
      <x:c r="H22" s="3" t="str">
        <x:v>2</x:v>
      </x:c>
      <x:c r="I22" s="3" t="str">
        <x:v>2</x:v>
      </x:c>
      <x:c r="J22" s="3" t="str">
        <x:v>2</x:v>
      </x:c>
      <x:c r="K22" s="3" t="str">
        <x:v>2</x:v>
      </x:c>
      <x:c r="L22" s="40" t="n">
        <x:f>E22-IF(J22="2",2,IF(J22="0.45",0.45,0))-IF(K22="2",2,IF(K22="0.45",0.45,0))</x:f>
        <x:v>298</x:v>
      </x:c>
      <x:c r="M22" s="40" t="n">
        <x:f>F22-IF(H22="2",2,IF(H22="0.45",0.45,0))-IF(I22="2",2,IF(I22="0.45",0.45,0))</x:f>
        <x:v>293</x:v>
      </x:c>
    </x:row>
    <x:row r="23">
      <x:c r="A23" s="3" t="str">
        <x:v>21</x:v>
      </x:c>
      <x:c r="B23" s="3" t="str">
        <x:v>B3 Cajonero 30 (junto a la estufa)</x:v>
      </x:c>
      <x:c r="C23" s="3" t="str">
        <x:v>Gaveta honda: costado</x:v>
      </x:c>
      <x:c r="D23" s="3" t="str">
        <x:v>Melamina Cartagena RH 15</x:v>
      </x:c>
      <x:c r="E23" s="3" t="n">
        <x:v>550</x:v>
      </x:c>
      <x:c r="F23" s="3" t="n">
        <x:v>220</x:v>
      </x:c>
      <x:c r="G23" s="3" t="n">
        <x:v>2</x:v>
      </x:c>
      <x:c r="H23" s="3" t="str">
        <x:v>0.45</x:v>
      </x:c>
      <x:c r="I23" s="3" t="str">
        <x:v>0.45</x:v>
      </x:c>
      <x:c r="J23" s="3" t="str">
        <x:v>0.45</x:v>
      </x:c>
      <x:c r="K23" s="3" t="str">
        <x:v>0.45</x:v>
      </x:c>
      <x:c r="L23" s="40" t="n">
        <x:f>E23-IF(J23="2",2,IF(J23="0.45",0.45,0))-IF(K23="2",2,IF(K23="0.45",0.45,0))</x:f>
        <x:v>549.0999999999999</x:v>
      </x:c>
      <x:c r="M23" s="40" t="n">
        <x:f>F23-IF(H23="2",2,IF(H23="0.45",0.45,0))-IF(I23="2",2,IF(I23="0.45",0.45,0))</x:f>
        <x:v>219.10000000000002</x:v>
      </x:c>
    </x:row>
    <x:row r="24">
      <x:c r="A24" s="3" t="str">
        <x:v>22</x:v>
      </x:c>
      <x:c r="B24" s="3" t="str">
        <x:v>B3 Cajonero 30 (junto a la estufa)</x:v>
      </x:c>
      <x:c r="C24" s="3" t="str">
        <x:v>Gaveta honda: frente/trasero interno</x:v>
      </x:c>
      <x:c r="D24" s="3" t="str">
        <x:v>Melamina Cartagena RH 15</x:v>
      </x:c>
      <x:c r="E24" s="3" t="n">
        <x:v>213</x:v>
      </x:c>
      <x:c r="F24" s="3" t="n">
        <x:v>220</x:v>
      </x:c>
      <x:c r="G24" s="3" t="n">
        <x:v>2</x:v>
      </x:c>
      <x:c r="H24" s="3" t="str">
        <x:v>0.45</x:v>
      </x:c>
      <x:c r="I24" s="3" t="str">
        <x:v>0.45</x:v>
      </x:c>
      <x:c r="J24" s="3" t="str">
        <x:v>0.45</x:v>
      </x:c>
      <x:c r="K24" s="3" t="str">
        <x:v>0.45</x:v>
      </x:c>
      <x:c r="L24" s="40" t="n">
        <x:f>E24-IF(J24="2",2,IF(J24="0.45",0.45,0))-IF(K24="2",2,IF(K24="0.45",0.45,0))</x:f>
        <x:v>212.10000000000002</x:v>
      </x:c>
      <x:c r="M24" s="40" t="n">
        <x:f>F24-IF(H24="2",2,IF(H24="0.45",0.45,0))-IF(I24="2",2,IF(I24="0.45",0.45,0))</x:f>
        <x:v>219.10000000000002</x:v>
      </x:c>
    </x:row>
    <x:row r="25">
      <x:c r="A25" s="3" t="str">
        <x:v>23</x:v>
      </x:c>
      <x:c r="B25" s="3" t="str">
        <x:v>B3 Cajonero 30 (junto a la estufa)</x:v>
      </x:c>
      <x:c r="C25" s="3" t="str">
        <x:v>Gaveta honda: base</x:v>
      </x:c>
      <x:c r="D25" s="3" t="str">
        <x:v>Melamina Cartagena RH 15</x:v>
      </x:c>
      <x:c r="E25" s="3" t="n">
        <x:v>213</x:v>
      </x:c>
      <x:c r="F25" s="3" t="n">
        <x:v>520</x:v>
      </x:c>
      <x:c r="G25" s="3" t="n">
        <x:v>1</x:v>
      </x:c>
      <x:c r="H25" s="3" t="str">
        <x:v>0.45</x:v>
      </x:c>
      <x:c r="I25" s="3" t="str">
        <x:v>0.45</x:v>
      </x:c>
      <x:c r="J25" s="3" t="str">
        <x:v>0.45</x:v>
      </x:c>
      <x:c r="K25" s="3" t="str">
        <x:v>0.45</x:v>
      </x:c>
      <x:c r="L25" s="40" t="n">
        <x:f>E25-IF(J25="2",2,IF(J25="0.45",0.45,0))-IF(K25="2",2,IF(K25="0.45",0.45,0))</x:f>
        <x:v>212.10000000000002</x:v>
      </x:c>
      <x:c r="M25" s="40" t="n">
        <x:f>F25-IF(H25="2",2,IF(H25="0.45",0.45,0))-IF(I25="2",2,IF(I25="0.45",0.45,0))</x:f>
        <x:v>519.0999999999999</x:v>
      </x:c>
    </x:row>
    <x:row r="26">
      <x:c r="A26" s="3" t="str">
        <x:v>24</x:v>
      </x:c>
      <x:c r="B26" s="3" t="str">
        <x:v>B3 Cajonero 30 (junto a la estufa)</x:v>
      </x:c>
      <x:c r="C26" s="3" t="str">
        <x:v>Gaveta media: costado</x:v>
      </x:c>
      <x:c r="D26" s="3" t="str">
        <x:v>Melamina Cartagena RH 15</x:v>
      </x:c>
      <x:c r="E26" s="3" t="n">
        <x:v>550</x:v>
      </x:c>
      <x:c r="F26" s="3" t="n">
        <x:v>140</x:v>
      </x:c>
      <x:c r="G26" s="3" t="n">
        <x:v>2</x:v>
      </x:c>
      <x:c r="H26" s="3" t="str">
        <x:v>0.45</x:v>
      </x:c>
      <x:c r="I26" s="3" t="str">
        <x:v>0.45</x:v>
      </x:c>
      <x:c r="J26" s="3" t="str">
        <x:v>0.45</x:v>
      </x:c>
      <x:c r="K26" s="3" t="str">
        <x:v>0.45</x:v>
      </x:c>
      <x:c r="L26" s="40" t="n">
        <x:f>E26-IF(J26="2",2,IF(J26="0.45",0.45,0))-IF(K26="2",2,IF(K26="0.45",0.45,0))</x:f>
        <x:v>549.0999999999999</x:v>
      </x:c>
      <x:c r="M26" s="40" t="n">
        <x:f>F26-IF(H26="2",2,IF(H26="0.45",0.45,0))-IF(I26="2",2,IF(I26="0.45",0.45,0))</x:f>
        <x:v>139.10000000000002</x:v>
      </x:c>
    </x:row>
    <x:row r="27">
      <x:c r="A27" s="3" t="str">
        <x:v>25</x:v>
      </x:c>
      <x:c r="B27" s="3" t="str">
        <x:v>B3 Cajonero 30 (junto a la estufa)</x:v>
      </x:c>
      <x:c r="C27" s="3" t="str">
        <x:v>Gaveta media: frente/trasero interno</x:v>
      </x:c>
      <x:c r="D27" s="3" t="str">
        <x:v>Melamina Cartagena RH 15</x:v>
      </x:c>
      <x:c r="E27" s="3" t="n">
        <x:v>213</x:v>
      </x:c>
      <x:c r="F27" s="3" t="n">
        <x:v>140</x:v>
      </x:c>
      <x:c r="G27" s="3" t="n">
        <x:v>2</x:v>
      </x:c>
      <x:c r="H27" s="3" t="str">
        <x:v>0.45</x:v>
      </x:c>
      <x:c r="I27" s="3" t="str">
        <x:v>0.45</x:v>
      </x:c>
      <x:c r="J27" s="3" t="str">
        <x:v>0.45</x:v>
      </x:c>
      <x:c r="K27" s="3" t="str">
        <x:v>0.45</x:v>
      </x:c>
      <x:c r="L27" s="40" t="n">
        <x:f>E27-IF(J27="2",2,IF(J27="0.45",0.45,0))-IF(K27="2",2,IF(K27="0.45",0.45,0))</x:f>
        <x:v>212.10000000000002</x:v>
      </x:c>
      <x:c r="M27" s="40" t="n">
        <x:f>F27-IF(H27="2",2,IF(H27="0.45",0.45,0))-IF(I27="2",2,IF(I27="0.45",0.45,0))</x:f>
        <x:v>139.10000000000002</x:v>
      </x:c>
    </x:row>
    <x:row r="28">
      <x:c r="A28" s="3" t="str">
        <x:v>26</x:v>
      </x:c>
      <x:c r="B28" s="3" t="str">
        <x:v>B3 Cajonero 30 (junto a la estufa)</x:v>
      </x:c>
      <x:c r="C28" s="3" t="str">
        <x:v>Gaveta media: base</x:v>
      </x:c>
      <x:c r="D28" s="3" t="str">
        <x:v>Melamina Cartagena RH 15</x:v>
      </x:c>
      <x:c r="E28" s="3" t="n">
        <x:v>213</x:v>
      </x:c>
      <x:c r="F28" s="3" t="n">
        <x:v>520</x:v>
      </x:c>
      <x:c r="G28" s="3" t="n">
        <x:v>1</x:v>
      </x:c>
      <x:c r="H28" s="3" t="str">
        <x:v>0.45</x:v>
      </x:c>
      <x:c r="I28" s="3" t="str">
        <x:v>0.45</x:v>
      </x:c>
      <x:c r="J28" s="3" t="str">
        <x:v>0.45</x:v>
      </x:c>
      <x:c r="K28" s="3" t="str">
        <x:v>0.45</x:v>
      </x:c>
      <x:c r="L28" s="40" t="n">
        <x:f>E28-IF(J28="2",2,IF(J28="0.45",0.45,0))-IF(K28="2",2,IF(K28="0.45",0.45,0))</x:f>
        <x:v>212.10000000000002</x:v>
      </x:c>
      <x:c r="M28" s="40" t="n">
        <x:f>F28-IF(H28="2",2,IF(H28="0.45",0.45,0))-IF(I28="2",2,IF(I28="0.45",0.45,0))</x:f>
        <x:v>519.0999999999999</x:v>
      </x:c>
    </x:row>
    <x:row r="29">
      <x:c r="A29" s="3" t="str">
        <x:v>27</x:v>
      </x:c>
      <x:c r="B29" s="3" t="str">
        <x:v>B3 Cajonero 30 (junto a la estufa)</x:v>
      </x:c>
      <x:c r="C29" s="3" t="str">
        <x:v>Cajón superior: costado</x:v>
      </x:c>
      <x:c r="D29" s="3" t="str">
        <x:v>Melamina Cartagena RH 15</x:v>
      </x:c>
      <x:c r="E29" s="3" t="n">
        <x:v>550</x:v>
      </x:c>
      <x:c r="F29" s="3" t="n">
        <x:v>90</x:v>
      </x:c>
      <x:c r="G29" s="3" t="n">
        <x:v>2</x:v>
      </x:c>
      <x:c r="H29" s="3" t="str">
        <x:v>0.45</x:v>
      </x:c>
      <x:c r="I29" s="3" t="str">
        <x:v>0.45</x:v>
      </x:c>
      <x:c r="J29" s="3" t="str">
        <x:v>0.45</x:v>
      </x:c>
      <x:c r="K29" s="3" t="str">
        <x:v>0.45</x:v>
      </x:c>
      <x:c r="L29" s="40" t="n">
        <x:f>E29-IF(J29="2",2,IF(J29="0.45",0.45,0))-IF(K29="2",2,IF(K29="0.45",0.45,0))</x:f>
        <x:v>549.0999999999999</x:v>
      </x:c>
      <x:c r="M29" s="40" t="n">
        <x:f>F29-IF(H29="2",2,IF(H29="0.45",0.45,0))-IF(I29="2",2,IF(I29="0.45",0.45,0))</x:f>
        <x:v>89.1</x:v>
      </x:c>
    </x:row>
    <x:row r="30">
      <x:c r="A30" s="3" t="str">
        <x:v>28</x:v>
      </x:c>
      <x:c r="B30" s="3" t="str">
        <x:v>B3 Cajonero 30 (junto a la estufa)</x:v>
      </x:c>
      <x:c r="C30" s="3" t="str">
        <x:v>Cajón superior: frente/trasero interno</x:v>
      </x:c>
      <x:c r="D30" s="3" t="str">
        <x:v>Melamina Cartagena RH 15</x:v>
      </x:c>
      <x:c r="E30" s="3" t="n">
        <x:v>213</x:v>
      </x:c>
      <x:c r="F30" s="3" t="n">
        <x:v>90</x:v>
      </x:c>
      <x:c r="G30" s="3" t="n">
        <x:v>2</x:v>
      </x:c>
      <x:c r="H30" s="3" t="str">
        <x:v>0.45</x:v>
      </x:c>
      <x:c r="I30" s="3" t="str">
        <x:v>0.45</x:v>
      </x:c>
      <x:c r="J30" s="3" t="str">
        <x:v>0.45</x:v>
      </x:c>
      <x:c r="K30" s="3" t="str">
        <x:v>0.45</x:v>
      </x:c>
      <x:c r="L30" s="40" t="n">
        <x:f>E30-IF(J30="2",2,IF(J30="0.45",0.45,0))-IF(K30="2",2,IF(K30="0.45",0.45,0))</x:f>
        <x:v>212.10000000000002</x:v>
      </x:c>
      <x:c r="M30" s="40" t="n">
        <x:f>F30-IF(H30="2",2,IF(H30="0.45",0.45,0))-IF(I30="2",2,IF(I30="0.45",0.45,0))</x:f>
        <x:v>89.1</x:v>
      </x:c>
    </x:row>
    <x:row r="31">
      <x:c r="A31" s="3" t="str">
        <x:v>29</x:v>
      </x:c>
      <x:c r="B31" s="3" t="str">
        <x:v>B3 Cajonero 30 (junto a la estufa)</x:v>
      </x:c>
      <x:c r="C31" s="3" t="str">
        <x:v>Cajón superior: base</x:v>
      </x:c>
      <x:c r="D31" s="3" t="str">
        <x:v>Melamina Cartagena RH 15</x:v>
      </x:c>
      <x:c r="E31" s="3" t="n">
        <x:v>213</x:v>
      </x:c>
      <x:c r="F31" s="3" t="n">
        <x:v>520</x:v>
      </x:c>
      <x:c r="G31" s="3" t="n">
        <x:v>1</x:v>
      </x:c>
      <x:c r="H31" s="3" t="str">
        <x:v>0.45</x:v>
      </x:c>
      <x:c r="I31" s="3" t="str">
        <x:v>0.45</x:v>
      </x:c>
      <x:c r="J31" s="3" t="str">
        <x:v>0.45</x:v>
      </x:c>
      <x:c r="K31" s="3" t="str">
        <x:v>0.45</x:v>
      </x:c>
      <x:c r="L31" s="40" t="n">
        <x:f>E31-IF(J31="2",2,IF(J31="0.45",0.45,0))-IF(K31="2",2,IF(K31="0.45",0.45,0))</x:f>
        <x:v>212.10000000000002</x:v>
      </x:c>
      <x:c r="M31" s="40" t="n">
        <x:f>F31-IF(H31="2",2,IF(H31="0.45",0.45,0))-IF(I31="2",2,IF(I31="0.45",0.45,0))</x:f>
        <x:v>519.0999999999999</x:v>
      </x:c>
    </x:row>
    <x:row r="32">
      <x:c r="A32" s="3" t="str">
        <x:v>30</x:v>
      </x:c>
      <x:c r="B32" s="3" t="str">
        <x:v>B4 Cajonero 45 (junto al lavaplatos)</x:v>
      </x:c>
      <x:c r="C32" s="3" t="str">
        <x:v>Lateral</x:v>
      </x:c>
      <x:c r="D32" s="3" t="str">
        <x:v>Melamina Cartagena RH 15</x:v>
      </x:c>
      <x:c r="E32" s="3" t="n">
        <x:v>785</x:v>
      </x:c>
      <x:c r="F32" s="3" t="n">
        <x:v>580</x:v>
      </x:c>
      <x:c r="G32" s="3" t="n">
        <x:v>2</x:v>
      </x:c>
      <x:c r="H32" s="3" t="str">
        <x:v>2</x:v>
      </x:c>
      <x:c r="I32" s="3" t="str">
        <x:v>0.45</x:v>
      </x:c>
      <x:c r="J32" s="3" t="str">
        <x:v>0.45</x:v>
      </x:c>
      <x:c r="K32" s="3" t="str">
        <x:v>0.45</x:v>
      </x:c>
      <x:c r="L32" s="40" t="n">
        <x:f>E32-IF(J32="2",2,IF(J32="0.45",0.45,0))-IF(K32="2",2,IF(K32="0.45",0.45,0))</x:f>
        <x:v>784.0999999999999</x:v>
      </x:c>
      <x:c r="M32" s="40" t="n">
        <x:f>F32-IF(H32="2",2,IF(H32="0.45",0.45,0))-IF(I32="2",2,IF(I32="0.45",0.45,0))</x:f>
        <x:v>577.55</x:v>
      </x:c>
    </x:row>
    <x:row r="33">
      <x:c r="A33" s="3" t="str">
        <x:v>31</x:v>
      </x:c>
      <x:c r="B33" s="3" t="str">
        <x:v>B4 Cajonero 45 (junto al lavaplatos)</x:v>
      </x:c>
      <x:c r="C33" s="3" t="str">
        <x:v>Piso</x:v>
      </x:c>
      <x:c r="D33" s="3" t="str">
        <x:v>Melamina Cartagena RH 15</x:v>
      </x:c>
      <x:c r="E33" s="3" t="n">
        <x:v>420</x:v>
      </x:c>
      <x:c r="F33" s="3" t="n">
        <x:v>580</x:v>
      </x:c>
      <x:c r="G33" s="3" t="n">
        <x:v>1</x:v>
      </x:c>
      <x:c r="H33" s="3" t="str">
        <x:v>2</x:v>
      </x:c>
      <x:c r="I33" s="3" t="str">
        <x:v>0.45</x:v>
      </x:c>
      <x:c r="J33" s="3" t="str">
        <x:v>0.45</x:v>
      </x:c>
      <x:c r="K33" s="3" t="str">
        <x:v>0.45</x:v>
      </x:c>
      <x:c r="L33" s="40" t="n">
        <x:f>E33-IF(J33="2",2,IF(J33="0.45",0.45,0))-IF(K33="2",2,IF(K33="0.45",0.45,0))</x:f>
        <x:v>419.1</x:v>
      </x:c>
      <x:c r="M33" s="40" t="n">
        <x:f>F33-IF(H33="2",2,IF(H33="0.45",0.45,0))-IF(I33="2",2,IF(I33="0.45",0.45,0))</x:f>
        <x:v>577.55</x:v>
      </x:c>
    </x:row>
    <x:row r="34">
      <x:c r="A34" s="3" t="str">
        <x:v>32</x:v>
      </x:c>
      <x:c r="B34" s="3" t="str">
        <x:v>B4 Cajonero 45 (junto al lavaplatos)</x:v>
      </x:c>
      <x:c r="C34" s="3" t="str">
        <x:v>Travesaño (horizontales)</x:v>
      </x:c>
      <x:c r="D34" s="3" t="str">
        <x:v>Melamina Cartagena RH 15</x:v>
      </x:c>
      <x:c r="E34" s="3" t="n">
        <x:v>420</x:v>
      </x:c>
      <x:c r="F34" s="3" t="n">
        <x:v>100</x:v>
      </x:c>
      <x:c r="G34" s="3" t="n">
        <x:v>2</x:v>
      </x:c>
      <x:c r="H34" s="3" t="str">
        <x:v>0.45</x:v>
      </x:c>
      <x:c r="I34" s="3" t="str">
        <x:v>0.45</x:v>
      </x:c>
      <x:c r="J34" s="3" t="str">
        <x:v>0.45</x:v>
      </x:c>
      <x:c r="K34" s="3" t="str">
        <x:v>0.45</x:v>
      </x:c>
      <x:c r="L34" s="40" t="n">
        <x:f>E34-IF(J34="2",2,IF(J34="0.45",0.45,0))-IF(K34="2",2,IF(K34="0.45",0.45,0))</x:f>
        <x:v>419.1</x:v>
      </x:c>
      <x:c r="M34" s="40" t="n">
        <x:f>F34-IF(H34="2",2,IF(H34="0.45",0.45,0))-IF(I34="2",2,IF(I34="0.45",0.45,0))</x:f>
        <x:v>99.1</x:v>
      </x:c>
    </x:row>
    <x:row r="35">
      <x:c r="A35" s="3" t="str">
        <x:v>33</x:v>
      </x:c>
      <x:c r="B35" s="3" t="str">
        <x:v>B4 Cajonero 45 (junto al lavaplatos)</x:v>
      </x:c>
      <x:c r="C35" s="3" t="str">
        <x:v>Fondo melamina 6 mm (clavado atrás)</x:v>
      </x:c>
      <x:c r="D35" s="3" t="str">
        <x:v>Fondo melamina 6</x:v>
      </x:c>
      <x:c r="E35" s="3" t="n">
        <x:v>446</x:v>
      </x:c>
      <x:c r="F35" s="3" t="n">
        <x:v>781</x:v>
      </x:c>
      <x:c r="G35" s="3" t="n">
        <x:v>1</x:v>
      </x:c>
      <x:c r="H35" s="3" t="str">
        <x:v>—</x:v>
      </x:c>
      <x:c r="I35" s="3" t="str">
        <x:v>—</x:v>
      </x:c>
      <x:c r="J35" s="3" t="str">
        <x:v>—</x:v>
      </x:c>
      <x:c r="K35" s="3" t="str">
        <x:v>—</x:v>
      </x:c>
      <x:c r="L35" s="40" t="n">
        <x:f>E35-IF(J35="2",2,IF(J35="0.45",0.45,0))-IF(K35="2",2,IF(K35="0.45",0.45,0))</x:f>
        <x:v>446</x:v>
      </x:c>
      <x:c r="M35" s="40" t="n">
        <x:f>F35-IF(H35="2",2,IF(H35="0.45",0.45,0))-IF(I35="2",2,IF(I35="0.45",0.45,0))</x:f>
        <x:v>781</x:v>
      </x:c>
    </x:row>
    <x:row r="36">
      <x:c r="A36" s="3" t="str">
        <x:v>34</x:v>
      </x:c>
      <x:c r="B36" s="3" t="str">
        <x:v>B4 Cajonero 45 (junto al lavaplatos)</x:v>
      </x:c>
      <x:c r="C36" s="3" t="str">
        <x:v>Frente cajón superior (cubiertero)</x:v>
      </x:c>
      <x:c r="D36" s="3" t="str">
        <x:v>Melamina Cartagena RH 15</x:v>
      </x:c>
      <x:c r="E36" s="3" t="n">
        <x:v>167</x:v>
      </x:c>
      <x:c r="F36" s="3" t="n">
        <x:v>447</x:v>
      </x:c>
      <x:c r="G36" s="3" t="n">
        <x:v>1</x:v>
      </x:c>
      <x:c r="H36" s="3" t="str">
        <x:v>2</x:v>
      </x:c>
      <x:c r="I36" s="3" t="str">
        <x:v>2</x:v>
      </x:c>
      <x:c r="J36" s="3" t="str">
        <x:v>2</x:v>
      </x:c>
      <x:c r="K36" s="3" t="str">
        <x:v>2</x:v>
      </x:c>
      <x:c r="L36" s="40" t="n">
        <x:f>E36-IF(J36="2",2,IF(J36="0.45",0.45,0))-IF(K36="2",2,IF(K36="0.45",0.45,0))</x:f>
        <x:v>163</x:v>
      </x:c>
      <x:c r="M36" s="40" t="n">
        <x:f>F36-IF(H36="2",2,IF(H36="0.45",0.45,0))-IF(I36="2",2,IF(I36="0.45",0.45,0))</x:f>
        <x:v>443</x:v>
      </x:c>
    </x:row>
    <x:row r="37">
      <x:c r="A37" s="3" t="str">
        <x:v>35</x:v>
      </x:c>
      <x:c r="B37" s="3" t="str">
        <x:v>B4 Cajonero 45 (junto al lavaplatos)</x:v>
      </x:c>
      <x:c r="C37" s="3" t="str">
        <x:v>Frente gaveta media</x:v>
      </x:c>
      <x:c r="D37" s="3" t="str">
        <x:v>Melamina Cartagena RH 15</x:v>
      </x:c>
      <x:c r="E37" s="3" t="n">
        <x:v>207</x:v>
      </x:c>
      <x:c r="F37" s="3" t="n">
        <x:v>447</x:v>
      </x:c>
      <x:c r="G37" s="3" t="n">
        <x:v>1</x:v>
      </x:c>
      <x:c r="H37" s="3" t="str">
        <x:v>2</x:v>
      </x:c>
      <x:c r="I37" s="3" t="str">
        <x:v>2</x:v>
      </x:c>
      <x:c r="J37" s="3" t="str">
        <x:v>2</x:v>
      </x:c>
      <x:c r="K37" s="3" t="str">
        <x:v>2</x:v>
      </x:c>
      <x:c r="L37" s="40" t="n">
        <x:f>E37-IF(J37="2",2,IF(J37="0.45",0.45,0))-IF(K37="2",2,IF(K37="0.45",0.45,0))</x:f>
        <x:v>203</x:v>
      </x:c>
      <x:c r="M37" s="40" t="n">
        <x:f>F37-IF(H37="2",2,IF(H37="0.45",0.45,0))-IF(I37="2",2,IF(I37="0.45",0.45,0))</x:f>
        <x:v>443</x:v>
      </x:c>
    </x:row>
    <x:row r="38">
      <x:c r="A38" s="3" t="str">
        <x:v>36</x:v>
      </x:c>
      <x:c r="B38" s="3" t="str">
        <x:v>B4 Cajonero 45 (junto al lavaplatos)</x:v>
      </x:c>
      <x:c r="C38" s="3" t="str">
        <x:v>Frente gaveta honda</x:v>
      </x:c>
      <x:c r="D38" s="3" t="str">
        <x:v>Melamina Cartagena RH 15</x:v>
      </x:c>
      <x:c r="E38" s="3" t="n">
        <x:v>302</x:v>
      </x:c>
      <x:c r="F38" s="3" t="n">
        <x:v>447</x:v>
      </x:c>
      <x:c r="G38" s="3" t="n">
        <x:v>1</x:v>
      </x:c>
      <x:c r="H38" s="3" t="str">
        <x:v>2</x:v>
      </x:c>
      <x:c r="I38" s="3" t="str">
        <x:v>2</x:v>
      </x:c>
      <x:c r="J38" s="3" t="str">
        <x:v>2</x:v>
      </x:c>
      <x:c r="K38" s="3" t="str">
        <x:v>2</x:v>
      </x:c>
      <x:c r="L38" s="40" t="n">
        <x:f>E38-IF(J38="2",2,IF(J38="0.45",0.45,0))-IF(K38="2",2,IF(K38="0.45",0.45,0))</x:f>
        <x:v>298</x:v>
      </x:c>
      <x:c r="M38" s="40" t="n">
        <x:f>F38-IF(H38="2",2,IF(H38="0.45",0.45,0))-IF(I38="2",2,IF(I38="0.45",0.45,0))</x:f>
        <x:v>443</x:v>
      </x:c>
    </x:row>
    <x:row r="39">
      <x:c r="A39" s="3" t="str">
        <x:v>37</x:v>
      </x:c>
      <x:c r="B39" s="3" t="str">
        <x:v>B4 Cajonero 45 (junto al lavaplatos)</x:v>
      </x:c>
      <x:c r="C39" s="3" t="str">
        <x:v>Gaveta honda: costado</x:v>
      </x:c>
      <x:c r="D39" s="3" t="str">
        <x:v>Melamina Cartagena RH 15</x:v>
      </x:c>
      <x:c r="E39" s="3" t="n">
        <x:v>550</x:v>
      </x:c>
      <x:c r="F39" s="3" t="n">
        <x:v>220</x:v>
      </x:c>
      <x:c r="G39" s="3" t="n">
        <x:v>2</x:v>
      </x:c>
      <x:c r="H39" s="3" t="str">
        <x:v>0.45</x:v>
      </x:c>
      <x:c r="I39" s="3" t="str">
        <x:v>0.45</x:v>
      </x:c>
      <x:c r="J39" s="3" t="str">
        <x:v>0.45</x:v>
      </x:c>
      <x:c r="K39" s="3" t="str">
        <x:v>0.45</x:v>
      </x:c>
      <x:c r="L39" s="40" t="n">
        <x:f>E39-IF(J39="2",2,IF(J39="0.45",0.45,0))-IF(K39="2",2,IF(K39="0.45",0.45,0))</x:f>
        <x:v>549.0999999999999</x:v>
      </x:c>
      <x:c r="M39" s="40" t="n">
        <x:f>F39-IF(H39="2",2,IF(H39="0.45",0.45,0))-IF(I39="2",2,IF(I39="0.45",0.45,0))</x:f>
        <x:v>219.10000000000002</x:v>
      </x:c>
    </x:row>
    <x:row r="40">
      <x:c r="A40" s="3" t="str">
        <x:v>38</x:v>
      </x:c>
      <x:c r="B40" s="3" t="str">
        <x:v>B4 Cajonero 45 (junto al lavaplatos)</x:v>
      </x:c>
      <x:c r="C40" s="3" t="str">
        <x:v>Gaveta honda: frente/trasero interno</x:v>
      </x:c>
      <x:c r="D40" s="3" t="str">
        <x:v>Melamina Cartagena RH 15</x:v>
      </x:c>
      <x:c r="E40" s="3" t="n">
        <x:v>363</x:v>
      </x:c>
      <x:c r="F40" s="3" t="n">
        <x:v>220</x:v>
      </x:c>
      <x:c r="G40" s="3" t="n">
        <x:v>2</x:v>
      </x:c>
      <x:c r="H40" s="3" t="str">
        <x:v>0.45</x:v>
      </x:c>
      <x:c r="I40" s="3" t="str">
        <x:v>0.45</x:v>
      </x:c>
      <x:c r="J40" s="3" t="str">
        <x:v>0.45</x:v>
      </x:c>
      <x:c r="K40" s="3" t="str">
        <x:v>0.45</x:v>
      </x:c>
      <x:c r="L40" s="40" t="n">
        <x:f>E40-IF(J40="2",2,IF(J40="0.45",0.45,0))-IF(K40="2",2,IF(K40="0.45",0.45,0))</x:f>
        <x:v>362.1</x:v>
      </x:c>
      <x:c r="M40" s="40" t="n">
        <x:f>F40-IF(H40="2",2,IF(H40="0.45",0.45,0))-IF(I40="2",2,IF(I40="0.45",0.45,0))</x:f>
        <x:v>219.10000000000002</x:v>
      </x:c>
    </x:row>
    <x:row r="41">
      <x:c r="A41" s="3" t="str">
        <x:v>39</x:v>
      </x:c>
      <x:c r="B41" s="3" t="str">
        <x:v>B4 Cajonero 45 (junto al lavaplatos)</x:v>
      </x:c>
      <x:c r="C41" s="3" t="str">
        <x:v>Gaveta honda: base</x:v>
      </x:c>
      <x:c r="D41" s="3" t="str">
        <x:v>Melamina Cartagena RH 15</x:v>
      </x:c>
      <x:c r="E41" s="3" t="n">
        <x:v>363</x:v>
      </x:c>
      <x:c r="F41" s="3" t="n">
        <x:v>520</x:v>
      </x:c>
      <x:c r="G41" s="3" t="n">
        <x:v>1</x:v>
      </x:c>
      <x:c r="H41" s="3" t="str">
        <x:v>0.45</x:v>
      </x:c>
      <x:c r="I41" s="3" t="str">
        <x:v>0.45</x:v>
      </x:c>
      <x:c r="J41" s="3" t="str">
        <x:v>0.45</x:v>
      </x:c>
      <x:c r="K41" s="3" t="str">
        <x:v>0.45</x:v>
      </x:c>
      <x:c r="L41" s="40" t="n">
        <x:f>E41-IF(J41="2",2,IF(J41="0.45",0.45,0))-IF(K41="2",2,IF(K41="0.45",0.45,0))</x:f>
        <x:v>362.1</x:v>
      </x:c>
      <x:c r="M41" s="40" t="n">
        <x:f>F41-IF(H41="2",2,IF(H41="0.45",0.45,0))-IF(I41="2",2,IF(I41="0.45",0.45,0))</x:f>
        <x:v>519.0999999999999</x:v>
      </x:c>
    </x:row>
    <x:row r="42">
      <x:c r="A42" s="3" t="str">
        <x:v>40</x:v>
      </x:c>
      <x:c r="B42" s="3" t="str">
        <x:v>B4 Cajonero 45 (junto al lavaplatos)</x:v>
      </x:c>
      <x:c r="C42" s="3" t="str">
        <x:v>Gaveta media: costado</x:v>
      </x:c>
      <x:c r="D42" s="3" t="str">
        <x:v>Melamina Cartagena RH 15</x:v>
      </x:c>
      <x:c r="E42" s="3" t="n">
        <x:v>550</x:v>
      </x:c>
      <x:c r="F42" s="3" t="n">
        <x:v>140</x:v>
      </x:c>
      <x:c r="G42" s="3" t="n">
        <x:v>2</x:v>
      </x:c>
      <x:c r="H42" s="3" t="str">
        <x:v>0.45</x:v>
      </x:c>
      <x:c r="I42" s="3" t="str">
        <x:v>0.45</x:v>
      </x:c>
      <x:c r="J42" s="3" t="str">
        <x:v>0.45</x:v>
      </x:c>
      <x:c r="K42" s="3" t="str">
        <x:v>0.45</x:v>
      </x:c>
      <x:c r="L42" s="40" t="n">
        <x:f>E42-IF(J42="2",2,IF(J42="0.45",0.45,0))-IF(K42="2",2,IF(K42="0.45",0.45,0))</x:f>
        <x:v>549.0999999999999</x:v>
      </x:c>
      <x:c r="M42" s="40" t="n">
        <x:f>F42-IF(H42="2",2,IF(H42="0.45",0.45,0))-IF(I42="2",2,IF(I42="0.45",0.45,0))</x:f>
        <x:v>139.10000000000002</x:v>
      </x:c>
    </x:row>
    <x:row r="43">
      <x:c r="A43" s="3" t="str">
        <x:v>41</x:v>
      </x:c>
      <x:c r="B43" s="3" t="str">
        <x:v>B4 Cajonero 45 (junto al lavaplatos)</x:v>
      </x:c>
      <x:c r="C43" s="3" t="str">
        <x:v>Gaveta media: frente/trasero interno</x:v>
      </x:c>
      <x:c r="D43" s="3" t="str">
        <x:v>Melamina Cartagena RH 15</x:v>
      </x:c>
      <x:c r="E43" s="3" t="n">
        <x:v>363</x:v>
      </x:c>
      <x:c r="F43" s="3" t="n">
        <x:v>140</x:v>
      </x:c>
      <x:c r="G43" s="3" t="n">
        <x:v>2</x:v>
      </x:c>
      <x:c r="H43" s="3" t="str">
        <x:v>0.45</x:v>
      </x:c>
      <x:c r="I43" s="3" t="str">
        <x:v>0.45</x:v>
      </x:c>
      <x:c r="J43" s="3" t="str">
        <x:v>0.45</x:v>
      </x:c>
      <x:c r="K43" s="3" t="str">
        <x:v>0.45</x:v>
      </x:c>
      <x:c r="L43" s="40" t="n">
        <x:f>E43-IF(J43="2",2,IF(J43="0.45",0.45,0))-IF(K43="2",2,IF(K43="0.45",0.45,0))</x:f>
        <x:v>362.1</x:v>
      </x:c>
      <x:c r="M43" s="40" t="n">
        <x:f>F43-IF(H43="2",2,IF(H43="0.45",0.45,0))-IF(I43="2",2,IF(I43="0.45",0.45,0))</x:f>
        <x:v>139.10000000000002</x:v>
      </x:c>
    </x:row>
    <x:row r="44">
      <x:c r="A44" s="3" t="str">
        <x:v>42</x:v>
      </x:c>
      <x:c r="B44" s="3" t="str">
        <x:v>B4 Cajonero 45 (junto al lavaplatos)</x:v>
      </x:c>
      <x:c r="C44" s="3" t="str">
        <x:v>Gaveta media: base</x:v>
      </x:c>
      <x:c r="D44" s="3" t="str">
        <x:v>Melamina Cartagena RH 15</x:v>
      </x:c>
      <x:c r="E44" s="3" t="n">
        <x:v>363</x:v>
      </x:c>
      <x:c r="F44" s="3" t="n">
        <x:v>520</x:v>
      </x:c>
      <x:c r="G44" s="3" t="n">
        <x:v>1</x:v>
      </x:c>
      <x:c r="H44" s="3" t="str">
        <x:v>0.45</x:v>
      </x:c>
      <x:c r="I44" s="3" t="str">
        <x:v>0.45</x:v>
      </x:c>
      <x:c r="J44" s="3" t="str">
        <x:v>0.45</x:v>
      </x:c>
      <x:c r="K44" s="3" t="str">
        <x:v>0.45</x:v>
      </x:c>
      <x:c r="L44" s="40" t="n">
        <x:f>E44-IF(J44="2",2,IF(J44="0.45",0.45,0))-IF(K44="2",2,IF(K44="0.45",0.45,0))</x:f>
        <x:v>362.1</x:v>
      </x:c>
      <x:c r="M44" s="40" t="n">
        <x:f>F44-IF(H44="2",2,IF(H44="0.45",0.45,0))-IF(I44="2",2,IF(I44="0.45",0.45,0))</x:f>
        <x:v>519.0999999999999</x:v>
      </x:c>
    </x:row>
    <x:row r="45">
      <x:c r="A45" s="3" t="str">
        <x:v>43</x:v>
      </x:c>
      <x:c r="B45" s="3" t="str">
        <x:v>B4 Cajonero 45 (junto al lavaplatos)</x:v>
      </x:c>
      <x:c r="C45" s="3" t="str">
        <x:v>Cajón superior: costado</x:v>
      </x:c>
      <x:c r="D45" s="3" t="str">
        <x:v>Melamina Cartagena RH 15</x:v>
      </x:c>
      <x:c r="E45" s="3" t="n">
        <x:v>550</x:v>
      </x:c>
      <x:c r="F45" s="3" t="n">
        <x:v>90</x:v>
      </x:c>
      <x:c r="G45" s="3" t="n">
        <x:v>2</x:v>
      </x:c>
      <x:c r="H45" s="3" t="str">
        <x:v>0.45</x:v>
      </x:c>
      <x:c r="I45" s="3" t="str">
        <x:v>0.45</x:v>
      </x:c>
      <x:c r="J45" s="3" t="str">
        <x:v>0.45</x:v>
      </x:c>
      <x:c r="K45" s="3" t="str">
        <x:v>0.45</x:v>
      </x:c>
      <x:c r="L45" s="40" t="n">
        <x:f>E45-IF(J45="2",2,IF(J45="0.45",0.45,0))-IF(K45="2",2,IF(K45="0.45",0.45,0))</x:f>
        <x:v>549.0999999999999</x:v>
      </x:c>
      <x:c r="M45" s="40" t="n">
        <x:f>F45-IF(H45="2",2,IF(H45="0.45",0.45,0))-IF(I45="2",2,IF(I45="0.45",0.45,0))</x:f>
        <x:v>89.1</x:v>
      </x:c>
    </x:row>
    <x:row r="46">
      <x:c r="A46" s="3" t="str">
        <x:v>44</x:v>
      </x:c>
      <x:c r="B46" s="3" t="str">
        <x:v>B4 Cajonero 45 (junto al lavaplatos)</x:v>
      </x:c>
      <x:c r="C46" s="3" t="str">
        <x:v>Cajón superior: frente/trasero interno</x:v>
      </x:c>
      <x:c r="D46" s="3" t="str">
        <x:v>Melamina Cartagena RH 15</x:v>
      </x:c>
      <x:c r="E46" s="3" t="n">
        <x:v>363</x:v>
      </x:c>
      <x:c r="F46" s="3" t="n">
        <x:v>90</x:v>
      </x:c>
      <x:c r="G46" s="3" t="n">
        <x:v>2</x:v>
      </x:c>
      <x:c r="H46" s="3" t="str">
        <x:v>0.45</x:v>
      </x:c>
      <x:c r="I46" s="3" t="str">
        <x:v>0.45</x:v>
      </x:c>
      <x:c r="J46" s="3" t="str">
        <x:v>0.45</x:v>
      </x:c>
      <x:c r="K46" s="3" t="str">
        <x:v>0.45</x:v>
      </x:c>
      <x:c r="L46" s="40" t="n">
        <x:f>E46-IF(J46="2",2,IF(J46="0.45",0.45,0))-IF(K46="2",2,IF(K46="0.45",0.45,0))</x:f>
        <x:v>362.1</x:v>
      </x:c>
      <x:c r="M46" s="40" t="n">
        <x:f>F46-IF(H46="2",2,IF(H46="0.45",0.45,0))-IF(I46="2",2,IF(I46="0.45",0.45,0))</x:f>
        <x:v>89.1</x:v>
      </x:c>
    </x:row>
    <x:row r="47">
      <x:c r="A47" s="3" t="str">
        <x:v>45</x:v>
      </x:c>
      <x:c r="B47" s="3" t="str">
        <x:v>B4 Cajonero 45 (junto al lavaplatos)</x:v>
      </x:c>
      <x:c r="C47" s="3" t="str">
        <x:v>Cajón superior: base</x:v>
      </x:c>
      <x:c r="D47" s="3" t="str">
        <x:v>Melamina Cartagena RH 15</x:v>
      </x:c>
      <x:c r="E47" s="3" t="n">
        <x:v>363</x:v>
      </x:c>
      <x:c r="F47" s="3" t="n">
        <x:v>520</x:v>
      </x:c>
      <x:c r="G47" s="3" t="n">
        <x:v>1</x:v>
      </x:c>
      <x:c r="H47" s="3" t="str">
        <x:v>0.45</x:v>
      </x:c>
      <x:c r="I47" s="3" t="str">
        <x:v>0.45</x:v>
      </x:c>
      <x:c r="J47" s="3" t="str">
        <x:v>0.45</x:v>
      </x:c>
      <x:c r="K47" s="3" t="str">
        <x:v>0.45</x:v>
      </x:c>
      <x:c r="L47" s="40" t="n">
        <x:f>E47-IF(J47="2",2,IF(J47="0.45",0.45,0))-IF(K47="2",2,IF(K47="0.45",0.45,0))</x:f>
        <x:v>362.1</x:v>
      </x:c>
      <x:c r="M47" s="40" t="n">
        <x:f>F47-IF(H47="2",2,IF(H47="0.45",0.45,0))-IF(I47="2",2,IF(I47="0.45",0.45,0))</x:f>
        <x:v>519.0999999999999</x:v>
      </x:c>
    </x:row>
    <x:row r="48">
      <x:c r="A48" s="3" t="str">
        <x:v>46</x:v>
      </x:c>
      <x:c r="B48" s="3" t="str">
        <x:v>B5 Lavaplatos 90</x:v>
      </x:c>
      <x:c r="C48" s="3" t="str">
        <x:v>Lateral</x:v>
      </x:c>
      <x:c r="D48" s="3" t="str">
        <x:v>Melamina Cartagena RH 15</x:v>
      </x:c>
      <x:c r="E48" s="3" t="n">
        <x:v>785</x:v>
      </x:c>
      <x:c r="F48" s="3" t="n">
        <x:v>580</x:v>
      </x:c>
      <x:c r="G48" s="3" t="n">
        <x:v>2</x:v>
      </x:c>
      <x:c r="H48" s="3" t="str">
        <x:v>2</x:v>
      </x:c>
      <x:c r="I48" s="3" t="str">
        <x:v>0.45</x:v>
      </x:c>
      <x:c r="J48" s="3" t="str">
        <x:v>0.45</x:v>
      </x:c>
      <x:c r="K48" s="3" t="str">
        <x:v>0.45</x:v>
      </x:c>
      <x:c r="L48" s="40" t="n">
        <x:f>E48-IF(J48="2",2,IF(J48="0.45",0.45,0))-IF(K48="2",2,IF(K48="0.45",0.45,0))</x:f>
        <x:v>784.0999999999999</x:v>
      </x:c>
      <x:c r="M48" s="40" t="n">
        <x:f>F48-IF(H48="2",2,IF(H48="0.45",0.45,0))-IF(I48="2",2,IF(I48="0.45",0.45,0))</x:f>
        <x:v>577.55</x:v>
      </x:c>
    </x:row>
    <x:row r="49">
      <x:c r="A49" s="3" t="str">
        <x:v>47</x:v>
      </x:c>
      <x:c r="B49" s="3" t="str">
        <x:v>B5 Lavaplatos 90</x:v>
      </x:c>
      <x:c r="C49" s="3" t="str">
        <x:v>Piso</x:v>
      </x:c>
      <x:c r="D49" s="3" t="str">
        <x:v>Melamina Cartagena RH 15</x:v>
      </x:c>
      <x:c r="E49" s="3" t="n">
        <x:v>870</x:v>
      </x:c>
      <x:c r="F49" s="3" t="n">
        <x:v>580</x:v>
      </x:c>
      <x:c r="G49" s="3" t="n">
        <x:v>1</x:v>
      </x:c>
      <x:c r="H49" s="3" t="str">
        <x:v>2</x:v>
      </x:c>
      <x:c r="I49" s="3" t="str">
        <x:v>0.45</x:v>
      </x:c>
      <x:c r="J49" s="3" t="str">
        <x:v>0.45</x:v>
      </x:c>
      <x:c r="K49" s="3" t="str">
        <x:v>0.45</x:v>
      </x:c>
      <x:c r="L49" s="40" t="n">
        <x:f>E49-IF(J49="2",2,IF(J49="0.45",0.45,0))-IF(K49="2",2,IF(K49="0.45",0.45,0))</x:f>
        <x:v>869.0999999999999</x:v>
      </x:c>
      <x:c r="M49" s="40" t="n">
        <x:f>F49-IF(H49="2",2,IF(H49="0.45",0.45,0))-IF(I49="2",2,IF(I49="0.45",0.45,0))</x:f>
        <x:v>577.55</x:v>
      </x:c>
    </x:row>
    <x:row r="50">
      <x:c r="A50" s="3" t="str">
        <x:v>48</x:v>
      </x:c>
      <x:c r="B50" s="3" t="str">
        <x:v>B5 Lavaplatos 90</x:v>
      </x:c>
      <x:c r="C50" s="3" t="str">
        <x:v>Travesaño (verticales, de canto)</x:v>
      </x:c>
      <x:c r="D50" s="3" t="str">
        <x:v>Melamina Cartagena RH 15</x:v>
      </x:c>
      <x:c r="E50" s="3" t="n">
        <x:v>870</x:v>
      </x:c>
      <x:c r="F50" s="3" t="n">
        <x:v>100</x:v>
      </x:c>
      <x:c r="G50" s="3" t="n">
        <x:v>2</x:v>
      </x:c>
      <x:c r="H50" s="3" t="str">
        <x:v>0.45</x:v>
      </x:c>
      <x:c r="I50" s="3" t="str">
        <x:v>0.45</x:v>
      </x:c>
      <x:c r="J50" s="3" t="str">
        <x:v>0.45</x:v>
      </x:c>
      <x:c r="K50" s="3" t="str">
        <x:v>0.45</x:v>
      </x:c>
      <x:c r="L50" s="40" t="n">
        <x:f>E50-IF(J50="2",2,IF(J50="0.45",0.45,0))-IF(K50="2",2,IF(K50="0.45",0.45,0))</x:f>
        <x:v>869.0999999999999</x:v>
      </x:c>
      <x:c r="M50" s="40" t="n">
        <x:f>F50-IF(H50="2",2,IF(H50="0.45",0.45,0))-IF(I50="2",2,IF(I50="0.45",0.45,0))</x:f>
        <x:v>99.1</x:v>
      </x:c>
    </x:row>
    <x:row r="51">
      <x:c r="A51" s="3" t="str">
        <x:v>49</x:v>
      </x:c>
      <x:c r="B51" s="3" t="str">
        <x:v>B5 Lavaplatos 90</x:v>
      </x:c>
      <x:c r="C51" s="3" t="str">
        <x:v>Fondo melamina 6 mm (clavado atrás)</x:v>
      </x:c>
      <x:c r="D51" s="3" t="str">
        <x:v>Fondo melamina 6</x:v>
      </x:c>
      <x:c r="E51" s="3" t="n">
        <x:v>896</x:v>
      </x:c>
      <x:c r="F51" s="3" t="n">
        <x:v>781</x:v>
      </x:c>
      <x:c r="G51" s="3" t="n">
        <x:v>1</x:v>
      </x:c>
      <x:c r="H51" s="3" t="str">
        <x:v>—</x:v>
      </x:c>
      <x:c r="I51" s="3" t="str">
        <x:v>—</x:v>
      </x:c>
      <x:c r="J51" s="3" t="str">
        <x:v>—</x:v>
      </x:c>
      <x:c r="K51" s="3" t="str">
        <x:v>—</x:v>
      </x:c>
      <x:c r="L51" s="40" t="n">
        <x:f>E51-IF(J51="2",2,IF(J51="0.45",0.45,0))-IF(K51="2",2,IF(K51="0.45",0.45,0))</x:f>
        <x:v>896</x:v>
      </x:c>
      <x:c r="M51" s="40" t="n">
        <x:f>F51-IF(H51="2",2,IF(H51="0.45",0.45,0))-IF(I51="2",2,IF(I51="0.45",0.45,0))</x:f>
        <x:v>781</x:v>
      </x:c>
    </x:row>
    <x:row r="52">
      <x:c r="A52" s="3" t="str">
        <x:v>50</x:v>
      </x:c>
      <x:c r="B52" s="3" t="str">
        <x:v>B5 Lavaplatos 90</x:v>
      </x:c>
      <x:c r="C52" s="3" t="str">
        <x:v>Listón de apoyo bajo el lavaplatos</x:v>
      </x:c>
      <x:c r="D52" s="3" t="str">
        <x:v>Melamina Cartagena RH 15</x:v>
      </x:c>
      <x:c r="E52" s="3" t="n">
        <x:v>870</x:v>
      </x:c>
      <x:c r="F52" s="3" t="n">
        <x:v>80</x:v>
      </x:c>
      <x:c r="G52" s="3" t="n">
        <x:v>2</x:v>
      </x:c>
      <x:c r="H52" s="3" t="str">
        <x:v>0.45</x:v>
      </x:c>
      <x:c r="I52" s="3" t="str">
        <x:v>0.45</x:v>
      </x:c>
      <x:c r="J52" s="3" t="str">
        <x:v>0.45</x:v>
      </x:c>
      <x:c r="K52" s="3" t="str">
        <x:v>0.45</x:v>
      </x:c>
      <x:c r="L52" s="40" t="n">
        <x:f>E52-IF(J52="2",2,IF(J52="0.45",0.45,0))-IF(K52="2",2,IF(K52="0.45",0.45,0))</x:f>
        <x:v>869.0999999999999</x:v>
      </x:c>
      <x:c r="M52" s="40" t="n">
        <x:f>F52-IF(H52="2",2,IF(H52="0.45",0.45,0))-IF(I52="2",2,IF(I52="0.45",0.45,0))</x:f>
        <x:v>79.1</x:v>
      </x:c>
    </x:row>
    <x:row r="53">
      <x:c r="A53" s="3" t="str">
        <x:v>51</x:v>
      </x:c>
      <x:c r="B53" s="3" t="str">
        <x:v>B5 Lavaplatos 90</x:v>
      </x:c>
      <x:c r="C53" s="3" t="str">
        <x:v>Puerta</x:v>
      </x:c>
      <x:c r="D53" s="3" t="str">
        <x:v>Melamina Cartagena RH 15</x:v>
      </x:c>
      <x:c r="E53" s="3" t="n">
        <x:v>732</x:v>
      </x:c>
      <x:c r="F53" s="3" t="n">
        <x:v>447</x:v>
      </x:c>
      <x:c r="G53" s="3" t="n">
        <x:v>2</x:v>
      </x:c>
      <x:c r="H53" s="3" t="str">
        <x:v>2</x:v>
      </x:c>
      <x:c r="I53" s="3" t="str">
        <x:v>2</x:v>
      </x:c>
      <x:c r="J53" s="3" t="str">
        <x:v>2</x:v>
      </x:c>
      <x:c r="K53" s="3" t="str">
        <x:v>2</x:v>
      </x:c>
      <x:c r="L53" s="40" t="n">
        <x:f>E53-IF(J53="2",2,IF(J53="0.45",0.45,0))-IF(K53="2",2,IF(K53="0.45",0.45,0))</x:f>
        <x:v>728</x:v>
      </x:c>
      <x:c r="M53" s="40" t="n">
        <x:f>F53-IF(H53="2",2,IF(H53="0.45",0.45,0))-IF(I53="2",2,IF(I53="0.45",0.45,0))</x:f>
        <x:v>443</x:v>
      </x:c>
    </x:row>
    <x:row r="54">
      <x:c r="A54" s="3" t="str">
        <x:v>52</x:v>
      </x:c>
      <x:c r="B54" s="3" t="str">
        <x:v>B6 Terminación</x:v>
      </x:c>
      <x:c r="C54" s="3" t="str">
        <x:v>Costado de terminación (lado circulación)</x:v>
      </x:c>
      <x:c r="D54" s="3" t="str">
        <x:v>Melamina Cartagena RH 15</x:v>
      </x:c>
      <x:c r="E54" s="3" t="n">
        <x:v>882</x:v>
      </x:c>
      <x:c r="F54" s="3" t="n">
        <x:v>595</x:v>
      </x:c>
      <x:c r="G54" s="3" t="n">
        <x:v>1</x:v>
      </x:c>
      <x:c r="H54" s="3" t="str">
        <x:v>2</x:v>
      </x:c>
      <x:c r="I54" s="3" t="str">
        <x:v>0.45</x:v>
      </x:c>
      <x:c r="J54" s="3" t="str">
        <x:v>0.45</x:v>
      </x:c>
      <x:c r="K54" s="3" t="str">
        <x:v>0.45</x:v>
      </x:c>
      <x:c r="L54" s="40" t="n">
        <x:f>E54-IF(J54="2",2,IF(J54="0.45",0.45,0))-IF(K54="2",2,IF(K54="0.45",0.45,0))</x:f>
        <x:v>881.0999999999999</x:v>
      </x:c>
      <x:c r="M54" s="40" t="n">
        <x:f>F54-IF(H54="2",2,IF(H54="0.45",0.45,0))-IF(I54="2",2,IF(I54="0.45",0.45,0))</x:f>
        <x:v>592.55</x:v>
      </x:c>
    </x:row>
    <x:row r="55">
      <x:c r="A55" s="3" t="str">
        <x:v>53</x:v>
      </x:c>
      <x:c r="B55" s="3" t="str">
        <x:v>B6 Terminación</x:v>
      </x:c>
      <x:c r="C55" s="3" t="str">
        <x:v>Zócalo (2 tramos, retranqueado 5 cm)</x:v>
      </x:c>
      <x:c r="D55" s="3" t="str">
        <x:v>Melamina Cartagena RH 15</x:v>
      </x:c>
      <x:c r="E55" s="3" t="n">
        <x:v>1275</x:v>
      </x:c>
      <x:c r="F55" s="3" t="n">
        <x:v>97</x:v>
      </x:c>
      <x:c r="G55" s="3" t="n">
        <x:v>2</x:v>
      </x:c>
      <x:c r="H55" s="3" t="str">
        <x:v>0.45</x:v>
      </x:c>
      <x:c r="I55" s="3" t="str">
        <x:v>0.45</x:v>
      </x:c>
      <x:c r="J55" s="3" t="str">
        <x:v>0.45</x:v>
      </x:c>
      <x:c r="K55" s="3" t="str">
        <x:v>0.45</x:v>
      </x:c>
      <x:c r="L55" s="40" t="n">
        <x:f>E55-IF(J55="2",2,IF(J55="0.45",0.45,0))-IF(K55="2",2,IF(K55="0.45",0.45,0))</x:f>
        <x:v>1274.1</x:v>
      </x:c>
      <x:c r="M55" s="40" t="n">
        <x:f>F55-IF(H55="2",2,IF(H55="0.45",0.45,0))-IF(I55="2",2,IF(I55="0.45",0.45,0))</x:f>
        <x:v>96.1</x:v>
      </x:c>
    </x:row>
    <x:row r="56">
      <x:c r="A56" s="3" t="str">
        <x:v>54</x:v>
      </x:c>
      <x:c r="B56" s="3" t="str">
        <x:v>S1 Alacena 32</x:v>
      </x:c>
      <x:c r="C56" s="3" t="str">
        <x:v>Lateral</x:v>
      </x:c>
      <x:c r="D56" s="3" t="str">
        <x:v>Melamina Cartagena RH 15</x:v>
      </x:c>
      <x:c r="E56" s="3" t="n">
        <x:v>700</x:v>
      </x:c>
      <x:c r="F56" s="3" t="n">
        <x:v>320</x:v>
      </x:c>
      <x:c r="G56" s="3" t="n">
        <x:v>2</x:v>
      </x:c>
      <x:c r="H56" s="3" t="str">
        <x:v>2</x:v>
      </x:c>
      <x:c r="I56" s="3" t="str">
        <x:v>0.45</x:v>
      </x:c>
      <x:c r="J56" s="3" t="str">
        <x:v>2</x:v>
      </x:c>
      <x:c r="K56" s="3" t="str">
        <x:v>0.45</x:v>
      </x:c>
      <x:c r="L56" s="40" t="n">
        <x:f>E56-IF(J56="2",2,IF(J56="0.45",0.45,0))-IF(K56="2",2,IF(K56="0.45",0.45,0))</x:f>
        <x:v>697.55</x:v>
      </x:c>
      <x:c r="M56" s="40" t="n">
        <x:f>F56-IF(H56="2",2,IF(H56="0.45",0.45,0))-IF(I56="2",2,IF(I56="0.45",0.45,0))</x:f>
        <x:v>317.55</x:v>
      </x:c>
    </x:row>
    <x:row r="57">
      <x:c r="A57" s="3" t="str">
        <x:v>55</x:v>
      </x:c>
      <x:c r="B57" s="3" t="str">
        <x:v>S1 Alacena 32</x:v>
      </x:c>
      <x:c r="C57" s="3" t="str">
        <x:v>Techo</x:v>
      </x:c>
      <x:c r="D57" s="3" t="str">
        <x:v>Melamina Cartagena RH 15</x:v>
      </x:c>
      <x:c r="E57" s="3" t="n">
        <x:v>290</x:v>
      </x:c>
      <x:c r="F57" s="3" t="n">
        <x:v>320</x:v>
      </x:c>
      <x:c r="G57" s="3" t="n">
        <x:v>1</x:v>
      </x:c>
      <x:c r="H57" s="3" t="str">
        <x:v>2</x:v>
      </x:c>
      <x:c r="I57" s="3" t="str">
        <x:v>0.45</x:v>
      </x:c>
      <x:c r="J57" s="3" t="str">
        <x:v>0.45</x:v>
      </x:c>
      <x:c r="K57" s="3" t="str">
        <x:v>0.45</x:v>
      </x:c>
      <x:c r="L57" s="40" t="n">
        <x:f>E57-IF(J57="2",2,IF(J57="0.45",0.45,0))-IF(K57="2",2,IF(K57="0.45",0.45,0))</x:f>
        <x:v>289.1</x:v>
      </x:c>
      <x:c r="M57" s="40" t="n">
        <x:f>F57-IF(H57="2",2,IF(H57="0.45",0.45,0))-IF(I57="2",2,IF(I57="0.45",0.45,0))</x:f>
        <x:v>317.55</x:v>
      </x:c>
    </x:row>
    <x:row r="58">
      <x:c r="A58" s="3" t="str">
        <x:v>56</x:v>
      </x:c>
      <x:c r="B58" s="3" t="str">
        <x:v>S1 Alacena 32</x:v>
      </x:c>
      <x:c r="C58" s="3" t="str">
        <x:v>Piso</x:v>
      </x:c>
      <x:c r="D58" s="3" t="str">
        <x:v>Melamina Cartagena RH 15</x:v>
      </x:c>
      <x:c r="E58" s="3" t="n">
        <x:v>290</x:v>
      </x:c>
      <x:c r="F58" s="3" t="n">
        <x:v>320</x:v>
      </x:c>
      <x:c r="G58" s="3" t="n">
        <x:v>1</x:v>
      </x:c>
      <x:c r="H58" s="3" t="str">
        <x:v>2</x:v>
      </x:c>
      <x:c r="I58" s="3" t="str">
        <x:v>0.45</x:v>
      </x:c>
      <x:c r="J58" s="3" t="str">
        <x:v>0.45</x:v>
      </x:c>
      <x:c r="K58" s="3" t="str">
        <x:v>0.45</x:v>
      </x:c>
      <x:c r="L58" s="40" t="n">
        <x:f>E58-IF(J58="2",2,IF(J58="0.45",0.45,0))-IF(K58="2",2,IF(K58="0.45",0.45,0))</x:f>
        <x:v>289.1</x:v>
      </x:c>
      <x:c r="M58" s="40" t="n">
        <x:f>F58-IF(H58="2",2,IF(H58="0.45",0.45,0))-IF(I58="2",2,IF(I58="0.45",0.45,0))</x:f>
        <x:v>317.55</x:v>
      </x:c>
    </x:row>
    <x:row r="59">
      <x:c r="A59" s="3" t="str">
        <x:v>57</x:v>
      </x:c>
      <x:c r="B59" s="3" t="str">
        <x:v>S1 Alacena 32</x:v>
      </x:c>
      <x:c r="C59" s="3" t="str">
        <x:v>Entrepaño regulable</x:v>
      </x:c>
      <x:c r="D59" s="3" t="str">
        <x:v>Melamina Cartagena RH 15</x:v>
      </x:c>
      <x:c r="E59" s="3" t="n">
        <x:v>288</x:v>
      </x:c>
      <x:c r="F59" s="3" t="n">
        <x:v>300</x:v>
      </x:c>
      <x:c r="G59" s="3" t="n">
        <x:v>1</x:v>
      </x:c>
      <x:c r="H59" s="3" t="str">
        <x:v>2</x:v>
      </x:c>
      <x:c r="I59" s="3" t="str">
        <x:v>0.45</x:v>
      </x:c>
      <x:c r="J59" s="3" t="str">
        <x:v>0.45</x:v>
      </x:c>
      <x:c r="K59" s="3" t="str">
        <x:v>0.45</x:v>
      </x:c>
      <x:c r="L59" s="40" t="n">
        <x:f>E59-IF(J59="2",2,IF(J59="0.45",0.45,0))-IF(K59="2",2,IF(K59="0.45",0.45,0))</x:f>
        <x:v>287.1</x:v>
      </x:c>
      <x:c r="M59" s="40" t="n">
        <x:f>F59-IF(H59="2",2,IF(H59="0.45",0.45,0))-IF(I59="2",2,IF(I59="0.45",0.45,0))</x:f>
        <x:v>297.55</x:v>
      </x:c>
    </x:row>
    <x:row r="60">
      <x:c r="A60" s="3" t="str">
        <x:v>58</x:v>
      </x:c>
      <x:c r="B60" s="3" t="str">
        <x:v>S1 Alacena 32</x:v>
      </x:c>
      <x:c r="C60" s="3" t="str">
        <x:v>Puerta</x:v>
      </x:c>
      <x:c r="D60" s="3" t="str">
        <x:v>Melamina Cartagena RH 15</x:v>
      </x:c>
      <x:c r="E60" s="3" t="n">
        <x:v>717</x:v>
      </x:c>
      <x:c r="F60" s="3" t="n">
        <x:v>317</x:v>
      </x:c>
      <x:c r="G60" s="3" t="n">
        <x:v>1</x:v>
      </x:c>
      <x:c r="H60" s="3" t="str">
        <x:v>2</x:v>
      </x:c>
      <x:c r="I60" s="3" t="str">
        <x:v>2</x:v>
      </x:c>
      <x:c r="J60" s="3" t="str">
        <x:v>2</x:v>
      </x:c>
      <x:c r="K60" s="3" t="str">
        <x:v>2</x:v>
      </x:c>
      <x:c r="L60" s="40" t="n">
        <x:f>E60-IF(J60="2",2,IF(J60="0.45",0.45,0))-IF(K60="2",2,IF(K60="0.45",0.45,0))</x:f>
        <x:v>713</x:v>
      </x:c>
      <x:c r="M60" s="40" t="n">
        <x:f>F60-IF(H60="2",2,IF(H60="0.45",0.45,0))-IF(I60="2",2,IF(I60="0.45",0.45,0))</x:f>
        <x:v>313</x:v>
      </x:c>
    </x:row>
    <x:row r="61">
      <x:c r="A61" s="3" t="str">
        <x:v>59</x:v>
      </x:c>
      <x:c r="B61" s="3" t="str">
        <x:v>S1 Alacena 32</x:v>
      </x:c>
      <x:c r="C61" s="3" t="str">
        <x:v>Fondo melamina 6 mm</x:v>
      </x:c>
      <x:c r="D61" s="3" t="str">
        <x:v>Fondo melamina 6</x:v>
      </x:c>
      <x:c r="E61" s="3" t="n">
        <x:v>316</x:v>
      </x:c>
      <x:c r="F61" s="3" t="n">
        <x:v>696</x:v>
      </x:c>
      <x:c r="G61" s="3" t="n">
        <x:v>1</x:v>
      </x:c>
      <x:c r="H61" s="3" t="str">
        <x:v>—</x:v>
      </x:c>
      <x:c r="I61" s="3" t="str">
        <x:v>—</x:v>
      </x:c>
      <x:c r="J61" s="3" t="str">
        <x:v>—</x:v>
      </x:c>
      <x:c r="K61" s="3" t="str">
        <x:v>—</x:v>
      </x:c>
      <x:c r="L61" s="40" t="n">
        <x:f>E61-IF(J61="2",2,IF(J61="0.45",0.45,0))-IF(K61="2",2,IF(K61="0.45",0.45,0))</x:f>
        <x:v>316</x:v>
      </x:c>
      <x:c r="M61" s="40" t="n">
        <x:f>F61-IF(H61="2",2,IF(H61="0.45",0.45,0))-IF(I61="2",2,IF(I61="0.45",0.45,0))</x:f>
        <x:v>696</x:v>
      </x:c>
    </x:row>
    <x:row r="62">
      <x:c r="A62" s="3" t="str">
        <x:v>60</x:v>
      </x:c>
      <x:c r="B62" s="3" t="str">
        <x:v>S2 Gabinete ducto 60</x:v>
      </x:c>
      <x:c r="C62" s="3" t="str">
        <x:v>Lateral</x:v>
      </x:c>
      <x:c r="D62" s="3" t="str">
        <x:v>Melamina Cartagena RH 15</x:v>
      </x:c>
      <x:c r="E62" s="3" t="n">
        <x:v>350</x:v>
      </x:c>
      <x:c r="F62" s="3" t="n">
        <x:v>320</x:v>
      </x:c>
      <x:c r="G62" s="3" t="n">
        <x:v>2</x:v>
      </x:c>
      <x:c r="H62" s="3" t="str">
        <x:v>2</x:v>
      </x:c>
      <x:c r="I62" s="3" t="str">
        <x:v>0.45</x:v>
      </x:c>
      <x:c r="J62" s="3" t="str">
        <x:v>2</x:v>
      </x:c>
      <x:c r="K62" s="3" t="str">
        <x:v>0.45</x:v>
      </x:c>
      <x:c r="L62" s="40" t="n">
        <x:f>E62-IF(J62="2",2,IF(J62="0.45",0.45,0))-IF(K62="2",2,IF(K62="0.45",0.45,0))</x:f>
        <x:v>347.55</x:v>
      </x:c>
      <x:c r="M62" s="40" t="n">
        <x:f>F62-IF(H62="2",2,IF(H62="0.45",0.45,0))-IF(I62="2",2,IF(I62="0.45",0.45,0))</x:f>
        <x:v>317.55</x:v>
      </x:c>
    </x:row>
    <x:row r="63">
      <x:c r="A63" s="3" t="str">
        <x:v>61</x:v>
      </x:c>
      <x:c r="B63" s="3" t="str">
        <x:v>S2 Gabinete ducto 60</x:v>
      </x:c>
      <x:c r="C63" s="3" t="str">
        <x:v>Techo</x:v>
      </x:c>
      <x:c r="D63" s="3" t="str">
        <x:v>Melamina Cartagena RH 15</x:v>
      </x:c>
      <x:c r="E63" s="3" t="n">
        <x:v>570</x:v>
      </x:c>
      <x:c r="F63" s="3" t="n">
        <x:v>320</x:v>
      </x:c>
      <x:c r="G63" s="3" t="n">
        <x:v>1</x:v>
      </x:c>
      <x:c r="H63" s="3" t="str">
        <x:v>2</x:v>
      </x:c>
      <x:c r="I63" s="3" t="str">
        <x:v>0.45</x:v>
      </x:c>
      <x:c r="J63" s="3" t="str">
        <x:v>0.45</x:v>
      </x:c>
      <x:c r="K63" s="3" t="str">
        <x:v>0.45</x:v>
      </x:c>
      <x:c r="L63" s="40" t="n">
        <x:f>E63-IF(J63="2",2,IF(J63="0.45",0.45,0))-IF(K63="2",2,IF(K63="0.45",0.45,0))</x:f>
        <x:v>569.0999999999999</x:v>
      </x:c>
      <x:c r="M63" s="40" t="n">
        <x:f>F63-IF(H63="2",2,IF(H63="0.45",0.45,0))-IF(I63="2",2,IF(I63="0.45",0.45,0))</x:f>
        <x:v>317.55</x:v>
      </x:c>
    </x:row>
    <x:row r="64">
      <x:c r="A64" s="3" t="str">
        <x:v>62</x:v>
      </x:c>
      <x:c r="B64" s="3" t="str">
        <x:v>S2 Gabinete ducto 60</x:v>
      </x:c>
      <x:c r="C64" s="3" t="str">
        <x:v>Piso (perforar para ducto)</x:v>
      </x:c>
      <x:c r="D64" s="3" t="str">
        <x:v>Melamina Cartagena RH 15</x:v>
      </x:c>
      <x:c r="E64" s="3" t="n">
        <x:v>570</x:v>
      </x:c>
      <x:c r="F64" s="3" t="n">
        <x:v>320</x:v>
      </x:c>
      <x:c r="G64" s="3" t="n">
        <x:v>1</x:v>
      </x:c>
      <x:c r="H64" s="3" t="str">
        <x:v>2</x:v>
      </x:c>
      <x:c r="I64" s="3" t="str">
        <x:v>0.45</x:v>
      </x:c>
      <x:c r="J64" s="3" t="str">
        <x:v>0.45</x:v>
      </x:c>
      <x:c r="K64" s="3" t="str">
        <x:v>0.45</x:v>
      </x:c>
      <x:c r="L64" s="40" t="n">
        <x:f>E64-IF(J64="2",2,IF(J64="0.45",0.45,0))-IF(K64="2",2,IF(K64="0.45",0.45,0))</x:f>
        <x:v>569.0999999999999</x:v>
      </x:c>
      <x:c r="M64" s="40" t="n">
        <x:f>F64-IF(H64="2",2,IF(H64="0.45",0.45,0))-IF(I64="2",2,IF(I64="0.45",0.45,0))</x:f>
        <x:v>317.55</x:v>
      </x:c>
    </x:row>
    <x:row r="65">
      <x:c r="A65" s="3" t="str">
        <x:v>63</x:v>
      </x:c>
      <x:c r="B65" s="3" t="str">
        <x:v>S2 Gabinete ducto 60</x:v>
      </x:c>
      <x:c r="C65" s="3" t="str">
        <x:v>Puerta</x:v>
      </x:c>
      <x:c r="D65" s="3" t="str">
        <x:v>Melamina Cartagena RH 15</x:v>
      </x:c>
      <x:c r="E65" s="3" t="n">
        <x:v>347</x:v>
      </x:c>
      <x:c r="F65" s="3" t="n">
        <x:v>597</x:v>
      </x:c>
      <x:c r="G65" s="3" t="n">
        <x:v>1</x:v>
      </x:c>
      <x:c r="H65" s="3" t="str">
        <x:v>2</x:v>
      </x:c>
      <x:c r="I65" s="3" t="str">
        <x:v>2</x:v>
      </x:c>
      <x:c r="J65" s="3" t="str">
        <x:v>2</x:v>
      </x:c>
      <x:c r="K65" s="3" t="str">
        <x:v>2</x:v>
      </x:c>
      <x:c r="L65" s="40" t="n">
        <x:f>E65-IF(J65="2",2,IF(J65="0.45",0.45,0))-IF(K65="2",2,IF(K65="0.45",0.45,0))</x:f>
        <x:v>343</x:v>
      </x:c>
      <x:c r="M65" s="40" t="n">
        <x:f>F65-IF(H65="2",2,IF(H65="0.45",0.45,0))-IF(I65="2",2,IF(I65="0.45",0.45,0))</x:f>
        <x:v>593</x:v>
      </x:c>
    </x:row>
    <x:row r="66">
      <x:c r="A66" s="3" t="str">
        <x:v>64</x:v>
      </x:c>
      <x:c r="B66" s="3" t="str">
        <x:v>S2 Gabinete ducto 60</x:v>
      </x:c>
      <x:c r="C66" s="3" t="str">
        <x:v>Fondo melamina 6 mm</x:v>
      </x:c>
      <x:c r="D66" s="3" t="str">
        <x:v>Fondo melamina 6</x:v>
      </x:c>
      <x:c r="E66" s="3" t="n">
        <x:v>596</x:v>
      </x:c>
      <x:c r="F66" s="3" t="n">
        <x:v>346</x:v>
      </x:c>
      <x:c r="G66" s="3" t="n">
        <x:v>1</x:v>
      </x:c>
      <x:c r="H66" s="3" t="str">
        <x:v>—</x:v>
      </x:c>
      <x:c r="I66" s="3" t="str">
        <x:v>—</x:v>
      </x:c>
      <x:c r="J66" s="3" t="str">
        <x:v>—</x:v>
      </x:c>
      <x:c r="K66" s="3" t="str">
        <x:v>—</x:v>
      </x:c>
      <x:c r="L66" s="40" t="n">
        <x:f>E66-IF(J66="2",2,IF(J66="0.45",0.45,0))-IF(K66="2",2,IF(K66="0.45",0.45,0))</x:f>
        <x:v>596</x:v>
      </x:c>
      <x:c r="M66" s="40" t="n">
        <x:f>F66-IF(H66="2",2,IF(H66="0.45",0.45,0))-IF(I66="2",2,IF(I66="0.45",0.45,0))</x:f>
        <x:v>346</x:v>
      </x:c>
    </x:row>
    <x:row r="67">
      <x:c r="A67" s="3" t="str">
        <x:v>65</x:v>
      </x:c>
      <x:c r="B67" s="3" t="str">
        <x:v>S3 Alacena 84,5</x:v>
      </x:c>
      <x:c r="C67" s="3" t="str">
        <x:v>Lateral</x:v>
      </x:c>
      <x:c r="D67" s="3" t="str">
        <x:v>Melamina Cartagena RH 15</x:v>
      </x:c>
      <x:c r="E67" s="3" t="n">
        <x:v>700</x:v>
      </x:c>
      <x:c r="F67" s="3" t="n">
        <x:v>320</x:v>
      </x:c>
      <x:c r="G67" s="3" t="n">
        <x:v>2</x:v>
      </x:c>
      <x:c r="H67" s="3" t="str">
        <x:v>2</x:v>
      </x:c>
      <x:c r="I67" s="3" t="str">
        <x:v>0.45</x:v>
      </x:c>
      <x:c r="J67" s="3" t="str">
        <x:v>2</x:v>
      </x:c>
      <x:c r="K67" s="3" t="str">
        <x:v>0.45</x:v>
      </x:c>
      <x:c r="L67" s="40" t="n">
        <x:f>E67-IF(J67="2",2,IF(J67="0.45",0.45,0))-IF(K67="2",2,IF(K67="0.45",0.45,0))</x:f>
        <x:v>697.55</x:v>
      </x:c>
      <x:c r="M67" s="40" t="n">
        <x:f>F67-IF(H67="2",2,IF(H67="0.45",0.45,0))-IF(I67="2",2,IF(I67="0.45",0.45,0))</x:f>
        <x:v>317.55</x:v>
      </x:c>
    </x:row>
    <x:row r="68">
      <x:c r="A68" s="3" t="str">
        <x:v>66</x:v>
      </x:c>
      <x:c r="B68" s="3" t="str">
        <x:v>S3 Alacena 84,5</x:v>
      </x:c>
      <x:c r="C68" s="3" t="str">
        <x:v>Techo</x:v>
      </x:c>
      <x:c r="D68" s="3" t="str">
        <x:v>Melamina Cartagena RH 15</x:v>
      </x:c>
      <x:c r="E68" s="3" t="n">
        <x:v>815</x:v>
      </x:c>
      <x:c r="F68" s="3" t="n">
        <x:v>320</x:v>
      </x:c>
      <x:c r="G68" s="3" t="n">
        <x:v>1</x:v>
      </x:c>
      <x:c r="H68" s="3" t="str">
        <x:v>2</x:v>
      </x:c>
      <x:c r="I68" s="3" t="str">
        <x:v>0.45</x:v>
      </x:c>
      <x:c r="J68" s="3" t="str">
        <x:v>0.45</x:v>
      </x:c>
      <x:c r="K68" s="3" t="str">
        <x:v>0.45</x:v>
      </x:c>
      <x:c r="L68" s="40" t="n">
        <x:f>E68-IF(J68="2",2,IF(J68="0.45",0.45,0))-IF(K68="2",2,IF(K68="0.45",0.45,0))</x:f>
        <x:v>814.0999999999999</x:v>
      </x:c>
      <x:c r="M68" s="40" t="n">
        <x:f>F68-IF(H68="2",2,IF(H68="0.45",0.45,0))-IF(I68="2",2,IF(I68="0.45",0.45,0))</x:f>
        <x:v>317.55</x:v>
      </x:c>
    </x:row>
    <x:row r="69">
      <x:c r="A69" s="3" t="str">
        <x:v>67</x:v>
      </x:c>
      <x:c r="B69" s="3" t="str">
        <x:v>S3 Alacena 84,5</x:v>
      </x:c>
      <x:c r="C69" s="3" t="str">
        <x:v>Piso</x:v>
      </x:c>
      <x:c r="D69" s="3" t="str">
        <x:v>Melamina Cartagena RH 15</x:v>
      </x:c>
      <x:c r="E69" s="3" t="n">
        <x:v>815</x:v>
      </x:c>
      <x:c r="F69" s="3" t="n">
        <x:v>320</x:v>
      </x:c>
      <x:c r="G69" s="3" t="n">
        <x:v>1</x:v>
      </x:c>
      <x:c r="H69" s="3" t="str">
        <x:v>2</x:v>
      </x:c>
      <x:c r="I69" s="3" t="str">
        <x:v>0.45</x:v>
      </x:c>
      <x:c r="J69" s="3" t="str">
        <x:v>0.45</x:v>
      </x:c>
      <x:c r="K69" s="3" t="str">
        <x:v>0.45</x:v>
      </x:c>
      <x:c r="L69" s="40" t="n">
        <x:f>E69-IF(J69="2",2,IF(J69="0.45",0.45,0))-IF(K69="2",2,IF(K69="0.45",0.45,0))</x:f>
        <x:v>814.0999999999999</x:v>
      </x:c>
      <x:c r="M69" s="40" t="n">
        <x:f>F69-IF(H69="2",2,IF(H69="0.45",0.45,0))-IF(I69="2",2,IF(I69="0.45",0.45,0))</x:f>
        <x:v>317.55</x:v>
      </x:c>
    </x:row>
    <x:row r="70">
      <x:c r="A70" s="3" t="str">
        <x:v>68</x:v>
      </x:c>
      <x:c r="B70" s="3" t="str">
        <x:v>S3 Alacena 84,5</x:v>
      </x:c>
      <x:c r="C70" s="3" t="str">
        <x:v>División vertical central</x:v>
      </x:c>
      <x:c r="D70" s="3" t="str">
        <x:v>Melamina Cartagena RH 15</x:v>
      </x:c>
      <x:c r="E70" s="3" t="n">
        <x:v>670</x:v>
      </x:c>
      <x:c r="F70" s="3" t="n">
        <x:v>320</x:v>
      </x:c>
      <x:c r="G70" s="3" t="n">
        <x:v>1</x:v>
      </x:c>
      <x:c r="H70" s="3" t="str">
        <x:v>2</x:v>
      </x:c>
      <x:c r="I70" s="3" t="str">
        <x:v>0.45</x:v>
      </x:c>
      <x:c r="J70" s="3" t="str">
        <x:v>0.45</x:v>
      </x:c>
      <x:c r="K70" s="3" t="str">
        <x:v>0.45</x:v>
      </x:c>
      <x:c r="L70" s="40" t="n">
        <x:f>E70-IF(J70="2",2,IF(J70="0.45",0.45,0))-IF(K70="2",2,IF(K70="0.45",0.45,0))</x:f>
        <x:v>669.0999999999999</x:v>
      </x:c>
      <x:c r="M70" s="40" t="n">
        <x:f>F70-IF(H70="2",2,IF(H70="0.45",0.45,0))-IF(I70="2",2,IF(I70="0.45",0.45,0))</x:f>
        <x:v>317.55</x:v>
      </x:c>
    </x:row>
    <x:row r="71">
      <x:c r="A71" s="3" t="str">
        <x:v>69</x:v>
      </x:c>
      <x:c r="B71" s="3" t="str">
        <x:v>S3 Alacena 84,5</x:v>
      </x:c>
      <x:c r="C71" s="3" t="str">
        <x:v>Entrepaño regulable</x:v>
      </x:c>
      <x:c r="D71" s="3" t="str">
        <x:v>Melamina Cartagena RH 15</x:v>
      </x:c>
      <x:c r="E71" s="3" t="n">
        <x:v>397.5</x:v>
      </x:c>
      <x:c r="F71" s="3" t="n">
        <x:v>300</x:v>
      </x:c>
      <x:c r="G71" s="3" t="n">
        <x:v>2</x:v>
      </x:c>
      <x:c r="H71" s="3" t="str">
        <x:v>2</x:v>
      </x:c>
      <x:c r="I71" s="3" t="str">
        <x:v>0.45</x:v>
      </x:c>
      <x:c r="J71" s="3" t="str">
        <x:v>0.45</x:v>
      </x:c>
      <x:c r="K71" s="3" t="str">
        <x:v>0.45</x:v>
      </x:c>
      <x:c r="L71" s="40" t="n">
        <x:f>E71-IF(J71="2",2,IF(J71="0.45",0.45,0))-IF(K71="2",2,IF(K71="0.45",0.45,0))</x:f>
        <x:v>396.6</x:v>
      </x:c>
      <x:c r="M71" s="40" t="n">
        <x:f>F71-IF(H71="2",2,IF(H71="0.45",0.45,0))-IF(I71="2",2,IF(I71="0.45",0.45,0))</x:f>
        <x:v>297.55</x:v>
      </x:c>
    </x:row>
    <x:row r="72">
      <x:c r="A72" s="3" t="str">
        <x:v>70</x:v>
      </x:c>
      <x:c r="B72" s="3" t="str">
        <x:v>S3 Alacena 84,5</x:v>
      </x:c>
      <x:c r="C72" s="3" t="str">
        <x:v>Puerta</x:v>
      </x:c>
      <x:c r="D72" s="3" t="str">
        <x:v>Melamina Cartagena RH 15</x:v>
      </x:c>
      <x:c r="E72" s="3" t="n">
        <x:v>717</x:v>
      </x:c>
      <x:c r="F72" s="3" t="n">
        <x:v>419.5</x:v>
      </x:c>
      <x:c r="G72" s="3" t="n">
        <x:v>2</x:v>
      </x:c>
      <x:c r="H72" s="3" t="str">
        <x:v>2</x:v>
      </x:c>
      <x:c r="I72" s="3" t="str">
        <x:v>2</x:v>
      </x:c>
      <x:c r="J72" s="3" t="str">
        <x:v>2</x:v>
      </x:c>
      <x:c r="K72" s="3" t="str">
        <x:v>2</x:v>
      </x:c>
      <x:c r="L72" s="40" t="n">
        <x:f>E72-IF(J72="2",2,IF(J72="0.45",0.45,0))-IF(K72="2",2,IF(K72="0.45",0.45,0))</x:f>
        <x:v>713</x:v>
      </x:c>
      <x:c r="M72" s="40" t="n">
        <x:f>F72-IF(H72="2",2,IF(H72="0.45",0.45,0))-IF(I72="2",2,IF(I72="0.45",0.45,0))</x:f>
        <x:v>415.5</x:v>
      </x:c>
    </x:row>
    <x:row r="73">
      <x:c r="A73" s="3" t="str">
        <x:v>71</x:v>
      </x:c>
      <x:c r="B73" s="3" t="str">
        <x:v>S3 Alacena 84,5</x:v>
      </x:c>
      <x:c r="C73" s="3" t="str">
        <x:v>Fondo melamina 6 mm</x:v>
      </x:c>
      <x:c r="D73" s="3" t="str">
        <x:v>Fondo melamina 6</x:v>
      </x:c>
      <x:c r="E73" s="3" t="n">
        <x:v>841</x:v>
      </x:c>
      <x:c r="F73" s="3" t="n">
        <x:v>696</x:v>
      </x:c>
      <x:c r="G73" s="3" t="n">
        <x:v>1</x:v>
      </x:c>
      <x:c r="H73" s="3" t="str">
        <x:v>—</x:v>
      </x:c>
      <x:c r="I73" s="3" t="str">
        <x:v>—</x:v>
      </x:c>
      <x:c r="J73" s="3" t="str">
        <x:v>—</x:v>
      </x:c>
      <x:c r="K73" s="3" t="str">
        <x:v>—</x:v>
      </x:c>
      <x:c r="L73" s="40" t="n">
        <x:f>E73-IF(J73="2",2,IF(J73="0.45",0.45,0))-IF(K73="2",2,IF(K73="0.45",0.45,0))</x:f>
        <x:v>841</x:v>
      </x:c>
      <x:c r="M73" s="40" t="n">
        <x:f>F73-IF(H73="2",2,IF(H73="0.45",0.45,0))-IF(I73="2",2,IF(I73="0.45",0.45,0))</x:f>
        <x:v>696</x:v>
      </x:c>
    </x:row>
    <x:row r="74">
      <x:c r="A74" s="3" t="str">
        <x:v>72</x:v>
      </x:c>
      <x:c r="B74" s="3" t="str">
        <x:v>S4 Platero 71,5 (herraje nominal 70)</x:v>
      </x:c>
      <x:c r="C74" s="3" t="str">
        <x:v>Lateral</x:v>
      </x:c>
      <x:c r="D74" s="3" t="str">
        <x:v>Melamina Cartagena RH 15</x:v>
      </x:c>
      <x:c r="E74" s="3" t="n">
        <x:v>700</x:v>
      </x:c>
      <x:c r="F74" s="3" t="n">
        <x:v>320</x:v>
      </x:c>
      <x:c r="G74" s="3" t="n">
        <x:v>2</x:v>
      </x:c>
      <x:c r="H74" s="3" t="str">
        <x:v>2</x:v>
      </x:c>
      <x:c r="I74" s="3" t="str">
        <x:v>0.45</x:v>
      </x:c>
      <x:c r="J74" s="3" t="str">
        <x:v>2</x:v>
      </x:c>
      <x:c r="K74" s="3" t="str">
        <x:v>0.45</x:v>
      </x:c>
      <x:c r="L74" s="40" t="n">
        <x:f>E74-IF(J74="2",2,IF(J74="0.45",0.45,0))-IF(K74="2",2,IF(K74="0.45",0.45,0))</x:f>
        <x:v>697.55</x:v>
      </x:c>
      <x:c r="M74" s="40" t="n">
        <x:f>F74-IF(H74="2",2,IF(H74="0.45",0.45,0))-IF(I74="2",2,IF(I74="0.45",0.45,0))</x:f>
        <x:v>317.55</x:v>
      </x:c>
    </x:row>
    <x:row r="75">
      <x:c r="A75" s="3" t="str">
        <x:v>73</x:v>
      </x:c>
      <x:c r="B75" s="3" t="str">
        <x:v>S4 Platero 71,5 (herraje nominal 70)</x:v>
      </x:c>
      <x:c r="C75" s="3" t="str">
        <x:v>Techo</x:v>
      </x:c>
      <x:c r="D75" s="3" t="str">
        <x:v>Melamina Cartagena RH 15</x:v>
      </x:c>
      <x:c r="E75" s="3" t="n">
        <x:v>685</x:v>
      </x:c>
      <x:c r="F75" s="3" t="n">
        <x:v>320</x:v>
      </x:c>
      <x:c r="G75" s="3" t="n">
        <x:v>1</x:v>
      </x:c>
      <x:c r="H75" s="3" t="str">
        <x:v>2</x:v>
      </x:c>
      <x:c r="I75" s="3" t="str">
        <x:v>0.45</x:v>
      </x:c>
      <x:c r="J75" s="3" t="str">
        <x:v>0.45</x:v>
      </x:c>
      <x:c r="K75" s="3" t="str">
        <x:v>0.45</x:v>
      </x:c>
      <x:c r="L75" s="40" t="n">
        <x:f>E75-IF(J75="2",2,IF(J75="0.45",0.45,0))-IF(K75="2",2,IF(K75="0.45",0.45,0))</x:f>
        <x:v>684.0999999999999</x:v>
      </x:c>
      <x:c r="M75" s="40" t="n">
        <x:f>F75-IF(H75="2",2,IF(H75="0.45",0.45,0))-IF(I75="2",2,IF(I75="0.45",0.45,0))</x:f>
        <x:v>317.55</x:v>
      </x:c>
    </x:row>
    <x:row r="76">
      <x:c r="A76" s="3" t="str">
        <x:v>74</x:v>
      </x:c>
      <x:c r="B76" s="3" t="str">
        <x:v>S4 Platero 71,5 (herraje nominal 70)</x:v>
      </x:c>
      <x:c r="C76" s="3" t="str">
        <x:v>Listón inferior delantero</x:v>
      </x:c>
      <x:c r="D76" s="3" t="str">
        <x:v>Melamina Cartagena RH 15</x:v>
      </x:c>
      <x:c r="E76" s="3" t="n">
        <x:v>685</x:v>
      </x:c>
      <x:c r="F76" s="3" t="n">
        <x:v>60</x:v>
      </x:c>
      <x:c r="G76" s="3" t="n">
        <x:v>1</x:v>
      </x:c>
      <x:c r="H76" s="3" t="str">
        <x:v>0.45</x:v>
      </x:c>
      <x:c r="I76" s="3" t="str">
        <x:v>0.45</x:v>
      </x:c>
      <x:c r="J76" s="3" t="str">
        <x:v>0.45</x:v>
      </x:c>
      <x:c r="K76" s="3" t="str">
        <x:v>0.45</x:v>
      </x:c>
      <x:c r="L76" s="40" t="n">
        <x:f>E76-IF(J76="2",2,IF(J76="0.45",0.45,0))-IF(K76="2",2,IF(K76="0.45",0.45,0))</x:f>
        <x:v>684.0999999999999</x:v>
      </x:c>
      <x:c r="M76" s="40" t="n">
        <x:f>F76-IF(H76="2",2,IF(H76="0.45",0.45,0))-IF(I76="2",2,IF(I76="0.45",0.45,0))</x:f>
        <x:v>59.099999999999994</x:v>
      </x:c>
    </x:row>
    <x:row r="77">
      <x:c r="A77" s="3" t="str">
        <x:v>75</x:v>
      </x:c>
      <x:c r="B77" s="3" t="str">
        <x:v>S4 Platero 71,5 (herraje nominal 70)</x:v>
      </x:c>
      <x:c r="C77" s="3" t="str">
        <x:v>Listón inferior trasero</x:v>
      </x:c>
      <x:c r="D77" s="3" t="str">
        <x:v>Melamina Cartagena RH 15</x:v>
      </x:c>
      <x:c r="E77" s="3" t="n">
        <x:v>685</x:v>
      </x:c>
      <x:c r="F77" s="3" t="n">
        <x:v>80</x:v>
      </x:c>
      <x:c r="G77" s="3" t="n">
        <x:v>1</x:v>
      </x:c>
      <x:c r="H77" s="3" t="str">
        <x:v>0.45</x:v>
      </x:c>
      <x:c r="I77" s="3" t="str">
        <x:v>0.45</x:v>
      </x:c>
      <x:c r="J77" s="3" t="str">
        <x:v>0.45</x:v>
      </x:c>
      <x:c r="K77" s="3" t="str">
        <x:v>0.45</x:v>
      </x:c>
      <x:c r="L77" s="40" t="n">
        <x:f>E77-IF(J77="2",2,IF(J77="0.45",0.45,0))-IF(K77="2",2,IF(K77="0.45",0.45,0))</x:f>
        <x:v>684.0999999999999</x:v>
      </x:c>
      <x:c r="M77" s="40" t="n">
        <x:f>F77-IF(H77="2",2,IF(H77="0.45",0.45,0))-IF(I77="2",2,IF(I77="0.45",0.45,0))</x:f>
        <x:v>79.1</x:v>
      </x:c>
    </x:row>
    <x:row r="78">
      <x:c r="A78" s="3" t="str">
        <x:v>76</x:v>
      </x:c>
      <x:c r="B78" s="3" t="str">
        <x:v>S4 Platero 71,5 (herraje nominal 70)</x:v>
      </x:c>
      <x:c r="C78" s="3" t="str">
        <x:v>Puerta</x:v>
      </x:c>
      <x:c r="D78" s="3" t="str">
        <x:v>Melamina Cartagena RH 15</x:v>
      </x:c>
      <x:c r="E78" s="3" t="n">
        <x:v>717</x:v>
      </x:c>
      <x:c r="F78" s="3" t="n">
        <x:v>354</x:v>
      </x:c>
      <x:c r="G78" s="3" t="n">
        <x:v>2</x:v>
      </x:c>
      <x:c r="H78" s="3" t="str">
        <x:v>2</x:v>
      </x:c>
      <x:c r="I78" s="3" t="str">
        <x:v>2</x:v>
      </x:c>
      <x:c r="J78" s="3" t="str">
        <x:v>2</x:v>
      </x:c>
      <x:c r="K78" s="3" t="str">
        <x:v>2</x:v>
      </x:c>
      <x:c r="L78" s="40" t="n">
        <x:f>E78-IF(J78="2",2,IF(J78="0.45",0.45,0))-IF(K78="2",2,IF(K78="0.45",0.45,0))</x:f>
        <x:v>713</x:v>
      </x:c>
      <x:c r="M78" s="40" t="n">
        <x:f>F78-IF(H78="2",2,IF(H78="0.45",0.45,0))-IF(I78="2",2,IF(I78="0.45",0.45,0))</x:f>
        <x:v>350</x:v>
      </x:c>
    </x:row>
    <x:row r="79">
      <x:c r="A79" s="3" t="str">
        <x:v>77</x:v>
      </x:c>
      <x:c r="B79" s="3" t="str">
        <x:v>S4 Platero 71,5 (herraje nominal 70)</x:v>
      </x:c>
      <x:c r="C79" s="3" t="str">
        <x:v>Fondo melamina 6 mm</x:v>
      </x:c>
      <x:c r="D79" s="3" t="str">
        <x:v>Fondo melamina 6</x:v>
      </x:c>
      <x:c r="E79" s="3" t="n">
        <x:v>711</x:v>
      </x:c>
      <x:c r="F79" s="3" t="n">
        <x:v>696</x:v>
      </x:c>
      <x:c r="G79" s="3" t="n">
        <x:v>1</x:v>
      </x:c>
      <x:c r="H79" s="3" t="str">
        <x:v>—</x:v>
      </x:c>
      <x:c r="I79" s="3" t="str">
        <x:v>—</x:v>
      </x:c>
      <x:c r="J79" s="3" t="str">
        <x:v>—</x:v>
      </x:c>
      <x:c r="K79" s="3" t="str">
        <x:v>—</x:v>
      </x:c>
      <x:c r="L79" s="40" t="n">
        <x:f>E79-IF(J79="2",2,IF(J79="0.45",0.45,0))-IF(K79="2",2,IF(K79="0.45",0.45,0))</x:f>
        <x:v>711</x:v>
      </x:c>
      <x:c r="M79" s="40" t="n">
        <x:f>F79-IF(H79="2",2,IF(H79="0.45",0.45,0))-IF(I79="2",2,IF(I79="0.45",0.45,0))</x:f>
        <x:v>696</x:v>
      </x:c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1"/>
      <x:c r="M80" s="31"/>
    </x:row>
    <x:row r="81">
      <x:c r="A81" s="3"/>
      <x:c r="B81" s="3"/>
      <x:c r="C81" s="3" t="str">
        <x:v>Total piezas melamina</x:v>
      </x:c>
      <x:c r="D81" s="3"/>
      <x:c r="E81" s="3"/>
      <x:c r="F81" s="3"/>
      <x:c r="G81" s="3" t="n">
        <x:f>SUMIF(D5:D79,"Melamina Cartagena RH 15",G5:G79)</x:f>
        <x:v>98</x:v>
      </x:c>
      <x:c r="H81" s="3"/>
      <x:c r="I81" s="3"/>
      <x:c r="J81" s="3"/>
      <x:c r="K81" s="3"/>
      <x:c r="L81" s="31"/>
      <x:c r="M81" s="31"/>
    </x:row>
    <x:row r="82">
      <x:c r="C82" t="str">
        <x:v>Total piezas de fondo 6 mm</x:v>
      </x:c>
      <x:c r="G82" t="n">
        <x:f>SUMIF(D5:D79,"Fondo melamina 6",G5:G79)</x:f>
        <x:v>8</x:v>
      </x:c>
    </x:row>
    <x:row r="83">
      <x:c r="C83"/>
      <x:c r="G83"/>
    </x:row>
    <x:row r="84">
      <x:c r="C84"/>
      <x:c r="G8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7" customWidth="1"/>
    <x:col min="2" max="2" width="8" customWidth="1"/>
    <x:col min="3" max="3" width="105" customWidth="1"/>
  </x:cols>
  <x:sheetData>
    <x:row r="1">
      <x:c r="A1" s="4" t="inlineStr">
        <x:is>
          <x:t xml:space="preserve">Herraje</x:t>
        </x:is>
      </x:c>
      <x:c r="B1" s="4" t="inlineStr">
        <x:is>
          <x:t xml:space="preserve">Cant.</x:t>
        </x:is>
      </x:c>
      <x:c r="C1" s="4" t="inlineStr">
        <x:is>
          <x:t xml:space="preserve">Uso</x:t>
        </x:is>
      </x:c>
    </x:row>
    <x:row r="2" ht="34" customHeight="1">
      <x:c r="A2" s="18" t="inlineStr">
        <x:is>
          <x:t xml:space="preserve">Bisagra parche HBM897-01 · 35 mm · cierre lento (unidad física)</x:t>
        </x:is>
      </x:c>
      <x:c r="B2" t="n">
        <x:v>16</x:v>
      </x:c>
      <x:c r="C2" s="18" t="inlineStr">
        <x:is>
          <x:t xml:space="preserve">16 unidades físicas = 8 pares comerciales. Dos por puerta; revisar carga antes de fabricar.</x:t>
        </x:is>
      </x:c>
    </x:row>
    <x:row r="3" ht="34" customHeight="1">
      <x:c r="A3" s="18" t="inlineStr">
        <x:is>
          <x:t xml:space="preserve">Riel Bonuit HRE550-55 · cierre lento 30 kg · 550 mm (par)</x:t>
        </x:is>
      </x:c>
      <x:c r="B3" t="n">
        <x:v>6</x:v>
      </x:c>
      <x:c r="C3" s="18" t="str">
        <x:v>6 pares de 550 mm; descuento provisional de 27 mm: B3 exterior 243/interior 213; B4 exterior 393/interior 363. Confirmar variante de riel.</x:v>
      </x:c>
    </x:row>
    <x:row r="4" ht="34" customHeight="1">
      <x:c r="A4" s="18" t="inlineStr">
        <x:is>
          <x:t xml:space="preserve">Perfil gola superior × 3 m</x:t>
        </x:is>
      </x:c>
      <x:c r="B4" t="n">
        <x:v>1</x:v>
      </x:c>
      <x:c r="C4" s="18" t="str">
        <x:v>Se usan unos 1,95 m: B1 300 + tramo B3–B5 1650; se interrumpe en el horno. Confirmar remates.</x:v>
      </x:c>
    </x:row>
    <x:row r="5" ht="34" customHeight="1">
      <x:c r="A5" s="18" t="inlineStr">
        <x:is>
          <x:t xml:space="preserve">Perfil gola media × 3 m</x:t>
        </x:is>
      </x:c>
      <x:c r="B5" t="n">
        <x:v>1</x:v>
      </x:c>
      <x:c r="C5" s="18" t="str">
        <x:v>1,50 m: dos niveles de 750 mm sobre B3+B4.</x:v>
      </x:c>
    </x:row>
    <x:row r="6" ht="34" customHeight="1">
      <x:c r="A6" s="18" t="inlineStr">
        <x:is>
          <x:t xml:space="preserve">Basurero cierre lento, 1 contenedor (HSO460-30)</x:t>
        </x:is>
      </x:c>
      <x:c r="B6" t="n">
        <x:v>1</x:v>
      </x:c>
      <x:c r="C6" s="18" t="inlineStr">
        <x:is>
          <x:t xml:space="preserve">Módulo 300; confirmar fijación del frente extraíble, pues B1 no tiene bisagras asignadas.</x:t>
        </x:is>
      </x:c>
    </x:row>
    <x:row r="7" ht="34" customHeight="1">
      <x:c r="A7" s="18" t="inlineStr">
        <x:is>
          <x:t xml:space="preserve">Canasta bajo fregadero (HSO228-90R)</x:t>
        </x:is>
      </x:c>
      <x:c r="B7" t="n">
        <x:v>1</x:v>
      </x:c>
      <x:c r="C7" s="18" t="inlineStr">
        <x:is>
          <x:t xml:space="preserve">Módulo 900; confirmar montaje independiente detrás de dos puertas, bisagras y sifón.</x:t>
        </x:is>
      </x:c>
    </x:row>
    <x:row r="8" ht="34" customHeight="1">
      <x:c r="A8" s="18" t="inlineStr">
        <x:is>
          <x:t xml:space="preserve">Cubiertero HSC910-40 · 360 × 480 × 50 mm</x:t>
        </x:is>
      </x:c>
      <x:c r="B8" t="n">
        <x:v>1</x:v>
      </x:c>
      <x:c r="C8" s="18" t="str">
        <x:v>B4 interior terminado 363 × 520; cubiertero 360 × 480: holgura total 3 × 40 mm. Confirmar tolerancia, altura y medidas reales.</x:v>
      </x:c>
    </x:row>
    <x:row r="9" ht="34" customHeight="1">
      <x:c r="A9" s="18" t="str">
        <x:v>Platero HSO566-03G · nominal 700 mm, gris antracita</x:v>
      </x:c>
      <x:c r="B9" t="n">
        <x:v>1</x:v>
      </x:c>
      <x:c r="C9" s="18" t="str">
        <x:v>Herraje 680 × 245; caja propuesta 715, luz 685. No asumir que caja exterior 700 sirve: deja 670. Confirmar ficha y fijaciones antes de cortar.</x:v>
      </x:c>
    </x:row>
    <x:row r="10" ht="34" customHeight="1">
      <x:c r="A10" s="18" t="inlineStr">
        <x:is>
          <x:t xml:space="preserve">Pata niveladora para zócalo 100 mm</x:t>
        </x:is>
      </x:c>
      <x:c r="B10" t="n">
        <x:v>24</x:v>
      </x:c>
      <x:c r="C10" s="18" t="inlineStr">
        <x:is>
          <x:t xml:space="preserve">20 = 4 por cada uno de los 5 módulos bajos + 4 de refuerzo (2 bajo el horno, 2 al centro del lavaplatos).</x:t>
        </x:is>
      </x:c>
    </x:row>
    <x:row r="11" ht="34" customHeight="1">
      <x:c r="A11" s="18" t="inlineStr">
        <x:is>
          <x:t xml:space="preserve">Colgador regulable para gabinete superior (par)</x:t>
        </x:is>
      </x:c>
      <x:c r="B11" t="n">
        <x:v>4</x:v>
      </x:c>
      <x:c r="C11" s="18" t="inlineStr">
        <x:is>
          <x:t xml:space="preserve">Un par por gabinete</x:t>
        </x:is>
      </x:c>
    </x:row>
    <x:row r="12" ht="34" customHeight="1">
      <x:c r="A12" s="18" t="inlineStr">
        <x:is>
          <x:t xml:space="preserve">Soporte de entrepaño</x:t>
        </x:is>
      </x:c>
      <x:c r="B12" t="n">
        <x:v>12</x:v>
      </x:c>
      <x:c r="C12" s="18" t="inlineStr">
        <x:is>
          <x:t xml:space="preserve">S1: 1 entrepaño · S3: 2 entrepaños (con división central)</x:t>
        </x:is>
      </x:c>
    </x:row>
    <x:row r="13" ht="34" customHeight="1">
      <x:c r="A13" s="18" t="inlineStr">
        <x:is>
          <x:t xml:space="preserve">Tornillo 4 × 50 mm para armado</x:t>
        </x:is>
      </x:c>
      <x:c r="B13" t="n">
        <x:v>150</x:v>
      </x:c>
      <x:c r="C13" s="18" t="inlineStr">
        <x:is>
          <x:t xml:space="preserve">Aprox.; o minifix si prefieres armado desmontable</x:t>
        </x:is>
      </x:c>
    </x:row>
    <x:row r="14" ht="34" customHeight="1">
      <x:c r="A14" s="18" t="inlineStr">
        <x:is>
          <x:t xml:space="preserve">Tornillo 4 × 16 mm para herrajes</x:t>
        </x:is>
      </x:c>
      <x:c r="B14" t="n">
        <x:v>150</x:v>
      </x:c>
      <x:c r="C14" s="18" t="inlineStr">
        <x:is>
          <x:t xml:space="preserve">Aproximados; descontar tornillos incluidos en rieles y bisagras según ubicación.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3" customWidth="1"/>
    <x:col min="3" max="3" width="10" customWidth="1"/>
    <x:col min="4" max="4" width="26" customWidth="1"/>
    <x:col min="5" max="5" width="26" customWidth="1"/>
    <x:col min="6" max="6" width="98" customWidth="1"/>
  </x:cols>
  <x:sheetData>
    <x:row r="1">
      <x:c r="A1" s="4" t="inlineStr">
        <x:is>
          <x:t xml:space="preserve">Grupo</x:t>
        </x:is>
      </x:c>
      <x:c r="B1" s="4" t="inlineStr">
        <x:is>
          <x:t xml:space="preserve">Ítem</x:t>
        </x:is>
      </x:c>
      <x:c r="C1" s="4" t="inlineStr">
        <x:is>
          <x:t xml:space="preserve">Cant.</x:t>
        </x:is>
      </x:c>
      <x:c r="D1" s="4" t="inlineStr">
        <x:is>
          <x:t xml:space="preserve">Precio unitario (COP)</x:t>
        </x:is>
      </x:c>
      <x:c r="E1" s="4" t="inlineStr">
        <x:is>
          <x:t xml:space="preserve">Subtotal (COP)</x:t>
        </x:is>
      </x:c>
      <x:c r="F1" s="4" t="inlineStr">
        <x:is>
          <x:t xml:space="preserve">Fuente / nota</x:t>
        </x:is>
      </x:c>
    </x:row>
    <x:row r="2" ht="36" customHeight="1">
      <x:c r="A2" t="inlineStr">
        <x:is>
          <x:t xml:space="preserve">Tableros y cantos</x:t>
        </x:is>
      </x:c>
      <x:c r="B2" s="18" t="inlineStr">
        <x:is>
          <x:t xml:space="preserve">Tablero melamina Cartagena RH 15 mm, 2,15 × 2,44</x:t>
        </x:is>
      </x:c>
      <x:c r="C2" s="32" t="n">
        <x:v>4</x:v>
      </x:c>
      <x:c r="D2" s="33" t="n">
        <x:v>365872</x:v>
      </x:c>
      <x:c r="E2" s="33" t="n">
        <x:f>IF(AND(ISNUMBER(C2),ISNUMBER(D2)),C2*D2,"Por cotizar")</x:f>
        <x:v>1463488</x:v>
      </x:c>
      <x:c r="F2" s="18" t="inlineStr">
        <x:is>
          <x:t xml:space="preserve">Madecentro</x:t>
        </x:is>
      </x:c>
    </x:row>
    <x:row r="3" ht="36" customHeight="1">
      <x:c r="A3" t="inlineStr">
        <x:is>
          <x:t xml:space="preserve">Tableros y cantos</x:t>
        </x:is>
      </x:c>
      <x:c r="B3" s="18" t="inlineStr">
        <x:is>
          <x:t xml:space="preserve">Fondo melamina blanco nevado RH 6 mm, 2,15 × 2,44</x:t>
        </x:is>
      </x:c>
      <x:c r="C3" s="32" t="n">
        <x:v>1</x:v>
      </x:c>
      <x:c r="D3" s="33" t="n">
        <x:v>212534</x:v>
      </x:c>
      <x:c r="E3" s="33" t="n">
        <x:f>IF(AND(ISNUMBER(C3),ISNUMBER(D3)),C3*D3,"Por cotizar")</x:f>
        <x:v>212534</x:v>
      </x:c>
      <x:c r="F3" s="18" t="inlineStr">
        <x:is>
          <x:t xml:space="preserve">Madecentro</x:t>
        </x:is>
      </x:c>
    </x:row>
    <x:row r="4" ht="36" customHeight="1">
      <x:c r="A4" t="inlineStr">
        <x:is>
          <x:t xml:space="preserve">Tableros y cantos</x:t>
        </x:is>
      </x:c>
      <x:c r="B4" s="18" t="inlineStr">
        <x:is>
          <x:t xml:space="preserve">Canto rígido Cartagena 19 × 2 mm · rollo 100 m</x:t>
        </x:is>
      </x:c>
      <x:c r="C4" s="32" t="n">
        <x:f>ROUNDUP('Cantos'!F4/'Cantos'!H4,0)</x:f>
        <x:v>1</x:v>
      </x:c>
      <x:c r="D4" s="33" t="n">
        <x:v>531600</x:v>
      </x:c>
      <x:c r="E4" s="33" t="n">
        <x:f>IF(AND(ISNUMBER(C4),ISNUMBER(D4)),C4*D4,"Por cotizar")</x:f>
        <x:v>531600</x:v>
      </x:c>
      <x:c r="F4" s="18" t="inlineStr">
        <x:is>
          <x:t xml:space="preserve">Precio de la nueva versión: $531.600/rollo. Metros y rollos vinculados a Cantos; validar SKU.</x:t>
        </x:is>
      </x:c>
    </x:row>
    <x:row r="5" ht="36" customHeight="1">
      <x:c r="A5" t="inlineStr">
        <x:is>
          <x:t xml:space="preserve">Tableros y cantos</x:t>
        </x:is>
      </x:c>
      <x:c r="B5" s="18" t="inlineStr">
        <x:is>
          <x:t xml:space="preserve">Canto flexible Cartagena 19 × 0,45 mm · rollo 200 m</x:t>
        </x:is>
      </x:c>
      <x:c r="C5" s="32" t="n">
        <x:f>ROUNDUP('Cantos'!F5/'Cantos'!H5,0)</x:f>
        <x:v>1</x:v>
      </x:c>
      <x:c r="D5" s="33" t="n">
        <x:v>285600</x:v>
      </x:c>
      <x:c r="E5" s="33" t="n">
        <x:f>IF(AND(ISNUMBER(C5),ISNUMBER(D5)),C5*D5,"Por cotizar")</x:f>
        <x:v>285600</x:v>
      </x:c>
      <x:c r="F5" s="18" t="inlineStr">
        <x:is>
          <x:t xml:space="preserve">Precio de la nueva versión: $285.600/rollo. Metros y rollos vinculados a Cantos; validar SKU.</x:t>
        </x:is>
      </x:c>
    </x:row>
    <x:row r="6" ht="36" customHeight="1">
      <x:c r="A6" t="inlineStr">
        <x:is>
          <x:t xml:space="preserve">Herrajes</x:t>
        </x:is>
      </x:c>
      <x:c r="B6" s="18" t="inlineStr">
        <x:is>
          <x:t xml:space="preserve">Perfil gola superior × 3 m</x:t>
        </x:is>
      </x:c>
      <x:c r="C6" s="32" t="n">
        <x:v>1</x:v>
      </x:c>
      <x:c r="D6" s="33" t="n">
        <x:v>41215</x:v>
      </x:c>
      <x:c r="E6" s="33" t="n">
        <x:f>IF(AND(ISNUMBER(C6),ISNUMBER(D6)),C6*D6,"Por cotizar")</x:f>
        <x:v>41215</x:v>
      </x:c>
      <x:c r="F6" s="18" t="inlineStr">
        <x:is>
          <x:t xml:space="preserve">Madecentro</x:t>
        </x:is>
      </x:c>
    </x:row>
    <x:row r="7" ht="36" customHeight="1">
      <x:c r="A7" t="inlineStr">
        <x:is>
          <x:t xml:space="preserve">Herrajes</x:t>
        </x:is>
      </x:c>
      <x:c r="B7" s="18" t="inlineStr">
        <x:is>
          <x:t xml:space="preserve">Perfil gola media × 3 m</x:t>
        </x:is>
      </x:c>
      <x:c r="C7" s="32" t="n">
        <x:v>1</x:v>
      </x:c>
      <x:c r="D7" s="33" t="n">
        <x:v>51014</x:v>
      </x:c>
      <x:c r="E7" s="33" t="n">
        <x:f>IF(AND(ISNUMBER(C7),ISNUMBER(D7)),C7*D7,"Por cotizar")</x:f>
        <x:v>51014</x:v>
      </x:c>
      <x:c r="F7" s="18" t="inlineStr">
        <x:is>
          <x:t xml:space="preserve">Madecentro</x:t>
        </x:is>
      </x:c>
    </x:row>
    <x:row r="8" ht="36" customHeight="1">
      <x:c r="A8" t="inlineStr">
        <x:is>
          <x:t xml:space="preserve">Herrajes</x:t>
        </x:is>
      </x:c>
      <x:c r="B8" s="18" t="inlineStr">
        <x:is>
          <x:t xml:space="preserve">Riel Bonuit HRE550-55 · 550 mm · par</x:t>
        </x:is>
      </x:c>
      <x:c r="C8" s="32" t="n">
        <x:v>6</x:v>
      </x:c>
      <x:c r="D8" s="33" t="n">
        <x:v>49510</x:v>
      </x:c>
      <x:c r="E8" s="33" t="n">
        <x:f>IF(AND(ISNUMBER(C8),ISNUMBER(D8)),C8*D8,"Por cotizar")</x:f>
        <x:v>297060</x:v>
      </x:c>
      <x:c r="F8" s="18" t="inlineStr">
        <x:is>
          <x:t xml:space="preserve">Madecentro, variante 55 cm zincado (negro 47.034). Homecenter Bonuit 468678: 68.900/par. Confirmar que la de Madecentro también pide 27 mm de descuento.</x:t>
        </x:is>
      </x:c>
    </x:row>
    <x:row r="9" ht="36" customHeight="1">
      <x:c r="A9" t="inlineStr">
        <x:is>
          <x:t xml:space="preserve">Herrajes</x:t>
        </x:is>
      </x:c>
      <x:c r="B9" s="18" t="inlineStr">
        <x:is>
          <x:t xml:space="preserve">Bisagra parche HBM897-01 · par (16 bisagras físicas)</x:t>
        </x:is>
      </x:c>
      <x:c r="C9" s="32" t="n">
        <x:f>'Herrajes'!B2/2</x:f>
        <x:v>8</x:v>
      </x:c>
      <x:c r="D9" s="33" t="n">
        <x:v>17750</x:v>
      </x:c>
      <x:c r="E9" s="33" t="n">
        <x:f>IF(AND(ISNUMBER(C9),ISNUMBER(D9)),C9*D9,"Por cotizar")</x:f>
        <x:v>142000</x:v>
      </x:c>
      <x:c r="F9" s="18" t="inlineStr">
        <x:is>
          <x:t xml:space="preserve">Madecentro, consulta 25/10/2026: $17.750/par. Incluye tornillos; confirmar cotización.</x:t>
        </x:is>
      </x:c>
    </x:row>
    <x:row r="10" ht="36" customHeight="1">
      <x:c r="A10" t="inlineStr">
        <x:is>
          <x:t xml:space="preserve">Herrajes</x:t>
        </x:is>
      </x:c>
      <x:c r="B10" s="18" t="inlineStr">
        <x:is>
          <x:t xml:space="preserve">Basurero cierre lento, 1 contenedor (HSO460-30)</x:t>
        </x:is>
      </x:c>
      <x:c r="C10" s="32" t="n">
        <x:v>1</x:v>
      </x:c>
      <x:c r="D10" s="33" t="n">
        <x:v>206135</x:v>
      </x:c>
      <x:c r="E10" s="33" t="n">
        <x:f>IF(AND(ISNUMBER(C10),ISNUMBER(D10)),C10*D10,"Por cotizar")</x:f>
        <x:v>206135</x:v>
      </x:c>
      <x:c r="F10" s="18" t="inlineStr">
        <x:is>
          <x:t xml:space="preserve">Madecentro</x:t>
        </x:is>
      </x:c>
    </x:row>
    <x:row r="11" ht="36" customHeight="1">
      <x:c r="A11" t="inlineStr">
        <x:is>
          <x:t xml:space="preserve">Herrajes</x:t>
        </x:is>
      </x:c>
      <x:c r="B11" s="18" t="inlineStr">
        <x:is>
          <x:t xml:space="preserve">Canasta bajo fregadero (HSO228-90R)</x:t>
        </x:is>
      </x:c>
      <x:c r="C11" s="32" t="n">
        <x:v>1</x:v>
      </x:c>
      <x:c r="D11" s="33" t="n">
        <x:v>193570</x:v>
      </x:c>
      <x:c r="E11" s="33" t="n">
        <x:f>IF(AND(ISNUMBER(C11),ISNUMBER(D11)),C11*D11,"Por cotizar")</x:f>
        <x:v>193570</x:v>
      </x:c>
      <x:c r="F11" s="18" t="inlineStr">
        <x:is>
          <x:t xml:space="preserve">Madecentro</x:t>
        </x:is>
      </x:c>
    </x:row>
    <x:row r="12" ht="36" customHeight="1">
      <x:c r="A12" t="inlineStr">
        <x:is>
          <x:t xml:space="preserve">Herrajes</x:t>
        </x:is>
      </x:c>
      <x:c r="B12" s="18" t="str">
        <x:v>Platero HSO566-03G · nominal 700 mm · herraje 680 × 245</x:v>
      </x:c>
      <x:c r="C12" s="32" t="n">
        <x:v>1</x:v>
      </x:c>
      <x:c r="D12" s="33" t="n">
        <x:v>63539</x:v>
      </x:c>
      <x:c r="E12" s="33" t="n">
        <x:f>IF(AND(ISNUMBER(C12),ISNUMBER(D12)),C12*D12,"Por cotizar")</x:f>
        <x:v>63539</x:v>
      </x:c>
      <x:c r="F12" s="18" t="str">
        <x:v>Madecentro, consulta 25/10/2026: variante gris antracita, precio online promocional $63.539. Confirmar vigencia, cobertura y montaje en luz 685. https://madecentro.com/collections/ofertas-madecentro/products/cocina-27837</x:v>
      </x:c>
    </x:row>
    <x:row r="13" ht="36" customHeight="1">
      <x:c r="A13" t="inlineStr">
        <x:is>
          <x:t xml:space="preserve">Herrajes</x:t>
        </x:is>
      </x:c>
      <x:c r="B13" s="18" t="inlineStr">
        <x:is>
          <x:t xml:space="preserve">Cubiertero HSC910-40 · 360 × 480 × 50 mm</x:t>
        </x:is>
      </x:c>
      <x:c r="C13" s="32" t="n">
        <x:v>1</x:v>
      </x:c>
      <x:c r="D13" s="33" t="n">
        <x:v>38791</x:v>
      </x:c>
      <x:c r="E13" s="33" t="n">
        <x:f>IF(AND(ISNUMBER(C13),ISNUMBER(D13)),C13*D13,"Por cotizar")</x:f>
        <x:v>38791</x:v>
      </x:c>
      <x:c r="F13" s="18" t="inlineStr">
        <x:is>
          <x:t xml:space="preserve">Madecentro</x:t>
        </x:is>
      </x:c>
    </x:row>
    <x:row r="14" ht="36" customHeight="1">
      <x:c r="A14" t="inlineStr">
        <x:is>
          <x:t xml:space="preserve">Herrajes</x:t>
        </x:is>
      </x:c>
      <x:c r="B14" s="18" t="inlineStr">
        <x:is>
          <x:t xml:space="preserve">Pata niveladora para zócalo 100 mm</x:t>
        </x:is>
      </x:c>
      <x:c r="C14" s="32" t="n">
        <x:v>24</x:v>
      </x:c>
      <x:c r="D14" s="33" t="n">
        <x:v>2042</x:v>
      </x:c>
      <x:c r="E14" s="33" t="n">
        <x:f>IF(AND(ISNUMBER(C14),ISNUMBER(D14)),C14*D14,"Por cotizar")</x:f>
        <x:v>49008</x:v>
      </x:c>
      <x:c r="F14" s="18" t="inlineStr">
        <x:is>
          <x:t xml:space="preserve">Madecentro</x:t>
        </x:is>
      </x:c>
    </x:row>
    <x:row r="15" ht="36" customHeight="1">
      <x:c r="A15" t="inlineStr">
        <x:is>
          <x:t xml:space="preserve">Herrajes</x:t>
        </x:is>
      </x:c>
      <x:c r="B15" s="18" t="inlineStr">
        <x:is>
          <x:t xml:space="preserve">Colgador regulable para gabinete superior (par)</x:t>
        </x:is>
      </x:c>
      <x:c r="C15" s="32" t="n">
        <x:v>4</x:v>
      </x:c>
      <x:c r="D15" s="33" t="inlineStr">
        <x:is>
          <x:t xml:space="preserve">cotizar</x:t>
        </x:is>
      </x:c>
      <x:c r="E15" s="33" t="str">
        <x:f>IF(AND(ISNUMBER(C15),ISNUMBER(D15)),C15*D15,"Por cotizar")</x:f>
        <x:v>Por cotizar</x:v>
      </x:c>
      <x:c r="F15" s="18" t="inlineStr">
        <x:is>
          <x:t xml:space="preserve">cotizar</x:t>
        </x:is>
      </x:c>
    </x:row>
    <x:row r="16" ht="36" customHeight="1">
      <x:c r="A16" t="inlineStr">
        <x:is>
          <x:t xml:space="preserve">Herrajes</x:t>
        </x:is>
      </x:c>
      <x:c r="B16" s="18" t="inlineStr">
        <x:is>
          <x:t xml:space="preserve">Soportes de entrepaño y tornillería</x:t>
        </x:is>
      </x:c>
      <x:c r="C16" s="32" t="n">
        <x:v>1</x:v>
      </x:c>
      <x:c r="D16" s="33" t="inlineStr">
        <x:is>
          <x:t xml:space="preserve">cotizar</x:t>
        </x:is>
      </x:c>
      <x:c r="E16" s="33" t="str">
        <x:f>IF(AND(ISNUMBER(C16),ISNUMBER(D16)),C16*D16,"Por cotizar")</x:f>
        <x:v>Por cotizar</x:v>
      </x:c>
      <x:c r="F16" s="18" t="inlineStr">
        <x:is>
          <x:t xml:space="preserve">12 soportes, tornillos de armado y herrajes, fijaciones de fondos de 6, anclajes al muro y remates gola/zócalo. Evitar duplicar los incluidos.</x:t>
        </x:is>
      </x:c>
    </x:row>
    <x:row r="17" ht="36" customHeight="1">
      <x:c r="A17" t="inlineStr">
        <x:is>
          <x:t xml:space="preserve">Mesón y equipos</x:t>
        </x:is>
      </x:c>
      <x:c r="B17" s="18" t="str">
        <x:v>Mesón Crema Marfil 260 × 62 cm · código 519014</x:v>
      </x:c>
      <x:c r="C17" s="32" t="n">
        <x:v>1</x:v>
      </x:c>
      <x:c r="D17" s="33" t="n">
        <x:v>1486300</x:v>
      </x:c>
      <x:c r="E17" s="33" t="n">
        <x:f>IF(AND(ISNUMBER(C17),ISNUMBER(D17)),C17*D17,"Por cotizar")</x:f>
        <x:v>1486300</x:v>
      </x:c>
      <x:c r="F17" s="18" t="str">
        <x:v>Precio aportado por el usuario: $1.486.300. Confirmar espesor real, material, acabado y recortes con proveedor antes de fabricar. https://www.homecenter.com.co/homecenter-co/product/519014/meson-granito-natural-crema-marfil-260-cm-x-62-cm/519014/</x:v>
      </x:c>
    </x:row>
    <x:row r="18" ht="48" customHeight="1">
      <x:c r="A18" t="inlineStr">
        <x:is>
          <x:t xml:space="preserve">Mesón y equipos</x:t>
        </x:is>
      </x:c>
      <x:c r="B18" s="18" t="inlineStr">
        <x:is>
          <x:t xml:space="preserve">Lavaplatos Socoda AS350 satinado · submontar 1 poceta 55 × 43 cm · código 87730</x:t>
        </x:is>
      </x:c>
      <x:c r="C18" s="32" t="n">
        <x:v>1</x:v>
      </x:c>
      <x:c r="D18" s="33" t="n">
        <x:v>209900</x:v>
      </x:c>
      <x:c r="E18" s="33" t="n">
        <x:f>IF(AND(ISNUMBER(C18),ISNUMBER(D18)),C18*D18,"Por cotizar")</x:f>
        <x:v>209900</x:v>
      </x:c>
      <x:c r="F18" s="18" t="str">
        <x:v>Precio $209.900 aportado por el usuario para Socoda AS350, código 87730. Confirmar plantilla de submontaje e incluidos.</x:v>
      </x:c>
    </x:row>
    <x:row r="19" ht="48" customHeight="1">
      <x:c r="A19" t="inlineStr">
        <x:is>
          <x:t xml:space="preserve">Mesón y equipos</x:t>
        </x:is>
      </x:c>
      <x:c r="B19" s="18" t="inlineStr">
        <x:is>
          <x:t xml:space="preserve">Combo CA3057: campana Tofu negro 60 cm + horno H60EEVAL005 + estufa CCR60-F4P-SBF031</x:t>
        </x:is>
      </x:c>
      <x:c r="C19" s="32" t="n">
        <x:v>1</x:v>
      </x:c>
      <x:c r="D19" s="33" t="n">
        <x:v>1864800</x:v>
      </x:c>
      <x:c r="E19" s="33" t="n">
        <x:f>IF(AND(ISNUMBER(C19),ISNUMBER(D19)),C19*D19,"Por cotizar")</x:f>
        <x:v>1864800</x:v>
      </x:c>
      <x:c r="F19" s="18" t="inlineStr">
        <x:is>
          <x:t xml:space="preserve">Precio aportado por el usuario el 25/10/2026 por el combo completo. Horno mixto 110 V/gas natural; estufa cristal gas natural 60 × 51 cm.</x:t>
        </x:is>
      </x:c>
    </x:row>
    <x:row r="20" ht="36" customHeight="1">
      <x:c r="A20" t="inlineStr">
        <x:is>
          <x:t xml:space="preserve">Servicios</x:t>
        </x:is>
      </x:c>
      <x:c r="B20" s="18" t="inlineStr">
        <x:is>
          <x:t xml:space="preserve">Corte y canteado de piezas</x:t>
        </x:is>
      </x:c>
      <x:c r="C20" s="32" t="n">
        <x:v>1</x:v>
      </x:c>
      <x:c r="D20" s="33" t="inlineStr">
        <x:is>
          <x:t xml:space="preserve">cotizar</x:t>
        </x:is>
      </x:c>
      <x:c r="E20" s="33" t="str">
        <x:f>IF(AND(ISNUMBER(C20),ISNUMBER(D20)),C20*D20,"Por cotizar")</x:f>
        <x:v>Por cotizar</x:v>
      </x:c>
      <x:c r="F20" s="18" t="inlineStr">
        <x:is>
          <x:t xml:space="preserve">Cotizar corte y servicio de canteado. Los rollos de canto se pagan en filas 4/5; no duplicar material.</x:t>
        </x:is>
      </x:c>
    </x:row>
    <x:row r="21" ht="36" customHeight="1">
      <x:c r="A21" t="inlineStr">
        <x:is>
          <x:t xml:space="preserve">Servicios</x:t>
        </x:is>
      </x:c>
      <x:c r="B21" s="18" t="inlineStr">
        <x:is>
          <x:t xml:space="preserve">Cortes y pulido del mesón (lavaplatos y estufa)</x:t>
        </x:is>
      </x:c>
      <x:c r="C21" s="32" t="n">
        <x:v>1</x:v>
      </x:c>
      <x:c r="D21" s="33" t="inlineStr">
        <x:is>
          <x:t xml:space="preserve">cotizar</x:t>
        </x:is>
      </x:c>
      <x:c r="E21" s="33" t="str">
        <x:f>IF(AND(ISNUMBER(C21),ISNUMBER(D21)),C21*D21,"Por cotizar")</x:f>
        <x:v>Por cotizar</x:v>
      </x:c>
      <x:c r="F21" s="18" t="inlineStr">
        <x:is>
          <x:t xml:space="preserve">cotizar en marmolería</x:t>
        </x:is>
      </x:c>
    </x:row>
    <x:row r="22" ht="36" customHeight="1">
      <x:c r="A22" t="inlineStr">
        <x:is>
          <x:t xml:space="preserve">Mesón y equipos</x:t>
        </x:is>
      </x:c>
      <x:c r="B22" s="18" t="inlineStr">
        <x:is>
          <x:t xml:space="preserve">Grifería de cocina</x:t>
        </x:is>
      </x:c>
      <x:c r="C22" s="32" t="n">
        <x:v>1</x:v>
      </x:c>
      <x:c r="D22" s="33" t="inlineStr">
        <x:is>
          <x:t xml:space="preserve">cotizar</x:t>
        </x:is>
      </x:c>
      <x:c r="E22" s="33" t="str">
        <x:f>IF(AND(ISNUMBER(C22),ISNUMBER(D22)),C22*D22,"Por cotizar")</x:f>
        <x:v>Por cotizar</x:v>
      </x:c>
      <x:c r="F22" s="18" t="inlineStr">
        <x:is>
          <x:t xml:space="preserve">Seleccionar modelo y conexiones.</x:t>
        </x:is>
      </x:c>
    </x:row>
    <x:row r="23" ht="36" customHeight="1">
      <x:c r="A23" t="inlineStr">
        <x:is>
          <x:t xml:space="preserve">Mesón y equipos</x:t>
        </x:is>
      </x:c>
      <x:c r="B23" s="19" t="inlineStr">
        <x:is>
          <x:t xml:space="preserve">Desagüe, canastilla, sifón y acoples</x:t>
        </x:is>
      </x:c>
      <x:c r="C23" s="32" t="n">
        <x:v>1</x:v>
      </x:c>
      <x:c r="D23" s="33" t="inlineStr">
        <x:is>
          <x:t xml:space="preserve">cotizar</x:t>
        </x:is>
      </x:c>
      <x:c r="E23" s="33" t="str">
        <x:f>IF(AND(ISNUMBER(C23),ISNUMBER(D23)),C23*D23,"Por cotizar")</x:f>
        <x:v>Por cotizar</x:v>
      </x:c>
      <x:c r="F23" s="18" t="inlineStr">
        <x:is>
          <x:t xml:space="preserve">Revisar contra cubeta y canasta extraíble; evitar duplicados del suministro.</x:t>
        </x:is>
      </x:c>
    </x:row>
    <x:row r="24" ht="36" customHeight="1">
      <x:c r="A24" t="inlineStr">
        <x:is>
          <x:t xml:space="preserve">Mesón y equipos</x:t>
        </x:is>
      </x:c>
      <x:c r="B24" s="19" t="inlineStr">
        <x:is>
          <x:t xml:space="preserve">Ducto y accesorios de campana</x:t>
        </x:is>
      </x:c>
      <x:c r="C24" s="32" t="n">
        <x:v>1</x:v>
      </x:c>
      <x:c r="D24" s="33" t="inlineStr">
        <x:is>
          <x:t xml:space="preserve">cotizar</x:t>
        </x:is>
      </x:c>
      <x:c r="E24" s="33" t="str">
        <x:f>IF(AND(ISNUMBER(C24),ISNUMBER(D24)),C24*D24,"Por cotizar")</x:f>
        <x:v>Por cotizar</x:v>
      </x:c>
      <x:c r="F24" s="18" t="inlineStr">
        <x:is>
          <x:t xml:space="preserve">Definir según modelo Haceb, diámetro y salida.</x:t>
        </x:is>
      </x:c>
    </x:row>
    <x:row r="25" ht="36" customHeight="1">
      <x:c r="A25" t="inlineStr">
        <x:is>
          <x:t xml:space="preserve">Servicios</x:t>
        </x:is>
      </x:c>
      <x:c r="B25" s="19" t="inlineStr">
        <x:is>
          <x:t xml:space="preserve">Armado e instalación de muebles y mesón</x:t>
        </x:is>
      </x:c>
      <x:c r="C25" s="32" t="n">
        <x:v>1</x:v>
      </x:c>
      <x:c r="D25" s="33" t="inlineStr">
        <x:is>
          <x:t xml:space="preserve">cotizar</x:t>
        </x:is>
      </x:c>
      <x:c r="E25" s="33" t="str">
        <x:f>IF(AND(ISNUMBER(C25),ISNUMBER(D25)),C25*D25,"Por cotizar")</x:f>
        <x:v>Por cotizar</x:v>
      </x:c>
      <x:c r="F25" s="18" t="inlineStr">
        <x:is>
          <x:t xml:space="preserve">Confirmar alcance: submontaje lavaplatos, sellos, nivelación y montaje.</x:t>
        </x:is>
      </x:c>
    </x:row>
    <x:row r="26" ht="36" customHeight="1">
      <x:c r="A26" t="inlineStr">
        <x:is>
          <x:t xml:space="preserve">Servicios</x:t>
        </x:is>
      </x:c>
      <x:c r="B26" s="19" t="inlineStr">
        <x:is>
          <x:t xml:space="preserve">Transporte y subida de materiales</x:t>
        </x:is>
      </x:c>
      <x:c r="C26" s="32" t="n">
        <x:v>1</x:v>
      </x:c>
      <x:c r="D26" s="33" t="inlineStr">
        <x:is>
          <x:t xml:space="preserve">cotizar</x:t>
        </x:is>
      </x:c>
      <x:c r="E26" s="33" t="str">
        <x:f>IF(AND(ISNUMBER(C26),ISNUMBER(D26)),C26*D26,"Por cotizar")</x:f>
        <x:v>Por cotizar</x:v>
      </x:c>
      <x:c r="F26" s="18" t="inlineStr">
        <x:is>
          <x:t xml:space="preserve">Ingresar 0 únicamente si se confirma incluido.</x:t>
        </x:is>
      </x:c>
    </x:row>
    <x:row r="27">
      <x:c r="B27" s="6" t="n"/>
      <x:c r="D27" s="33" t="n"/>
      <x:c r="E27" s="34" t="n"/>
    </x:row>
    <x:row r="28">
      <x:c r="A28" s="13" t="n"/>
      <x:c r="B28" s="13" t="inlineStr">
        <x:is>
          <x:t xml:space="preserve">Subtotal tableros y cantos</x:t>
        </x:is>
      </x:c>
      <x:c r="C28" s="13" t="n"/>
      <x:c r="D28" s="35" t="n"/>
      <x:c r="E28" s="35" t="n">
        <x:f>SUMIF(A2:A26,"Tableros y cantos",E2:E26)</x:f>
        <x:v>2493222</x:v>
      </x:c>
      <x:c r="F28" s="13" t="n"/>
    </x:row>
    <x:row r="29">
      <x:c r="A29" s="13" t="n"/>
      <x:c r="B29" s="13" t="inlineStr">
        <x:is>
          <x:t xml:space="preserve">Subtotal herrajes con precio</x:t>
        </x:is>
      </x:c>
      <x:c r="C29" s="13" t="n"/>
      <x:c r="D29" s="35" t="n"/>
      <x:c r="E29" s="35" t="n">
        <x:f>SUMIF(A2:A26,"Herrajes",E2:E26)</x:f>
        <x:v>1082332</x:v>
      </x:c>
      <x:c r="F29" s="13" t="n"/>
    </x:row>
    <x:row r="30">
      <x:c r="A30" s="13" t="n"/>
      <x:c r="B30" s="13" t="inlineStr">
        <x:is>
          <x:t xml:space="preserve">Subtotal mesón y equipos con precio</x:t>
        </x:is>
      </x:c>
      <x:c r="C30" s="13" t="n"/>
      <x:c r="D30" s="35" t="n"/>
      <x:c r="E30" s="35" t="n">
        <x:f>SUMIF(A2:A26,"Mesón y equipos",E2:E26)</x:f>
        <x:v>3561000</x:v>
      </x:c>
      <x:c r="F30" s="13" t="n"/>
    </x:row>
    <x:row r="31">
      <x:c r="A31" s="13" t="n"/>
      <x:c r="B31" s="13" t="inlineStr">
        <x:is>
          <x:t xml:space="preserve">Subtotal servicios con precio</x:t>
        </x:is>
      </x:c>
      <x:c r="C31" s="13" t="n"/>
      <x:c r="D31" s="35" t="n"/>
      <x:c r="E31" s="35" t="n">
        <x:f>SUMIF(A2:A26,"Servicios",E2:E26)</x:f>
        <x:v>0</x:v>
      </x:c>
      <x:c r="F31" s="13" t="n"/>
    </x:row>
    <x:row r="32" ht="32" customHeight="1">
      <x:c r="A32" s="13" t="n"/>
      <x:c r="B32" s="24" t="inlineStr">
        <x:is>
          <x:t xml:space="preserve">TOTAL CONOCIDO</x:t>
        </x:is>
      </x:c>
      <x:c r="C32" s="24" t="n"/>
      <x:c r="D32" s="36" t="n"/>
      <x:c r="E32" s="36" t="n">
        <x:f>SUM(E2:E26)</x:f>
        <x:v>7136554</x:v>
      </x:c>
      <x:c r="F32" s="26" t="inlineStr">
        <x:is>
          <x:t xml:space="preserve">Subtotal parcial: no representa costo final. Cero en servicios significa sin importes cotizados.</x:t>
        </x:is>
      </x:c>
    </x:row>
    <x:row r="33" ht="32" customHeight="1">
      <x:c r="A33" s="13" t="n"/>
      <x:c r="B33" s="13" t="inlineStr">
        <x:is>
          <x:t xml:space="preserve">Partidas sin precio</x:t>
        </x:is>
      </x:c>
      <x:c r="C33" s="13" t="n"/>
      <x:c r="D33" s="35" t="n"/>
      <x:c r="E33" s="37" t="n">
        <x:f>ROWS(D2:D26)-COUNT(D2:D26)</x:f>
        <x:v>9</x:v>
      </x:c>
      <x:c r="F33" s="26" t="n"/>
    </x:row>
    <x:row r="34" ht="32" customHeight="1">
      <x:c r="A34" s="13" t="n"/>
      <x:c r="B34" s="24" t="inlineStr">
        <x:is>
          <x:t xml:space="preserve">TOTAL DEL ALCANCE LISTADO</x:t>
        </x:is>
      </x:c>
      <x:c r="C34" s="24" t="n"/>
      <x:c r="D34" s="36" t="n"/>
      <x:c r="E34" s="36" t="str">
        <x:f>IF(E33=0,E32,"Pendiente de cotizaciones")</x:f>
        <x:v>Pendiente de cotizaciones</x:v>
      </x:c>
      <x:c r="F34" s="26" t="inlineStr">
        <x:is>
          <x:t xml:space="preserve">Aun con todos los precios, validar alcances, IVA y posibles adecuaciones de agua/gas/electricidad.</x:t>
        </x:is>
      </x:c>
    </x:row>
    <x:row r="36">
      <x:c r="B36" t="inlineStr">
        <x:is>
          <x:t xml:space="preserve">Precio unitario numérico = editable. Escribir 0 solo cuando se confirme gratuito o incluido.</x:t>
        </x:is>
      </x:c>
    </x:row>
    <x:row r="37">
      <x:c r="B37" t="inlineStr">
        <x:is>
          <x:t xml:space="preserve">Si agregas partidas después de la fila 26, amplía las fórmulas de resumen.</x:t>
        </x:is>
      </x:c>
    </x:row>
  </x:sheetData>
  <x:conditionalFormatting sqref="D2:D26">
    <x:cfRule type="containsText" dxfId="0" priority="1" operator="containsText" text="cotizar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70" customWidth="1"/>
    <x:col min="3" max="3" width="14" customWidth="1"/>
    <x:col min="4" max="4" width="10" customWidth="1"/>
    <x:col min="5" max="5" width="30" customWidth="1"/>
    <x:col min="6" max="6" width="14" customWidth="1"/>
    <x:col min="8" max="8" width="28" customWidth="1"/>
    <x:col min="9" max="9" width="12" customWidth="1"/>
  </x:cols>
  <x:sheetData>
    <x:row r="1">
      <x:c r="A1" s="1" t="inlineStr">
        <x:is>
          <x:t xml:space="preserve">Resumen de canto Cartagena 19 mm (tablero de 15 mm)</x:t>
        </x:is>
      </x:c>
    </x:row>
    <x:row r="2">
      <x:c r="H2" s="13" t="inlineStr">
        <x:is>
          <x:t xml:space="preserve">Reserva por borde (m)</x:t>
        </x:is>
      </x:c>
      <x:c r="I2" s="38" t="n">
        <x:v>0.05</x:v>
      </x:c>
    </x:row>
    <x:row r="3">
      <x:c r="A3" s="4" t="inlineStr">
        <x:is>
          <x:t xml:space="preserve">Tipo</x:t>
        </x:is>
      </x:c>
      <x:c r="B3" s="4" t="inlineStr">
        <x:is>
          <x:t xml:space="preserve">Dónde va</x:t>
        </x:is>
      </x:c>
      <x:c r="C3" s="4" t="inlineStr">
        <x:is>
          <x:t xml:space="preserve">Metros netos</x:t>
        </x:is>
      </x:c>
      <x:c r="D3" s="4" t="inlineStr">
        <x:is>
          <x:t xml:space="preserve">Bordes</x:t>
        </x:is>
      </x:c>
      <x:c r="E3" s="4" t="inlineStr">
        <x:is>
          <x:t xml:space="preserve">Reserva de máquina (supuesto)</x:t>
        </x:is>
      </x:c>
      <x:c r="F3" s="4" t="inlineStr">
        <x:is>
          <x:t xml:space="preserve">Metros a pedir</x:t>
        </x:is>
      </x:c>
      <x:c r="H3" s="15" t="inlineStr">
        <x:is>
          <x:t xml:space="preserve">m por rollo</x:t>
        </x:is>
      </x:c>
      <x:c r="I3" s="15" t="n"/>
    </x:row>
    <x:row r="4">
      <x:c r="A4" t="inlineStr">
        <x:is>
          <x:t xml:space="preserve">Rígido (≈2 mm)</x:t>
        </x:is>
      </x:c>
      <x:c r="B4" s="18" t="inlineStr">
        <x:is>
          <x:t xml:space="preserve">Frentes y puertas en sus 4 lados; borde frontal de laterales, pisos, techos, entrepaños y costado; borde inferior de laterales de superiores</x:t>
        </x:is>
      </x:c>
      <x:c r="C4" s="39" t="n">
        <x:f>SUMPRODUCT('Despiece'!$G$5:$G$79,'Despiece'!$E$5:$E$79,('Despiece'!$H$5:$H$79="2")+('Despiece'!$I$5:$I$79="2"))/1000+SUMPRODUCT('Despiece'!$G$5:$G$79,'Despiece'!$F$5:$F$79,('Despiece'!$J$5:$J$79="2")+('Despiece'!$K$5:$K$79="2"))/1000</x:f>
        <x:v>53.162</x:v>
      </x:c>
      <x:c r="D4" t="n">
        <x:f>SUMPRODUCT('Despiece'!$G$5:$G$79,('Despiece'!$H$5:$H$79="2")+('Despiece'!$I$5:$I$79="2")+('Despiece'!$J$5:$J$79="2")+('Despiece'!$K$5:$K$79="2"))</x:f>
        <x:v>108</x:v>
      </x:c>
      <x:c r="E4" s="31" t="n">
        <x:f>D4*$I$2</x:f>
        <x:v>5.4</x:v>
      </x:c>
      <x:c r="F4" s="32" t="n">
        <x:f>ROUNDUP((C4+E4)/5,0)*5</x:f>
        <x:v>60</x:v>
      </x:c>
      <x:c r="H4" s="16" t="n">
        <x:v>100</x:v>
      </x:c>
      <x:c r="I4" s="13" t="n"/>
    </x:row>
    <x:row r="5">
      <x:c r="A5" t="inlineStr">
        <x:is>
          <x:t xml:space="preserve">Flexible (≈0,45 mm)</x:t>
        </x:is>
      </x:c>
      <x:c r="B5" s="18" t="inlineStr">
        <x:is>
          <x:t xml:space="preserve">Bordes ocultos: traseros, superiores bajo el mesón, travesaños, cajas de cajón y zócalo</x:t>
        </x:is>
      </x:c>
      <x:c r="C5" s="39" t="n">
        <x:f>SUMPRODUCT('Despiece'!$G$5:$G$79,'Despiece'!$E$5:$E$79,('Despiece'!$H$5:$H$79="0.45")+('Despiece'!$I$5:$I$79="0.45"))/1000+SUMPRODUCT('Despiece'!$G$5:$G$79,'Despiece'!$F$5:$F$79,('Despiece'!$J$5:$J$79="0.45")+('Despiece'!$K$5:$K$79="0.45"))/1000</x:f>
        <x:v>112.336</x:v>
      </x:c>
      <x:c r="D5" t="n">
        <x:f>SUMPRODUCT('Despiece'!$G$5:$G$79,('Despiece'!$H$5:$H$79="0.45")+('Despiece'!$I$5:$I$79="0.45")+('Despiece'!$J$5:$J$79="0.45")+('Despiece'!$K$5:$K$79="0.45"))</x:f>
        <x:v>284</x:v>
      </x:c>
      <x:c r="E5" s="31" t="n">
        <x:f>D5*$I$2</x:f>
        <x:v>14.200000000000001</x:v>
      </x:c>
      <x:c r="F5" s="32" t="n">
        <x:f>ROUNDUP((C5+E5)/5,0)*5</x:f>
        <x:v>130</x:v>
      </x:c>
      <x:c r="H5" s="16" t="n">
        <x:v>200</x:v>
      </x:c>
      <x:c r="I5" s="13" t="n"/>
    </x:row>
    <x:row r="7">
      <x:c r="A7" s="6" t="str">
        <x:v>Piezas estrechas: validar proceso de canteado</x:v>
      </x:c>
    </x:row>
    <x:row r="8">
      <x:c r="A8" s="4" t="inlineStr">
        <x:is>
          <x:t xml:space="preserve">N°</x:t>
        </x:is>
      </x:c>
      <x:c r="B8" s="4" t="inlineStr">
        <x:is>
          <x:t xml:space="preserve">Pieza</x:t>
        </x:is>
      </x:c>
      <x:c r="C8" s="4" t="inlineStr">
        <x:is>
          <x:t xml:space="preserve">Medida (mm)</x:t>
        </x:is>
      </x:c>
      <x:c r="D8" s="4" t="inlineStr">
        <x:is>
          <x:t xml:space="preserve">Qué hacer</x:t>
        </x:is>
      </x:c>
      <x:c r="E8" s="4" t="n"/>
      <x:c r="F8" s="4" t="n"/>
    </x:row>
    <x:row r="9" ht="34" customHeight="1">
      <x:c r="A9" t="str">
        <x:v>74</x:v>
      </x:c>
      <x:c r="B9" t="str">
        <x:v>S4 Platero 91,5 · Listón inferior delantero</x:v>
      </x:c>
      <x:c r="C9" t="str">
        <x:v>885 × 60</x:v>
      </x:c>
      <x:c r="D9" s="18" t="str">
        <x:v>Conservar canto y protección de bordes: zona próxima al goteo del platero. Validar proceso para 60 mm.</x:v>
      </x:c>
    </x:row>
    <x:row r="10" ht="34" customHeight="1">
      <x:c r="A10"/>
      <x:c r="B10"/>
      <x:c r="C10"/>
      <x:c r="D10" s="18"/>
    </x:row>
    <x:row r="11" ht="34" customHeight="1">
      <x:c r="A11"/>
      <x:c r="B11"/>
      <x:c r="C11"/>
      <x:c r="D11" s="18"/>
    </x:row>
    <x:row r="13">
      <x:c r="A13" t="inlineStr">
        <x:is>
          <x:t xml:space="preserve">Los 5 cm por borde son una reserva editable; confirmar con la canteadora. No retirar cantos por estar ocultos.</x:t>
        </x:is>
      </x:c>
    </x:row>
    <x:row r="14">
      <x:c r="A14" t="inlineStr">
        <x:is>
          <x:t xml:space="preserve">Neto calculado con dimensiones terminadas. El proveedor debe validar formato, espesor 19 × 2 / 19 × 0,45 y precios.</x:t>
        </x:is>
      </x:c>
    </x:row>
  </x:sheetData>
  <x:mergeCells>
    <x:mergeCell ref="D9:F9"/>
    <x:mergeCell ref="D11:F11"/>
    <x:mergeCell ref="D10:F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4" customWidth="1"/>
    <x:col min="2" max="2" width="24" customWidth="1"/>
    <x:col min="3" max="3" width="105" customWidth="1"/>
    <x:col min="4" max="4" width="31" customWidth="1"/>
    <x:col min="5" max="5" width="75" customWidth="1"/>
  </x:cols>
  <x:sheetData>
    <x:row r="2">
      <x:c r="A2" s="27" t="inlineStr">
        <x:is>
          <x:t xml:space="preserve">Correcciones y pendientes de fabricación</x:t>
        </x:is>
      </x:c>
    </x:row>
    <x:row r="4" ht="25" customHeight="1">
      <x:c r="A4" s="29" t="inlineStr">
        <x:is>
          <x:t xml:space="preserve">Estado</x:t>
        </x:is>
      </x:c>
      <x:c r="B4" s="29" t="inlineStr">
        <x:is>
          <x:t xml:space="preserve">Tema</x:t>
        </x:is>
      </x:c>
      <x:c r="C4" s="29" t="inlineStr">
        <x:is>
          <x:t xml:space="preserve">Cambio o acción</x:t>
        </x:is>
      </x:c>
      <x:c r="D4" s="29" t="inlineStr">
        <x:is>
          <x:t xml:space="preserve">Ubicación</x:t>
        </x:is>
      </x:c>
      <x:c r="E4" s="29" t="inlineStr">
        <x:is>
          <x:t xml:space="preserve">Base / fuente</x:t>
        </x:is>
      </x:c>
    </x:row>
    <x:row r="5" ht="72" customHeight="1">
      <x:c r="A5" s="30" t="inlineStr">
        <x:is>
          <x:t xml:space="preserve">Aplicado</x:t>
        </x:is>
      </x:c>
      <x:c r="B5" s="30" t="inlineStr">
        <x:is>
          <x:t xml:space="preserve">Riel y cajas</x:t>
        </x:is>
      </x:c>
      <x:c r="C5" s="30" t="str">
        <x:v>B3 de 300: vano 270, exterior 243, interior 213. B4 de 450: vano 420, exterior 393, interior 363. Laterales 15 y rieles 27 totales; mantener fondos de 520.</x:v>
      </x:c>
      <x:c r="D5" s="30" t="inlineStr">
        <x:is>
          <x:t xml:space="preserve">Despiece E26:E49; Herrajes fila 3</x:t>
        </x:is>
      </x:c>
      <x:c r="E5" s="30" t="inlineStr">
        <x:is>
          <x:t xml:space="preserve">https://www.homecenter.com.co/homecenter-co/product/468678/riel-extension-total-cierre-lento-45x550mm-30-kg/468678/</x:t>
        </x:is>
      </x:c>
    </x:row>
    <x:row r="6" ht="72" customHeight="1">
      <x:c r="A6" s="30" t="inlineStr">
        <x:is>
          <x:t xml:space="preserve">Aplicado</x:t>
        </x:is>
      </x:c>
      <x:c r="B6" s="30" t="inlineStr">
        <x:is>
          <x:t xml:space="preserve">Descuento de canto</x:t>
        </x:is>
      </x:c>
      <x:c r="C6" s="30" t="inlineStr">
        <x:is>
          <x:t xml:space="preserve">E/F se interpretan como dimensiones terminadas. L/M calculan corte teórico descontando cantos de extremos perpendiculares. Validar convención y tolerancias con proveedor.</x:t>
        </x:is>
      </x:c>
      <x:c r="D6" s="30" t="inlineStr">
        <x:is>
          <x:t xml:space="preserve">Despiece A2:A3, L:M</x:t>
        </x:is>
      </x:c>
      <x:c r="E6" s="30" t="inlineStr">
        <x:is>
          <x:t xml:space="preserve">Convención adoptada para conservar encajes nominales; requiere validación del proveedor.</x:t>
        </x:is>
      </x:c>
    </x:row>
    <x:row r="7" ht="72" customHeight="1">
      <x:c r="A7" s="30" t="inlineStr">
        <x:is>
          <x:t xml:space="preserve">Aplicado</x:t>
        </x:is>
      </x:c>
      <x:c r="B7" s="30" t="inlineStr">
        <x:is>
          <x:t xml:space="preserve">Cantos</x:t>
        </x:is>
      </x:c>
      <x:c r="C7" s="30" t="inlineStr">
        <x:is>
          <x:t xml:space="preserve">Se conserva nuevo rollo rígido de 100 m a $531.600 y flexible de 200 m a $285.600. Resumen y compra enlazados a piezas.</x:t>
        </x:is>
      </x:c>
      <x:c r="D7" s="30" t="inlineStr">
        <x:is>
          <x:t xml:space="preserve">Cantos C4:F5; Compras C4:C5</x:t>
        </x:is>
      </x:c>
      <x:c r="E7" s="30" t="inlineStr">
        <x:is>
          <x:t xml:space="preserve">Precios y presentaciones de la nueva versión suministrada.</x:t>
        </x:is>
      </x:c>
    </x:row>
    <x:row r="8" ht="72" customHeight="1">
      <x:c r="A8" s="30" t="inlineStr">
        <x:is>
          <x:t xml:space="preserve">Aplicado</x:t>
        </x:is>
      </x:c>
      <x:c r="B8" s="30" t="inlineStr">
        <x:is>
          <x:t xml:space="preserve">Bisagras</x:t>
        </x:is>
      </x:c>
      <x:c r="C8" s="30" t="inlineStr">
        <x:is>
          <x:t xml:space="preserve">16 unidades físicas = 8 pares. HBM897-01 a $17.750/par, referencia de consulta; validar peso de puertas y vigencia.</x:t>
        </x:is>
      </x:c>
      <x:c r="D8" s="30" t="inlineStr">
        <x:is>
          <x:t xml:space="preserve">Herrajes 2; Compras 9</x:t>
        </x:is>
      </x:c>
      <x:c r="E8" s="30" t="inlineStr">
        <x:is>
          <x:t xml:space="preserve">https://madecentro.com/products/bisagra-parche-cierre-lento-clip-on-acero-inoxidable-201-35mm</x:t>
        </x:is>
      </x:c>
    </x:row>
    <x:row r="9" ht="72" customHeight="1">
      <x:c r="A9" s="30" t="inlineStr">
        <x:is>
          <x:t xml:space="preserve">Aplicado</x:t>
        </x:is>
      </x:c>
      <x:c r="B9" s="30" t="inlineStr">
        <x:is>
          <x:t xml:space="preserve">Fórmulas</x:t>
        </x:is>
      </x:c>
      <x:c r="C9" s="30" t="inlineStr">
        <x:is>
          <x:t xml:space="preserve">Cada partida tiene fórmula; precio pendiente no equivale a cero. Se agregan gastos faltantes y total incompleto visible.</x:t>
        </x:is>
      </x:c>
      <x:c r="D9" s="30" t="inlineStr">
        <x:is>
          <x:t xml:space="preserve">Compras E2:E34</x:t>
        </x:is>
      </x:c>
      <x:c r="E9" s="30" t="inlineStr">
        <x:is>
          <x:t xml:space="preserve">Recálculo independiente.</x:t>
        </x:is>
      </x:c>
    </x:row>
    <x:row r="10" ht="72" customHeight="1">
      <x:c r="A10" s="30" t="inlineStr">
        <x:is>
          <x:t xml:space="preserve">Aplicado</x:t>
        </x:is>
      </x:c>
      <x:c r="B10" s="30" t="inlineStr">
        <x:is>
          <x:t xml:space="preserve">Conteos</x:t>
        </x:is>
      </x:c>
      <x:c r="C10" s="30" t="str">
        <x:v>Tras retirar B0: 98 piezas Cartagena y 8 fondos. Identificadores 03–77 conservados.</x:v>
      </x:c>
      <x:c r="D10" s="30" t="str">
        <x:v>Despiece G81:G82</x:v>
      </x:c>
      <x:c r="E10" s="30" t="inlineStr">
        <x:is>
          <x:t xml:space="preserve">Cantidades del despiece.</x:t>
        </x:is>
      </x:c>
    </x:row>
    <x:row r="11" ht="72" customHeight="1">
      <x:c r="A11" s="30" t="inlineStr">
        <x:is>
          <x:t xml:space="preserve">Pendiente</x:t>
        </x:is>
      </x:c>
      <x:c r="B11" s="30" t="inlineStr">
        <x:is>
          <x:t xml:space="preserve">Platero</x:t>
        </x:is>
      </x:c>
      <x:c r="C11" s="30" t="str">
        <x:v>S4 caja 715, luz 685; herraje nominal 700 HSO566-03G de 680 × 245. Confirmar rango de montaje y fijaciones antes de cortar. Sustituye al herraje de 900.</x:v>
      </x:c>
      <x:c r="D11" s="30" t="inlineStr">
        <x:is>
          <x:t xml:space="preserve">Herrajes 9; Compras 12</x:t>
        </x:is>
      </x:c>
      <x:c r="E11" s="30" t="str">
        <x:v>https://madecentro.com/collections/ofertas-madecentro/products/cocina-27837</x:v>
      </x:c>
    </x:row>
    <x:row r="12" ht="72" customHeight="1">
      <x:c r="A12" s="30" t="str">
        <x:v>Aplicado</x:v>
      </x:c>
      <x:c r="B12" s="30" t="inlineStr">
        <x:is>
          <x:t xml:space="preserve">Precio riel 550</x:t>
        </x:is>
      </x:c>
      <x:c r="C12" s="30" t="str">
        <x:v>Precio actual conservado: 49.510/par para variante zincada de 550; confirmar oferta y descuento de 27 mm.</x:v>
      </x:c>
      <x:c r="D12" s="30" t="inlineStr">
        <x:is>
          <x:t xml:space="preserve">Compras 8</x:t>
        </x:is>
      </x:c>
      <x:c r="E12" s="30" t="inlineStr">
        <x:is>
          <x:t xml:space="preserve">https://madecentro.com/products/riel-corredera-para-cajon-cierre-lento-con-extension-total-30-kg</x:t>
        </x:is>
      </x:c>
    </x:row>
    <x:row r="13" ht="72" customHeight="1">
      <x:c r="A13" s="30" t="inlineStr">
        <x:is>
          <x:t xml:space="preserve">Pendiente</x:t>
        </x:is>
      </x:c>
      <x:c r="B13" s="30" t="inlineStr">
        <x:is>
          <x:t xml:space="preserve">Mesón</x:t>
        </x:is>
      </x:c>
      <x:c r="C13" s="30" t="str">
        <x:v>Mesón 260 × 62, código 519014, $1.486.300 aportados por usuario. Espesor de 15 mm en modelo es provisional: confirmar espesor y recortes.</x:v>
      </x:c>
      <x:c r="D13" s="30" t="inlineStr">
        <x:is>
          <x:t xml:space="preserve">Compras 17</x:t>
        </x:is>
      </x:c>
      <x:c r="E13" s="30" t="str">
        <x:v>Selección y precio del usuario: código 519014.</x:v>
      </x:c>
    </x:row>
    <x:row r="14" ht="72" customHeight="1">
      <x:c r="A14" s="30" t="inlineStr">
        <x:is>
          <x:t xml:space="preserve">Pendiente</x:t>
        </x:is>
      </x:c>
      <x:c r="B14" s="30" t="inlineStr">
        <x:is>
          <x:t xml:space="preserve">Patas y terminal</x:t>
        </x:is>
      </x:c>
      <x:c r="C14" s="30" t="str">
        <x:v>Terminal libre de 882 × 595 a 3 mm del piso. Patas nominales 100 y cajas 785: coronación a 885. Se conservan 24 apoyos.</x:v>
      </x:c>
      <x:c r="D14" s="30" t="inlineStr">
        <x:is>
          <x:t xml:space="preserve">Despiece 56; Herrajes 10</x:t>
        </x:is>
      </x:c>
      <x:c r="E14" s="30" t="inlineStr">
        <x:is>
          <x:t xml:space="preserve">No cambiar altura sin nivel de obra.</x:t>
        </x:is>
      </x:c>
    </x:row>
    <x:row r="15" ht="72" customHeight="1">
      <x:c r="A15" s="30" t="inlineStr">
        <x:is>
          <x:t xml:space="preserve">Pendiente</x:t>
        </x:is>
      </x:c>
      <x:c r="B15" s="30" t="inlineStr">
        <x:is>
          <x:t xml:space="preserve">Gola y alturas</x:t>
        </x:is>
      </x:c>
      <x:c r="C15" s="30" t="inlineStr">
        <x:is>
          <x:t xml:space="preserve">Frentes de cajonero suman 676; caja 785 deja 109 para perfiles/márgenes. Puertas superiores 717 sobre caja 700: validar agarre inferior.</x:t>
        </x:is>
      </x:c>
      <x:c r="D15" s="30" t="inlineStr">
        <x:is>
          <x:t xml:space="preserve">Despiece frentes; Herrajes 4:5</x:t>
        </x:is>
      </x:c>
      <x:c r="E15" s="30" t="inlineStr">
        <x:is>
          <x:t xml:space="preserve">Dibujar sección gola y ubicación de frentes.</x:t>
        </x:is>
      </x:c>
    </x:row>
    <x:row r="16" ht="72" customHeight="1">
      <x:c r="A16" s="30" t="inlineStr">
        <x:is>
          <x:t xml:space="preserve">Pendiente</x:t>
        </x:is>
      </x:c>
      <x:c r="B16" s="30" t="inlineStr">
        <x:is>
          <x:t xml:space="preserve">Alineación superior</x:t>
        </x:is>
      </x:c>
      <x:c r="C16" s="30" t="str">
        <x:v>Mesón x=200–2800. B2/S2 x=530–1130. S1 320, S3 845, S4 715. Platero centrado prácticamente con lavaplatos (desfase 2,5 mm).</x:v>
      </x:c>
      <x:c r="D16" s="30" t="inlineStr">
        <x:is>
          <x:t xml:space="preserve">Despiece S1:S4</x:t>
        </x:is>
      </x:c>
      <x:c r="E16" s="30" t="inlineStr">
        <x:is>
          <x:t xml:space="preserve">Mesón y muro requieren medición.</x:t>
        </x:is>
      </x:c>
    </x:row>
    <x:row r="17" ht="72" customHeight="1">
      <x:c r="A17" s="30" t="inlineStr">
        <x:is>
          <x:t xml:space="preserve">Pendiente</x:t>
        </x:is>
      </x:c>
      <x:c r="B17" s="30" t="inlineStr">
        <x:is>
          <x:t xml:space="preserve">Equipos y ducto</x:t>
        </x:is>
      </x:c>
      <x:c r="C17" s="30" t="inlineStr">
        <x:is>
          <x:t xml:space="preserve">Equipos definidos: combo CA3057; campana Tofu 60, horno H60EEVAL005 (110 V/gas natural), estufa CCR60-F4P-SBF031 (gas natural, 60 × 51). Validar manuales, nicho, ventilación, distancias y recortes antes de fabricar.</x:t>
        </x:is>
      </x:c>
      <x:c r="D17" s="30" t="inlineStr">
        <x:is>
          <x:t xml:space="preserve">B2 y S2; Compras 19,24</x:t>
        </x:is>
      </x:c>
      <x:c r="E17" s="30" t="inlineStr">
        <x:is>
          <x:t xml:space="preserve">Modelos y precio suministrados por el usuario el 25/10/2026. Manuales de instalación aún pendientes.</x:t>
        </x:is>
      </x:c>
    </x:row>
    <x:row r="18" ht="72" customHeight="1">
      <x:c r="A18" s="30" t="inlineStr">
        <x:is>
          <x:t xml:space="preserve">Pendiente</x:t>
        </x:is>
      </x:c>
      <x:c r="B18" s="30" t="inlineStr">
        <x:is>
          <x:t xml:space="preserve">Canasta y basurero</x:t>
        </x:is>
      </x:c>
      <x:c r="C18" s="30" t="inlineStr">
        <x:is>
          <x:t xml:space="preserve">Lavaplatos actual: Socoda AS350 satinado, código 87730, submontar 55 × 43. Sustituye 204804 grafado. Obtener plantilla/profundidad e incluidos; verificar sifón y canasta detrás de puertas, y fijación del frente B1.</x:t>
        </x:is>
      </x:c>
      <x:c r="D18" s="30" t="inlineStr">
        <x:is>
          <x:t xml:space="preserve">Compras 18; Herrajes 6:7</x:t>
        </x:is>
      </x:c>
      <x:c r="E18" s="30" t="inlineStr">
        <x:is>
          <x:t xml:space="preserve">Lavaplatos según información aportada por el usuario; plantilla y compatibilidad de montaje pendientes.</x:t>
        </x:is>
      </x:c>
    </x:row>
    <x:row r="19" ht="72" customHeight="1">
      <x:c r="A19" s="30" t="inlineStr">
        <x:is>
          <x:t xml:space="preserve">Pendiente</x:t>
        </x:is>
      </x:c>
      <x:c r="B19" s="30" t="inlineStr">
        <x:is>
          <x:t xml:space="preserve">Fondos y cargas</x:t>
        </x:is>
      </x:c>
      <x:c r="C19" s="30" t="str">
        <x:v>Se actualizan anchos de traseras de B3/B4/S3/S4. Validar fijaciones, sellado, colgadores y cargas en el muro real.</x:v>
      </x:c>
      <x:c r="D19" s="30" t="inlineStr">
        <x:is>
          <x:t xml:space="preserve">Despiece fondos; S3</x:t>
        </x:is>
      </x:c>
      <x:c r="E19" s="30" t="inlineStr">
        <x:is>
          <x:t xml:space="preserve">No hay cálculo de carga ni detalle de muro.</x:t>
        </x:is>
      </x:c>
    </x:row>
    <x:row r="20" ht="72" customHeight="1">
      <x:c r="A20" s="30" t="inlineStr">
        <x:is>
          <x:t xml:space="preserve">Pendiente</x:t>
        </x:is>
      </x:c>
      <x:c r="B20" s="30" t="inlineStr">
        <x:is>
          <x:t xml:space="preserve">Corte definitivo</x:t>
        </x:is>
      </x:c>
      <x:c r="C20" s="30" t="inlineStr">
        <x:is>
          <x:t xml:space="preserve">Cuatro tableros y un fondo son previsión plausible. Volver a optimizar con medidas finales, sierra, veta y continuidad de frentes.</x:t>
        </x:is>
      </x:c>
      <x:c r="D20" s="30" t="inlineStr">
        <x:is>
          <x:t xml:space="preserve">Compras 2:3; Despiece L:M</x:t>
        </x:is>
      </x:c>
      <x:c r="E20" s="30" t="inlineStr">
        <x:is>
          <x:t xml:space="preserve">Cortes teóricos decimales sin redondeo: proveedor debe confirmar su precisión.</x:t>
        </x:is>
      </x:c>
    </x:row>
    <x:row r="21" ht="72" customHeight="1">
      <x:c r="A21" s="30" t="inlineStr">
        <x:is>
          <x:t xml:space="preserve">Pendiente</x:t>
        </x:is>
      </x:c>
      <x:c r="B21" s="30" t="inlineStr">
        <x:is>
          <x:t xml:space="preserve">Terraza</x:t>
        </x:is>
      </x:c>
      <x:c r="C21" s="30" t="inlineStr">
        <x:is>
          <x:t xml:space="preserve">RH no es impermeable. Proteger de lluvia/goteo, conservar sellado de piezas estrechas y confirmar exposición del sitio.</x:t>
        </x:is>
      </x:c>
      <x:c r="D21" s="30" t="inlineStr">
        <x:is>
          <x:t xml:space="preserve">Cantos 9:11; material RH</x:t>
        </x:is>
      </x:c>
      <x:c r="E21" s="30" t="inlineStr">
        <x:is>
          <x:t xml:space="preserve">Descripción de material suministrada por el usuario.</x:t>
        </x:is>
      </x:c>
    </x:row>
    <x:row r="22" ht="72" customHeight="1">
      <x:c r="A22" s="30" t="inlineStr">
        <x:is>
          <x:t xml:space="preserve">Aplicado</x:t>
        </x:is>
      </x:c>
      <x:c r="B22" s="30" t="inlineStr">
        <x:is>
          <x:t xml:space="preserve">Fórmulas de corte</x:t>
        </x:is>
      </x:c>
      <x:c r="C22" s="30" t="inlineStr">
        <x:is>
          <x:t xml:space="preserve">Corte teórico (L/M) sin VALUE(): con Excel en español, VALUE("0.45") da error o 45 por la coma decimal. Ahora compara el texto del canto.</x:t>
        </x:is>
      </x:c>
      <x:c r="D22" s="30" t="inlineStr">
        <x:is>
          <x:t xml:space="preserve">Despiece L:M</x:t>
        </x:is>
      </x:c>
      <x:c r="E22" s="30" t="inlineStr">
        <x:is>
          <x:t xml:space="preserve">Revisión independiente</x:t>
        </x:is>
      </x:c>
    </x:row>
    <x:row r="23" ht="72" customHeight="1">
      <x:c r="A23" s="30" t="inlineStr">
        <x:is>
          <x:t xml:space="preserve">Aplicado</x:t>
        </x:is>
      </x:c>
      <x:c r="B23" s="30" t="inlineStr">
        <x:is>
          <x:t xml:space="preserve">Riel 550</x:t>
        </x:is>
      </x:c>
      <x:c r="C23" s="30" t="inlineStr">
        <x:is>
          <x:t xml:space="preserve">Descuento de 27 mm confirmado en ficha Bonuit; precio Madecentro 55 cm zincado 49.510/par.</x:t>
        </x:is>
      </x:c>
      <x:c r="D23" s="30" t="inlineStr">
        <x:is>
          <x:t xml:space="preserve">Compras 8; Herrajes 3</x:t>
        </x:is>
      </x:c>
      <x:c r="E23" s="30" t="inlineStr">
        <x:is>
          <x:t xml:space="preserve">https://madecentro.com/products/riel-corredera-para-cajon-cierre-lento-con-extension-total-30-kg</x:t>
        </x:is>
      </x:c>
    </x:row>
    <x:row r="24" ht="72" customHeight="1">
      <x:c r="A24" s="30" t="inlineStr">
        <x:is>
          <x:t xml:space="preserve">Aplicado</x:t>
        </x:is>
      </x:c>
      <x:c r="B24" s="30" t="inlineStr">
        <x:is>
          <x:t xml:space="preserve">Alineación superior</x:t>
        </x:is>
      </x:c>
      <x:c r="C24" s="30" t="str">
        <x:v>Mesón x=200–2800. B2/S2 x=530–1130. S1 320, S3 845, S4 715. Platero centrado prácticamente con lavaplatos (desfase 2,5 mm).</x:v>
      </x:c>
      <x:c r="D24" s="30" t="inlineStr">
        <x:is>
          <x:t xml:space="preserve">Despiece S1, S4</x:t>
        </x:is>
      </x:c>
      <x:c r="E24" s="30" t="inlineStr">
        <x:is>
          <x:t xml:space="preserve">Antes la campana quedaba corrida 30 mm, no 50: el relleno ya era de 20.</x:t>
        </x:is>
      </x:c>
    </x:row>
    <x:row r="25" ht="72" customHeight="1">
      <x:c r="A25" s="30" t="inlineStr">
        <x:is>
          <x:t xml:space="preserve">Aplicado</x:t>
        </x:is>
      </x:c>
      <x:c r="B25" s="30" t="inlineStr">
        <x:is>
          <x:t xml:space="preserve">Entrepaño S3</x:t>
        </x:is>
      </x:c>
      <x:c r="C25" s="30" t="str">
        <x:v>S3 de 845 con división central de 15 y dos entrepaños de 397,5; se mantiene apoyo central.</x:v>
      </x:c>
      <x:c r="D25" s="30" t="inlineStr">
        <x:is>
          <x:t xml:space="preserve">Despiece S3; Herrajes 12</x:t>
        </x:is>
      </x:c>
      <x:c r="E25" s="30" t="inlineStr">
        <x:is>
          <x:t xml:space="preserve">Regla práctica: aglomerado de 15 mm sin apoyo hasta ~80 cm con carga.</x:t>
        </x:is>
      </x:c>
    </x:row>
    <x:row r="26" ht="72" customHeight="1">
      <x:c r="A26" s="30" t="inlineStr">
        <x:is>
          <x:t xml:space="preserve">Aplicado</x:t>
        </x:is>
      </x:c>
      <x:c r="B26" s="30" t="inlineStr">
        <x:is>
          <x:t xml:space="preserve">Platero</x:t>
        </x:is>
      </x:c>
      <x:c r="C26" s="30" t="str">
        <x:v>S4 caja 715, luz 685; herraje nominal 700 HSO566-03G de 680 × 245. Confirmar rango de montaje y fijaciones antes de cortar. Sustituye al herraje de 900.</x:v>
      </x:c>
      <x:c r="D26" s="30" t="inlineStr">
        <x:is>
          <x:t xml:space="preserve">Herrajes 9; Compras 12</x:t>
        </x:is>
      </x:c>
      <x:c r="E26" s="30" t="str">
        <x:v>https://madecentro.com/collections/ofertas-madecentro/products/cocina-27837</x:v>
      </x:c>
    </x:row>
    <x:row r="27" ht="72" customHeight="1">
      <x:c r="A27" s="30" t="inlineStr">
        <x:is>
          <x:t xml:space="preserve">Aplicado</x:t>
        </x:is>
      </x:c>
      <x:c r="B27" s="30" t="inlineStr">
        <x:is>
          <x:t xml:space="preserve">Optimización</x:t>
        </x:is>
      </x:c>
      <x:c r="C27" s="30" t="str">
        <x:v>Se conservan 4 tableros y 1 fondo como previsión de compra. Las piezas se reducen; no se recalcula ni promete un nuevo plan de anidado. Confirmar optimización final con proveedor.</x:v>
      </x:c>
      <x:c r="D27" s="30" t="inlineStr">
        <x:is>
          <x:t xml:space="preserve">Compras 2:3</x:t>
        </x:is>
      </x:c>
      <x:c r="E27" s="30" t="inlineStr">
        <x:is>
          <x:t xml:space="preserve">Corte guillotina, disco 4 mm, refilado 10 mm.</x:t>
        </x:is>
      </x:c>
    </x:row>
    <x:row r="28" ht="72" customHeight="1">
      <x:c r="A28" s="30" t="inlineStr">
        <x:is>
          <x:t xml:space="preserve">Aclaración</x:t>
        </x:is>
      </x:c>
      <x:c r="B28" s="30" t="inlineStr">
        <x:is>
          <x:t xml:space="preserve">Gola y alturas</x:t>
        </x:is>
      </x:c>
      <x:c r="C28" s="30" t="inlineStr">
        <x:is>
          <x:t xml:space="preserve">785 = frentes 676 + holguras 9 (3 × 3 mm) + ranuras visibles 100 (gola superior 50 + 2 golas medias × 25). Cuadra.</x:t>
        </x:is>
      </x:c>
      <x:c r="D28" s="30" t="inlineStr">
        <x:is>
          <x:t xml:space="preserve">Despiece frentes</x:t>
        </x:is>
      </x:c>
      <x:c r="E28" s="30" t="inlineStr">
        <x:is>
          <x:t xml:space="preserve">Gola de 75 mm tapada 25 mm por cada frente.</x:t>
        </x:is>
      </x:c>
    </x:row>
    <x:row r="29" ht="72" customHeight="1">
      <x:c r="A29" s="30" t="inlineStr">
        <x:is>
          <x:t xml:space="preserve">Aclaración</x:t>
        </x:is>
      </x:c>
      <x:c r="B29" s="30" t="inlineStr">
        <x:is>
          <x:t xml:space="preserve">Patas y terminal</x:t>
        </x:is>
      </x:c>
      <x:c r="C29" s="30" t="str">
        <x:v>Terminal libre de 882 × 595 a 3 mm del piso. Patas nominales 100 y cajas 785: coronación a 885. Se conservan 24 apoyos.</x:v>
      </x:c>
      <x:c r="D29" s="30" t="inlineStr">
        <x:is>
          <x:t xml:space="preserve">Despiece costado</x:t>
        </x:is>
      </x:c>
      <x:c r="E29" s="30" t="inlineStr">
        <x:is>
          <x:t xml:space="preserve"/>
        </x:is>
      </x:c>
    </x:row>
    <x:row r="30" ht="72" customHeight="1">
      <x:c r="A30" s="30" t="inlineStr">
        <x:is>
          <x:t xml:space="preserve">Aclaración</x:t>
        </x:is>
      </x:c>
      <x:c r="B30" s="30" t="inlineStr">
        <x:is>
          <x:t xml:space="preserve">Basurero</x:t>
        </x:is>
      </x:c>
      <x:c r="C30" s="30" t="inlineStr">
        <x:is>
          <x:t xml:space="preserve">El frente del basurero no lleva bisagras: se atornilla a los soportes de frente del herraje HSO460.</x:t>
        </x:is>
      </x:c>
      <x:c r="D30" s="30" t="inlineStr">
        <x:is>
          <x:t xml:space="preserve">Herrajes 6</x:t>
        </x:is>
      </x:c>
      <x:c r="E30" s="30" t="inlineStr">
        <x:is>
          <x:t xml:space="preserve"/>
        </x:is>
      </x:c>
    </x:row>
    <x:row r="31" ht="72" customHeight="1">
      <x:c r="A31" s="30" t="str">
        <x:v>Aplicado</x:v>
      </x:c>
      <x:c r="B31" s="30" t="inlineStr">
        <x:is>
          <x:t xml:space="preserve">Mesón: código</x:t>
        </x:is>
      </x:c>
      <x:c r="C31" s="30" t="str">
        <x:v>Se selecciona 519014 de 260 × 62 cm por $1.486.300; reemplaza códigos y precios del mesón anterior de 280.</x:v>
      </x:c>
      <x:c r="D31" s="30" t="inlineStr">
        <x:is>
          <x:t xml:space="preserve">Compras 17</x:t>
        </x:is>
      </x:c>
      <x:c r="E31" s="30" t="str">
        <x:v>Selección y precio del usuario: código 519014.</x:v>
      </x:c>
    </x:row>
    <x:row r="32" ht="72" customHeight="1">
      <x:c r="A32" s="30" t="str">
        <x:v>Aplicado</x:v>
      </x:c>
      <x:c r="B32" s="30" t="inlineStr">
        <x:is>
          <x:t xml:space="preserve">Lavaplatos: precio</x:t>
        </x:is>
      </x:c>
      <x:c r="C32" s="30" t="str">
        <x:v>Socoda AS350, código 87730: se conserva $209.900 porque el usuario lo aportó expresamente para este modelo.</x:v>
      </x:c>
      <x:c r="D32" s="30" t="inlineStr">
        <x:is>
          <x:t xml:space="preserve">Compras 18</x:t>
        </x:is>
      </x:c>
      <x:c r="E32" s="30" t="inlineStr">
        <x:is>
          <x:t xml:space="preserve"/>
        </x:is>
      </x:c>
    </x:row>
    <x:row r="33" ht="72" customHeight="1">
      <x:c r="A33" s="30" t="inlineStr">
        <x:is>
          <x:t xml:space="preserve">Pendiente</x:t>
        </x:is>
      </x:c>
      <x:c r="B33" s="30" t="inlineStr">
        <x:is>
          <x:t xml:space="preserve">Cubiertero: código</x:t>
        </x:is>
      </x:c>
      <x:c r="C33" s="30" t="str">
        <x:v>B4 interior 363 mm, cubiertero 360 mm: margen total 3 mm. Confirmar medidas reales y código HSC910-40 antes de comprar.</x:v>
      </x:c>
      <x:c r="D33" s="30" t="inlineStr">
        <x:is>
          <x:t xml:space="preserve">Herrajes 8; Compras 13</x:t>
        </x:is>
      </x:c>
      <x:c r="E33" s="30" t="inlineStr">
        <x:is>
          <x:t xml:space="preserve"/>
        </x:is>
      </x:c>
    </x:row>
    <x:row r="34" ht="72" customHeight="1"/>
    <x:row r="35" ht="72" customHeight="1">
      <x:c r="A35" s="46" t="str">
        <x:v>Aplicado</x:v>
      </x:c>
      <x:c r="B35" s="46" t="str">
        <x:v>Holgura esquina</x:v>
      </x:c>
      <x:c r="C35" s="46" t="str">
        <x:v>Mesón 2600 centrado en muro 3000: 200 mm a cada extremo; bajos 220 y superiores 310 hasta la esquina derecha.</x:v>
      </x:c>
      <x:c r="D35" s="46" t="str">
        <x:v>Distribución</x:v>
      </x:c>
      <x:c r="E35" s="46" t="str">
        <x:v>Decisión del usuario: separar 10 cm de la esquina.</x:v>
      </x:c>
    </x:row>
    <x:row r="36" ht="72" customHeight="1">
      <x:c r="A36" s="46" t="str">
        <x:v>Aplicado</x:v>
      </x:c>
      <x:c r="B36" s="46" t="str">
        <x:v>Rellenos eliminados</x:v>
      </x:c>
      <x:c r="C36" s="46" t="str">
        <x:v>Sin B0 ni S0. Dos zócalos de 1275 cubren los 2550 bajo B1–B5. Cantos recalculados.</x:v>
      </x:c>
      <x:c r="D36" s="46" t="str">
        <x:v>Despiece y Cantos</x:v>
      </x:c>
      <x:c r="E36" s="46" t="str">
        <x:v>Se conserva el ancho útil de cada módulo.</x:v>
      </x:c>
    </x:row>
    <x:row r="37" ht="72" customHeight="1">
      <x:c r="A37" s="46" t="str">
        <x:v>Aplicado</x:v>
      </x:c>
      <x:c r="B37" s="46" t="str">
        <x:v>HTML coherente</x:v>
      </x:c>
      <x:c r="C37" s="46" t="str">
        <x:v>HTML y XLSX usan B3 300, B4 450, S3 845, S4 715. Campana centrada sobre estufa; mesón 2600.</x:v>
      </x:c>
      <x:c r="D37" s="46" t="str">
        <x:v>Cocina Cartagena 3D.html</x:v>
      </x:c>
      <x:c r="E37" s="46" t="str">
        <x:v>Dimensiones terminadas de este XLSX.</x:v>
      </x:c>
    </x:row>
  </x:sheetData>
  <x:conditionalFormatting sqref="A5:A21">
    <x:cfRule type="containsText" dxfId="1" priority="1" operator="containsText" text="Pendien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83" hidden="0" customWidth="1"/>
    <x:col min="8" max="8" width="30" hidden="0" customWidth="1"/>
  </x:cols>
  <x:sheetData>
    <x:row r="2">
      <x:c r="A2" s="42" t="str">
        <x:v>Distribución con mesón de 260 cm · holguras de 20 cm</x:v>
      </x:c>
      <x:c r="B2" s="41"/>
      <x:c r="C2" s="41"/>
      <x:c r="D2" s="41"/>
      <x:c r="E2" s="41"/>
      <x:c r="F2" s="41"/>
      <x:c r="G2" s="41"/>
      <x:c r="H2" s="41"/>
    </x:row>
    <x:row r="3">
      <x:c r="A3" s="41" t="str">
        <x:v>Muro (mm)</x:v>
      </x:c>
      <x:c r="B3" s="48" t="n">
        <x:v>3000</x:v>
      </x:c>
      <x:c r="C3" s="41"/>
      <x:c r="D3" s="41"/>
      <x:c r="E3" s="41"/>
      <x:c r="F3" s="41"/>
      <x:c r="G3" s="41"/>
      <x:c r="H3" s="41"/>
    </x:row>
    <x:row r="4">
      <x:c r="A4" s="41" t="str">
        <x:v>Mesón (mm)</x:v>
      </x:c>
      <x:c r="B4" s="48" t="n">
        <x:v>2600</x:v>
      </x:c>
      <x:c r="C4" s="41"/>
      <x:c r="D4" s="41"/>
      <x:c r="E4" s="41"/>
      <x:c r="F4" s="41"/>
      <x:c r="G4" s="41"/>
      <x:c r="H4" s="41"/>
    </x:row>
    <x:row r="5">
      <x:c r="A5" s="41" t="str">
        <x:v>Separación mesón-esquina (mm)</x:v>
      </x:c>
      <x:c r="B5" s="48" t="n">
        <x:v>200</x:v>
      </x:c>
      <x:c r="C5" s="41"/>
      <x:c r="D5" s="41"/>
      <x:c r="E5" s="41"/>
      <x:c r="F5" s="41"/>
      <x:c r="G5" s="41"/>
      <x:c r="H5" s="41"/>
    </x:row>
    <x:row r="6">
      <x:c r="A6" s="41" t="str">
        <x:v>Inicio mesón desde extremo izquierdo</x:v>
      </x:c>
      <x:c r="B6" s="41" t="n">
        <x:f>B3-B5-B4</x:f>
        <x:v>200</x:v>
      </x:c>
      <x:c r="C6" s="41"/>
      <x:c r="D6" s="41"/>
      <x:c r="E6" s="41"/>
      <x:c r="F6" s="41"/>
      <x:c r="G6" s="41"/>
      <x:c r="H6" s="41"/>
    </x:row>
    <x:row r="7">
      <x:c r="A7" s="41" t="str">
        <x:v>Final mesón desde extremo izquierdo</x:v>
      </x:c>
      <x:c r="B7" s="41" t="n">
        <x:f>B3-B5</x:f>
        <x:v>2800</x:v>
      </x:c>
      <x:c r="C7" s="41"/>
      <x:c r="D7" s="41"/>
      <x:c r="E7" s="41"/>
      <x:c r="F7" s="41"/>
      <x:c r="G7" s="41"/>
      <x:c r="H7" s="41"/>
    </x:row>
    <x:row r="8">
      <x:c r="A8" s="41" t="str">
        <x:v>Vuelo mesón sobre costado libre (mm)</x:v>
      </x:c>
      <x:c r="B8" s="48" t="n">
        <x:v>15</x:v>
      </x:c>
      <x:c r="C8" s="41"/>
      <x:c r="D8" s="41"/>
      <x:c r="E8" s="41"/>
      <x:c r="F8" s="41"/>
      <x:c r="G8" s="41"/>
      <x:c r="H8" s="41"/>
    </x:row>
    <x:row r="9">
      <x:c r="A9" s="41"/>
      <x:c r="B9" s="41"/>
      <x:c r="C9" s="41"/>
      <x:c r="D9" s="41"/>
      <x:c r="E9" s="41"/>
      <x:c r="F9" s="41"/>
      <x:c r="G9" s="41"/>
      <x:c r="H9" s="41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1" ht="30" customHeight="1">
      <x:c r="A11" s="45" t="str">
        <x:v>Elemento</x:v>
      </x:c>
      <x:c r="B11" s="45" t="str">
        <x:v>Inicio x (mm)</x:v>
      </x:c>
      <x:c r="C11" s="45" t="str">
        <x:v>Final x (mm)</x:v>
      </x:c>
      <x:c r="D11" s="45" t="str">
        <x:v>Ancho (mm)</x:v>
      </x:c>
      <x:c r="E11" s="45" t="str">
        <x:v>Alto (mm)</x:v>
      </x:c>
      <x:c r="F11" s="45" t="str">
        <x:v>Fondo (mm)</x:v>
      </x:c>
      <x:c r="G11" s="45" t="str">
        <x:v>Colocación</x:v>
      </x:c>
      <x:c r="H11" s="45" t="str">
        <x:v>Origen</x:v>
      </x:c>
    </x:row>
    <x:row r="12" ht="53" customHeight="1">
      <x:c r="A12" s="41" t="str">
        <x:v>Mesón</x:v>
      </x:c>
      <x:c r="B12" s="49" t="n">
        <x:f>B6</x:f>
        <x:v>200</x:v>
      </x:c>
      <x:c r="C12" s="49" t="n">
        <x:f>B7</x:f>
        <x:v>2800</x:v>
      </x:c>
      <x:c r="D12" s="49" t="n">
        <x:f>B4</x:f>
        <x:v>2600</x:v>
      </x:c>
      <x:c r="E12" s="49" t="n">
        <x:v>15</x:v>
      </x:c>
      <x:c r="F12" s="49" t="n">
        <x:v>620</x:v>
      </x:c>
      <x:c r="G12" s="46" t="str">
        <x:v>Cara superior a 900 mm; espesor y recortes por validar.</x:v>
      </x:c>
      <x:c r="H12" s="41" t="str">
        <x:v>Compras, medida nominal</x:v>
      </x:c>
    </x:row>
    <x:row r="13" ht="53" customHeight="1">
      <x:c r="A13" s="41" t="str">
        <x:v>B6 · Costado libre</x:v>
      </x:c>
      <x:c r="B13" s="49" t="n">
        <x:f>B6+B8</x:f>
        <x:v>215</x:v>
      </x:c>
      <x:c r="C13" s="49" t="n">
        <x:f>B13+D13</x:f>
        <x:v>230</x:v>
      </x:c>
      <x:c r="D13" s="49" t="n">
        <x:v>15</x:v>
      </x:c>
      <x:c r="E13" s="49" t="n">
        <x:f>'Despiece'!E54</x:f>
        <x:v>882</x:v>
      </x:c>
      <x:c r="F13" s="49" t="n">
        <x:f>'Despiece'!F54</x:f>
        <x:v>595</x:v>
      </x:c>
      <x:c r="G13" s="46" t="str">
        <x:v>Desde y=3 hasta 885: deja 3 mm sobre el piso.</x:v>
      </x:c>
      <x:c r="H13" s="41" t="str">
        <x:v>Despiece</x:v>
      </x:c>
    </x:row>
    <x:row r="14" ht="53" customHeight="1">
      <x:c r="A14" s="41" t="str">
        <x:v>B1 · Basurero</x:v>
      </x:c>
      <x:c r="B14" s="49" t="n">
        <x:f>C13</x:f>
        <x:v>230</x:v>
      </x:c>
      <x:c r="C14" s="49" t="n">
        <x:f>B14+D14</x:f>
        <x:v>530</x:v>
      </x:c>
      <x:c r="D14" s="49" t="n">
        <x:f>'Despiece'!E6+30</x:f>
        <x:v>300</x:v>
      </x:c>
      <x:c r="E14" s="49" t="n">
        <x:v>785</x:v>
      </x:c>
      <x:c r="F14" s="49" t="n">
        <x:v>580</x:v>
      </x:c>
      <x:c r="G14" s="46" t="str">
        <x:v>Patas a 100 mm; frente a 100–832.</x:v>
      </x:c>
      <x:c r="H14" s="41" t="str">
        <x:v>Despiece</x:v>
      </x:c>
    </x:row>
    <x:row r="15" ht="53" customHeight="1">
      <x:c r="A15" s="41" t="str">
        <x:v>B2 · Horno</x:v>
      </x:c>
      <x:c r="B15" s="49" t="n">
        <x:f>C14</x:f>
        <x:v>530</x:v>
      </x:c>
      <x:c r="C15" s="49" t="n">
        <x:f>B15+D15</x:f>
        <x:v>1130</x:v>
      </x:c>
      <x:c r="D15" s="49" t="n">
        <x:f>'Despiece'!E11+30</x:f>
        <x:v>600</x:v>
      </x:c>
      <x:c r="E15" s="49" t="n">
        <x:v>785</x:v>
      </x:c>
      <x:c r="F15" s="49" t="n">
        <x:v>580</x:v>
      </x:c>
      <x:c r="G15" s="46" t="str">
        <x:v>Nicho y ventilación sujetos al manual.</x:v>
      </x:c>
      <x:c r="H15" s="41" t="str">
        <x:v>Despiece</x:v>
      </x:c>
    </x:row>
    <x:row r="16" ht="53" customHeight="1">
      <x:c r="A16" s="41" t="str">
        <x:v>B3 · Cajonero</x:v>
      </x:c>
      <x:c r="B16" s="49" t="n">
        <x:f>C15</x:f>
        <x:v>1130</x:v>
      </x:c>
      <x:c r="C16" s="49" t="n">
        <x:f>B16+D16</x:f>
        <x:v>1430</x:v>
      </x:c>
      <x:c r="D16" s="49" t="n">
        <x:f>'Despiece'!E17+30</x:f>
        <x:v>300</x:v>
      </x:c>
      <x:c r="E16" s="49" t="n">
        <x:v>785</x:v>
      </x:c>
      <x:c r="F16" s="49" t="n">
        <x:v>580</x:v>
      </x:c>
      <x:c r="G16" s="46" t="str">
        <x:v>Módulo 300; caja exterior 243, interior 213 × 520. Frentes de 297 de ancho.</x:v>
      </x:c>
      <x:c r="H16" s="41" t="str">
        <x:v>Despiece</x:v>
      </x:c>
    </x:row>
    <x:row r="17" ht="53" customHeight="1">
      <x:c r="A17" s="41" t="str">
        <x:v>B4 · Cajonero</x:v>
      </x:c>
      <x:c r="B17" s="49" t="n">
        <x:f>C16</x:f>
        <x:v>1430</x:v>
      </x:c>
      <x:c r="C17" s="49" t="n">
        <x:f>B17+D17</x:f>
        <x:v>1880</x:v>
      </x:c>
      <x:c r="D17" s="49" t="n">
        <x:f>'Despiece'!E33+30</x:f>
        <x:v>450</x:v>
      </x:c>
      <x:c r="E17" s="49" t="n">
        <x:v>785</x:v>
      </x:c>
      <x:c r="F17" s="49" t="n">
        <x:v>580</x:v>
      </x:c>
      <x:c r="G17" s="46" t="str">
        <x:v>Módulo 450; caja exterior 393, interior 363 × 520. Cubiertero de 360: solo 3 mm de margen total; validar pieza real.</x:v>
      </x:c>
      <x:c r="H17" s="41" t="str">
        <x:v>Despiece</x:v>
      </x:c>
    </x:row>
    <x:row r="18" ht="53" customHeight="1">
      <x:c r="A18" s="41" t="str">
        <x:v>B5 · Lavaplatos</x:v>
      </x:c>
      <x:c r="B18" s="49" t="n">
        <x:f>C17</x:f>
        <x:v>1880</x:v>
      </x:c>
      <x:c r="C18" s="49" t="n">
        <x:f>B18+D18</x:f>
        <x:v>2780</x:v>
      </x:c>
      <x:c r="D18" s="49" t="n">
        <x:f>'Despiece'!E49+30</x:f>
        <x:v>900</x:v>
      </x:c>
      <x:c r="E18" s="49" t="n">
        <x:v>785</x:v>
      </x:c>
      <x:c r="F18" s="49" t="n">
        <x:v>580</x:v>
      </x:c>
      <x:c r="G18" s="46" t="str">
        <x:v>Sin relleno contra el muro.</x:v>
      </x:c>
      <x:c r="H18" s="41" t="str">
        <x:v>Despiece</x:v>
      </x:c>
    </x:row>
    <x:row r="19" ht="53" customHeight="1">
      <x:c r="A19" s="41" t="str">
        <x:v>S1 · Alacena</x:v>
      </x:c>
      <x:c r="B19" s="49" t="n">
        <x:f>B20-D19</x:f>
        <x:v>210</x:v>
      </x:c>
      <x:c r="C19" s="49" t="n">
        <x:f>B20</x:f>
        <x:v>530</x:v>
      </x:c>
      <x:c r="D19" s="49" t="n">
        <x:f>'Despiece'!E57+30</x:f>
        <x:v>320</x:v>
      </x:c>
      <x:c r="E19" s="49" t="n">
        <x:v>700</x:v>
      </x:c>
      <x:c r="F19" s="49" t="n">
        <x:v>320</x:v>
      </x:c>
      <x:c r="G19" s="46" t="str">
        <x:v>Cuerpo 1450–2150; frente 1430–2147. Desfase de 5 mm hacia el extremo libre respecto a B6 para centrar campana.</x:v>
      </x:c>
      <x:c r="H19" s="41" t="str">
        <x:v>Despiece</x:v>
      </x:c>
    </x:row>
    <x:row r="20" ht="53" customHeight="1">
      <x:c r="A20" s="41" t="str">
        <x:v>S2 · Ducto</x:v>
      </x:c>
      <x:c r="B20" s="49" t="n">
        <x:f>B15</x:f>
        <x:v>530</x:v>
      </x:c>
      <x:c r="C20" s="49" t="n">
        <x:f>B20+D20</x:f>
        <x:v>1130</x:v>
      </x:c>
      <x:c r="D20" s="49" t="n">
        <x:f>'Despiece'!E63+30</x:f>
        <x:v>600</x:v>
      </x:c>
      <x:c r="E20" s="49" t="n">
        <x:v>350</x:v>
      </x:c>
      <x:c r="F20" s="49" t="n">
        <x:v>320</x:v>
      </x:c>
      <x:c r="G20" s="46" t="str">
        <x:v>Cuerpo 1800–2150; campana ilustrativa a 1550.</x:v>
      </x:c>
      <x:c r="H20" s="41" t="str">
        <x:v>Despiece</x:v>
      </x:c>
    </x:row>
    <x:row r="21" ht="53" customHeight="1">
      <x:c r="A21" s="41" t="str">
        <x:v>S3 · Alacena</x:v>
      </x:c>
      <x:c r="B21" s="49" t="n">
        <x:f>C20</x:f>
        <x:v>1130</x:v>
      </x:c>
      <x:c r="C21" s="49" t="n">
        <x:f>B21+D21</x:f>
        <x:v>1975</x:v>
      </x:c>
      <x:c r="D21" s="49" t="n">
        <x:f>'Despiece'!E68+30</x:f>
        <x:v>845</x:v>
      </x:c>
      <x:c r="E21" s="49" t="n">
        <x:v>700</x:v>
      </x:c>
      <x:c r="F21" s="49" t="n">
        <x:v>320</x:v>
      </x:c>
      <x:c r="G21" s="46" t="str">
        <x:v>845 mm; división central, dos entrepaños de 397,5.</x:v>
      </x:c>
      <x:c r="H21" s="41" t="str">
        <x:v>Despiece</x:v>
      </x:c>
    </x:row>
    <x:row r="22" ht="53" customHeight="1">
      <x:c r="A22" s="41" t="str">
        <x:v>S4 · Platero</x:v>
      </x:c>
      <x:c r="B22" s="49" t="n">
        <x:f>C21</x:f>
        <x:v>1975</x:v>
      </x:c>
      <x:c r="C22" s="49" t="n">
        <x:f>B22+D22</x:f>
        <x:v>2690</x:v>
      </x:c>
      <x:c r="D22" s="49" t="n">
        <x:f>'Despiece'!E75+30</x:f>
        <x:v>715</x:v>
      </x:c>
      <x:c r="E22" s="49" t="n">
        <x:v>700</x:v>
      </x:c>
      <x:c r="F22" s="49" t="n">
        <x:v>320</x:v>
      </x:c>
      <x:c r="G22" s="46" t="str">
        <x:v>Caja 715, luz 685; herraje de 680 × 245. Eje desplazado solo 2,5 mm frente al del lavaplatos. Confirmar montaje.</x:v>
      </x:c>
      <x:c r="H22" s="41" t="str">
        <x:v>Despiece</x:v>
      </x:c>
    </x:row>
    <x:row r="23">
      <x:c r="A23" s="41"/>
      <x:c r="B23" s="49"/>
      <x:c r="C23" s="49"/>
      <x:c r="D23" s="49"/>
      <x:c r="E23" s="49"/>
      <x:c r="F23" s="49"/>
      <x:c r="G23" s="41"/>
      <x:c r="H23" s="41"/>
    </x:row>
    <x:row r="24">
      <x:c r="A24" s="41"/>
      <x:c r="B24" s="49"/>
      <x:c r="C24" s="49"/>
      <x:c r="D24" s="49"/>
      <x:c r="E24" s="49"/>
      <x:c r="F24" s="49"/>
      <x:c r="G24" s="41"/>
      <x:c r="H24" s="41"/>
    </x:row>
    <x:row r="25">
      <x:c r="A25" s="41" t="str">
        <x:v>Libre a la izquierda del mesón (mm)</x:v>
      </x:c>
      <x:c r="B25" s="49" t="n">
        <x:f>B12</x:f>
        <x:v>200</x:v>
      </x:c>
      <x:c r="C25" s="49"/>
      <x:c r="D25" s="49"/>
      <x:c r="E25" s="49"/>
      <x:c r="F25" s="49"/>
      <x:c r="G25" s="41"/>
      <x:c r="H25" s="41"/>
    </x:row>
    <x:row r="26">
      <x:c r="A26" s="41" t="str">
        <x:v>Libre mesón-esquina (mm)</x:v>
      </x:c>
      <x:c r="B26" s="49" t="n">
        <x:f>B3-C12</x:f>
        <x:v>200</x:v>
      </x:c>
      <x:c r="C26" s="49"/>
      <x:c r="D26" s="49"/>
      <x:c r="E26" s="49"/>
      <x:c r="F26" s="49"/>
      <x:c r="G26" s="41"/>
      <x:c r="H26" s="41"/>
    </x:row>
    <x:row r="27">
      <x:c r="A27" s="41" t="str">
        <x:v>Libre bajos-esquina (mm)</x:v>
      </x:c>
      <x:c r="B27" s="49" t="n">
        <x:f>B3-C18</x:f>
        <x:v>220</x:v>
      </x:c>
      <x:c r="C27" s="49"/>
      <x:c r="D27" s="49"/>
      <x:c r="E27" s="49"/>
      <x:c r="F27" s="49"/>
      <x:c r="G27" s="41"/>
      <x:c r="H27" s="41"/>
    </x:row>
    <x:row r="28">
      <x:c r="A28" s="41" t="str">
        <x:v>Libre superiores-esquina (mm)</x:v>
      </x:c>
      <x:c r="B28" s="49" t="n">
        <x:f>B3-C22</x:f>
        <x:v>310</x:v>
      </x:c>
      <x:c r="C28" s="49"/>
      <x:c r="D28" s="49"/>
      <x:c r="E28" s="49"/>
      <x:c r="F28" s="49"/>
      <x:c r="G28" s="41"/>
      <x:c r="H28" s="41"/>
    </x:row>
    <x:row r="29">
      <x:c r="A29" s="41"/>
      <x:c r="B29" s="41"/>
      <x:c r="C29" s="41"/>
      <x:c r="D29" s="41"/>
      <x:c r="E29" s="41"/>
      <x:c r="F29" s="41"/>
      <x:c r="G29" s="41"/>
      <x:c r="H29" s="41"/>
    </x:row>
    <x:row r="30">
      <x:c r="A30" s="41" t="str">
        <x:v>Mesón centrado: 200 mm libres a cada extremo del muro. Bajos terminan en x=2780; superiores en x=2690.</x:v>
      </x:c>
      <x:c r="B30" s="41"/>
      <x:c r="C30" s="41"/>
      <x:c r="D30" s="41"/>
      <x:c r="E30" s="41"/>
      <x:c r="F30" s="41"/>
      <x:c r="G30" s="41"/>
      <x:c r="H30" s="41"/>
    </x:row>
    <x:row r="31">
      <x:c r="A31" s="41" t="str">
        <x:v>Coordenada x desde el extremo izquierdo del muro de 3000 mm. Esquina en x=3000. No se cambian alturas de equipos sin sus manuales.</x:v>
      </x:c>
      <x:c r="B31" s="41"/>
      <x:c r="C31" s="41"/>
      <x:c r="D31" s="41"/>
      <x:c r="E31" s="41"/>
      <x:c r="F31" s="41"/>
      <x:c r="G31" s="41"/>
      <x:c r="H31" s="41"/>
    </x:row>
    <x:row r="32">
      <x:c r="A32" s="41" t="str">
        <x:v>Las antiguas piezas 01 y 02 (B0) se eliminan; se conservan los demás identificadores del despiece para facilitar trazabilidad.</x:v>
      </x:c>
      <x:c r="B32" s="41"/>
      <x:c r="C32" s="41"/>
      <x:c r="D32" s="41"/>
      <x:c r="E32" s="41"/>
      <x:c r="F32" s="41"/>
      <x:c r="G32" s="41"/>
      <x:c r="H32" s="41"/>
    </x:row>
    <x:row r="33">
      <x:c r="A33" s="41" t="str">
        <x:v>No se agrega S0. La holgura sustituye los rellenos; comprobar pared, bisagras y apertura de la canasta en obra.</x:v>
      </x:c>
      <x:c r="B33" s="41"/>
      <x:c r="C33" s="41"/>
      <x:c r="D33" s="41"/>
      <x:c r="E33" s="41"/>
      <x:c r="F33" s="41"/>
      <x:c r="G33" s="41"/>
      <x:c r="H33" s="41"/>
    </x:row>
  </x:sheetData>
  <x:pageMargins left="0.7" right="0.7" top="0.75" bottom="0.75" header="0.3" footer="0.3"/>
</x:worksheet>
</file>