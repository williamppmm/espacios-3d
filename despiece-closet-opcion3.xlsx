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fd16c932bd48a6" /></Relationships>
</file>

<file path=xl/workbook.xml><?xml version="1.0" encoding="utf-8"?>
<x:workbook xmlns:x="http://schemas.openxmlformats.org/spreadsheetml/2006/main">
  <x:sheets>
    <x:sheet xmlns:r="http://schemas.openxmlformats.org/officeDocument/2006/relationships" name="Despiece" sheetId="1" r:id="R53b508d3f59a424f"/>
    <x:sheet xmlns:r="http://schemas.openxmlformats.org/officeDocument/2006/relationships" name="Pedido de corte" sheetId="7" r:id="Raabecbe2a71c4edb"/>
    <x:sheet xmlns:r="http://schemas.openxmlformats.org/officeDocument/2006/relationships" name="Cantos" sheetId="2" r:id="Rd0c86bfecf2d427e"/>
    <x:sheet xmlns:r="http://schemas.openxmlformats.org/officeDocument/2006/relationships" name="Compras" sheetId="3" r:id="R3bbd31c8fa3f4138"/>
    <x:sheet xmlns:r="http://schemas.openxmlformats.org/officeDocument/2006/relationships" name="Revisión" sheetId="4" r:id="R8fdd4be8ff9a4ad7"/>
  </x:sheets>
</x:workbook>
</file>

<file path=xl/sharedStrings.xml><?xml version="1.0" encoding="utf-8"?>
<x:sst xmlns:x="http://schemas.openxmlformats.org/spreadsheetml/2006/main">
  <x:si>
    <x:t xml:space="preserve">Clóset principal 195: despiece independiente</x:t>
  </x:si>
  <x:si>
    <x:t xml:space="preserve">Cuerpo 195 × 56 × 238 cm; 58,5 cm hasta las manijas. RH15 como cocina. Despiece exclusivo del clóset.</x:t>
  </x:si>
  <x:si>
    <x:t xml:space="preserve">E/F: medidas terminadas y veta en E. I/J paralelos a E, K/L paralelos a F. Cortes teóricos sin sierra ni refilado.</x:t>
  </x:si>
  <x:si>
    <x:t xml:space="preserve">ID</x:t>
  </x:si>
  <x:si>
    <x:t xml:space="preserve">Grupo</x:t>
  </x:si>
  <x:si>
    <x:t xml:space="preserve">Pieza</x:t>
  </x:si>
  <x:si>
    <x:t xml:space="preserve">Cant.</x:t>
  </x:si>
  <x:si>
    <x:t xml:space="preserve">Largo veta mm</x:t>
  </x:si>
  <x:si>
    <x:t xml:space="preserve">Ancho mm</x:t>
  </x:si>
  <x:si>
    <x:t xml:space="preserve">Espesor mm</x:t>
  </x:si>
  <x:si>
    <x:t xml:space="preserve">Área m²</x:t>
  </x:si>
  <x:si>
    <x:t xml:space="preserve">Canto L1</x:t>
  </x:si>
  <x:si>
    <x:t xml:space="preserve">Canto L2</x:t>
  </x:si>
  <x:si>
    <x:t xml:space="preserve">Canto A1</x:t>
  </x:si>
  <x:si>
    <x:t xml:space="preserve">Canto A2</x:t>
  </x:si>
  <x:si>
    <x:t xml:space="preserve">Corte largo mm</x:t>
  </x:si>
  <x:si>
    <x:t xml:space="preserve">Corte ancho mm</x:t>
  </x:si>
  <x:si>
    <x:t xml:space="preserve">Estado</x:t>
  </x:si>
  <x:si>
    <x:t xml:space="preserve">Nota de fabricación</x:t>
  </x:si>
  <x:si>
    <x:t xml:space="preserve">C3-001</x:t>
  </x:si>
  <x:si>
    <x:t xml:space="preserve">EST</x:t>
  </x:si>
  <x:si>
    <x:t xml:space="preserve">Lateral exterior</x:t>
  </x:si>
  <x:si>
    <x:t xml:space="preserve">2</x:t>
  </x:si>
  <x:si>
    <x:t xml:space="preserve">—</x:t>
  </x:si>
  <x:si>
    <x:t xml:space="preserve">0.45</x:t>
  </x:si>
  <x:si>
    <x:t xml:space="preserve">Diseño elegido</x:t>
  </x:si>
  <x:si>
    <x:t xml:space="preserve">Cuerpo de 56 cm; hojas hasta 55 cm. Las manijas sobresalen hasta 58,5 cm desde el fondo.</x:t>
  </x:si>
  <x:si>
    <x:t xml:space="preserve">C3-002</x:t>
  </x:si>
  <x:si>
    <x:t xml:space="preserve">Divisor central</x:t>
  </x:si>
  <x:si>
    <x:t xml:space="preserve">Divisor de 49 cm: deja 10 mm respecto a la hoja interior, ubicada a 50 cm del fondo.</x:t>
  </x:si>
  <x:si>
    <x:t xml:space="preserve">C3-003</x:t>
  </x:si>
  <x:si>
    <x:t xml:space="preserve">B1</x:t>
  </x:si>
  <x:si>
    <x:t xml:space="preserve">Piso sobre base</x:t>
  </x:si>
  <x:si>
    <x:t xml:space="preserve">Uniones y mecanizados según montaje.</x:t>
  </x:si>
  <x:si>
    <x:t xml:space="preserve">C3-004</x:t>
  </x:si>
  <x:si>
    <x:t xml:space="preserve">Tapa superior</x:t>
  </x:si>
  <x:si>
    <x:t xml:space="preserve">Tapa de 505 mm: llega hasta el listón de pino 4×4 cm (P3-01), que sostiene el riel. Se une a laterales y divisor; el listón queda a ras de su cara superior.</x:t>
  </x:si>
  <x:si>
    <x:t xml:space="preserve">C3-005</x:t>
  </x:si>
  <x:si>
    <x:t xml:space="preserve">Fondo RH15</x:t>
  </x:si>
  <x:si>
    <x:t xml:space="preserve">Panel trasero del mismo RH15 y acabado. Útil de colgado hasta la hoja trasera: 485 mm.</x:t>
  </x:si>
  <x:si>
    <x:t xml:space="preserve">C3-006</x:t>
  </x:si>
  <x:si>
    <x:t xml:space="preserve">Piso de maletero</x:t>
  </x:si>
  <x:si>
    <x:t xml:space="preserve">Maletero interior accesible por las hojas corredizas; carga liviana.</x:t>
  </x:si>
  <x:si>
    <x:t xml:space="preserve">C3-007</x:t>
  </x:si>
  <x:si>
    <x:t xml:space="preserve">Refuerzo frontal de maletero</x:t>
  </x:si>
  <x:si>
    <x:t xml:space="preserve">De canto. Apoyos y unión al tablero por definir antes de fabricar.</x:t>
  </x:si>
  <x:si>
    <x:t xml:space="preserve">C3-008</x:t>
  </x:si>
  <x:si>
    <x:t xml:space="preserve">Refuerzo trasero de maletero</x:t>
  </x:si>
  <x:si>
    <x:t xml:space="preserve">De canto. No atribuir rigidez al pegado sobre canto decorativo.</x:t>
  </x:si>
  <x:si>
    <x:t xml:space="preserve">C3-009</x:t>
  </x:si>
  <x:si>
    <x:t xml:space="preserve">B2</x:t>
  </x:si>
  <x:si>
    <x:t xml:space="preserve">C3-010</x:t>
  </x:si>
  <x:si>
    <x:t xml:space="preserve">C3-011</x:t>
  </x:si>
  <x:si>
    <x:t xml:space="preserve">C3-012</x:t>
  </x:si>
  <x:si>
    <x:t xml:space="preserve">C3-013</x:t>
  </x:si>
  <x:si>
    <x:t xml:space="preserve">C3-014</x:t>
  </x:si>
  <x:si>
    <x:t xml:space="preserve">C3-015</x:t>
  </x:si>
  <x:si>
    <x:t xml:space="preserve">Frente de cajón</x:t>
  </x:si>
  <x:si>
    <x:t xml:space="preserve">Sin manija. Separación vertical de 30 mm. Se añadieron 50 mm de tolerancia lateral al cajonero: frente termina en x842 y hoja abierta comienza en x910 (68 mm libres).</x:t>
  </x:si>
  <x:si>
    <x:t xml:space="preserve">C3-016</x:t>
  </x:si>
  <x:si>
    <x:t xml:space="preserve">Costado de cajón</x:t>
  </x:si>
  <x:si>
    <x:t xml:space="preserve">C3-017</x:t>
  </x:si>
  <x:si>
    <x:t xml:space="preserve">Base aplicada de cajón</x:t>
  </x:si>
  <x:si>
    <x:t xml:space="preserve">Caja exterior 803 × 450: vano 830 menos 27 mm de riel lateral HRE320.</x:t>
  </x:si>
  <x:si>
    <x:t xml:space="preserve">C3-018</x:t>
  </x:si>
  <x:si>
    <x:t xml:space="preserve">Frente / trasero interior de cajón</x:t>
  </x:si>
  <x:si>
    <x:t xml:space="preserve">C3-019</x:t>
  </x:si>
  <x:si>
    <x:t xml:space="preserve">Refuerzo bajo base de cajón</x:t>
  </x:si>
  <x:si>
    <x:t xml:space="preserve">De canto. Uniones por dimensionar; la capacidad del riel no certifica la caja.</x:t>
  </x:si>
  <x:si>
    <x:t xml:space="preserve">C3-020</x:t>
  </x:si>
  <x:si>
    <x:t xml:space="preserve">BASE</x:t>
  </x:si>
  <x:si>
    <x:t xml:space="preserve">Zócalo frontal</x:t>
  </x:si>
  <x:si>
    <x:t xml:space="preserve">C3-021</x:t>
  </x:si>
  <x:si>
    <x:t xml:space="preserve">Travesaño trasero de base</x:t>
  </x:si>
  <x:si>
    <x:t xml:space="preserve">C3-022</x:t>
  </x:si>
  <x:si>
    <x:t xml:space="preserve">Travesaño de base</x:t>
  </x:si>
  <x:si>
    <x:t xml:space="preserve">C3-023</x:t>
  </x:si>
  <x:si>
    <x:t xml:space="preserve">PUERTAS</x:t>
  </x:si>
  <x:si>
    <x:t xml:space="preserve">Hoja corrediza RH15</x:t>
  </x:si>
  <x:si>
    <x:t xml:space="preserve">Pendiente plantilla</x:t>
  </x:si>
  <x:si>
    <x:t xml:space="preserve">PROVISIONAL para corte: 2175 × 975, solape 30. Altura = hueco bajo el listón (2340−115) menos 50 mm del sistema. Sin perfil vertical en esta propuesta basada en el clóset del usuario. Confirmar taladros, altura, canto y suspensión. Tope conserva desfase de 50 mm entre hojas.</x:t>
  </x:si>
  <x:si>
    <x:t xml:space="preserve">C3-024</x:t>
  </x:si>
  <x:si>
    <x:t xml:space="preserve">Solapa frontal</x:t>
  </x:si>
  <x:si>
    <x:t xml:space="preserve">Cubre el frente superior (riel y borde alto de las hojas), como en el clóset real: 12 cm de alto, sobresale 15 mm delante del cuerpo de 56 cm. Se fija a los cantos delanteros de los laterales y a dos tacos de pino de 15 mm (sobrantes del listón) atornillados al frente del listón. Canto rígido abajo y en los extremos; el borde alto va contra el cielo raso.</x:t>
  </x:si>
  <x:si>
    <x:t xml:space="preserve">TOTAL RH15</x:t>
  </x:si>
  <x:si>
    <x:t xml:space="preserve">Área neta</x:t>
  </x:si>
  <x:si>
    <x:t xml:space="preserve">Listón de pino (bastidor del riel) fuera de este total: ver hoja Compras.</x:t>
  </x:si>
  <x:si>
    <x:t xml:space="preserve">Observaciones fijas por pieza</x:t>
  </x:si>
  <x:si>
    <x:t xml:space="preserve">Pedido de corte y canteado · clóset principal 195</x:t>
  </x:si>
  <x:si>
    <x:t xml:space="preserve">¿El proveedor pide medida terminada y descuenta el canto? (SÍ/NO)</x:t>
  </x:si>
  <x:si>
    <x:t xml:space="preserve">Rebaje superior para el listón de pino 4 × 4 en taller.</x:t>
  </x:si>
  <x:si>
    <x:t xml:space="preserve">Veta horizontal: frente de 824 de ancho, queda detrás de las hojas.</x:t>
  </x:si>
  <x:si>
    <x:t xml:space="preserve">Cortar después de confirmar el kit Peralma (altura de hoja y plantilla).</x:t>
  </x:si>
  <x:si>
    <x:t xml:space="preserve">Supuestos por confirmar en la sucursal: Q2 cambia la medida que se pide; Q3 y Q4 marcan qué piezas pueden rechazar.</x:t>
  </x:si>
  <x:si>
    <x:t xml:space="preserve">Módulo / grupo</x:t>
  </x:si>
  <x:si>
    <x:t xml:space="preserve">Material</x:t>
  </x:si>
  <x:si>
    <x:t xml:space="preserve">Largo a pedir (veta)</x:t>
  </x:si>
  <x:si>
    <x:t xml:space="preserve">Ancho a pedir</x:t>
  </x:si>
  <x:si>
    <x:t xml:space="preserve">Largo 1</x:t>
  </x:si>
  <x:si>
    <x:t xml:space="preserve">Largo 2</x:t>
  </x:si>
  <x:si>
    <x:t xml:space="preserve">Corto 1</x:t>
  </x:si>
  <x:si>
    <x:t xml:space="preserve">Corto 2</x:t>
  </x:si>
  <x:si>
    <x:t xml:space="preserve">Canteo</x:t>
  </x:si>
  <x:si>
    <x:t xml:space="preserve">Medida terminada</x:t>
  </x:si>
  <x:si>
    <x:t xml:space="preserve">Observaciones</x:t>
  </x:si>
  <x:si>
    <x:t xml:space="preserve">Metros netos de canto</x:t>
  </x:si>
  <x:si>
    <x:t xml:space="preserve">Normal</x:t>
  </x:si>
  <x:si>
    <x:t xml:space="preserve">Pequeña</x:t>
  </x:si>
  <x:si>
    <x:t xml:space="preserve">Rígido 2 mm</x:t>
  </x:si>
  <x:si>
    <x:t xml:space="preserve">Flexible 0,45 mm</x:t>
  </x:si>
  <x:si>
    <x:t xml:space="preserve">Piezas (unidades)</x:t>
  </x:si>
  <x:si>
    <x:t xml:space="preserve">Bordes a cantear a mano</x:t>
  </x:si>
  <x:si>
    <x:t xml:space="preserve">Metros netos</x:t>
  </x:si>
  <x:si>
    <x:t xml:space="preserve">Desperdicio por borde a mano (m)</x:t>
  </x:si>
  <x:si>
    <x:t xml:space="preserve">Margen de seguridad</x:t>
  </x:si>
  <x:si>
    <x:t xml:space="preserve">Clóset compacto: cantos exclusivos</x:t>
  </x:si>
  <x:si>
    <x:t xml:space="preserve">Reserva/borde m</x:t>
  </x:si>
  <x:si>
    <x:t xml:space="preserve">Rígido 2 mm en caras vistas; flexible 0,45 en bordes vistos interiores, superiores e inferiores. Sin canto en bordes ocultos contra otra pieza o el muro. Reserva editable, 5 cm por borde.</x:t>
  </x:si>
  <x:si>
    <x:t xml:space="preserve">Tipo</x:t>
  </x:si>
  <x:si>
    <x:t xml:space="preserve">Aplicación</x:t>
  </x:si>
  <x:si>
    <x:t xml:space="preserve">Bordes</x:t>
  </x:si>
  <x:si>
    <x:t xml:space="preserve">Reserva m</x:t>
  </x:si>
  <x:si>
    <x:t xml:space="preserve">Metros a pedir</x:t>
  </x:si>
  <x:si>
    <x:t xml:space="preserve">m por rollo</x:t>
  </x:si>
  <x:si>
    <x:t xml:space="preserve">Rollos</x:t>
  </x:si>
  <x:si>
    <x:t xml:space="preserve">Rígido 19 × 2</x:t>
  </x:si>
  <x:si>
    <x:t xml:space="preserve">Hojas, frentes y bordes vistos de estructura</x:t>
  </x:si>
  <x:si>
    <x:t xml:space="preserve">Flexible 19 × 0,45</x:t>
  </x:si>
  <x:si>
    <x:t xml:space="preserve">Bordes vistos interiores, superiores e inferiores, y base</x:t>
  </x:si>
  <x:si>
    <x:t xml:space="preserve">Piezas estrechas: la base (C3-020 a C3-022) conserva canto en los 4 bordes por estar junto al piso; las demás llevan canto solo en bordes vistos. Confirmar preparación de uniones con el taller.</x:t>
  </x:si>
  <x:si>
    <x:t xml:space="preserve">Clóset compacto: compras independientes</x:t>
  </x:si>
  <x:si>
    <x:t xml:space="preserve">Presupuesto parcial de esta opción. Precios de referencia; no combina materiales con cocina ni baño.</x:t>
  </x:si>
  <x:si>
    <x:t xml:space="preserve">Cinco láminas es un encaje encontrado sin rotar por veta; no representa un mínimo demostrado.</x:t>
  </x:si>
  <x:si>
    <x:t xml:space="preserve">Referencia</x:t>
  </x:si>
  <x:si>
    <x:t xml:space="preserve">Uso</x:t>
  </x:si>
  <x:si>
    <x:t xml:space="preserve">Cantidad</x:t>
  </x:si>
  <x:si>
    <x:t xml:space="preserve">Unidad</x:t>
  </x:si>
  <x:si>
    <x:t xml:space="preserve">Precio COP</x:t>
  </x:si>
  <x:si>
    <x:t xml:space="preserve">Importe COP</x:t>
  </x:si>
  <x:si>
    <x:t xml:space="preserve">Detalle</x:t>
  </x:si>
  <x:si>
    <x:t xml:space="preserve">Fuente / fecha</x:t>
  </x:si>
  <x:si>
    <x:t xml:space="preserve">RH15 Cartagena</x:t>
  </x:si>
  <x:si>
    <x:t xml:space="preserve">Tablero 2440 × 2150</x:t>
  </x:si>
  <x:si>
    <x:t xml:space="preserve">lámina</x:t>
  </x:si>
  <x:si>
    <x:t xml:space="preserve">Misma referencia cocina</x:t>
  </x:si>
  <x:si>
    <x:t xml:space="preserve">44 piezas RH15, más el listón de pino del bastidor (fila Pino). Encaje encontrado en 5 láminas, con sierra 4 mm y refilado 10 mm por lado. La presencia de fondos y hojas grandes aumenta consumo. Proveedor define plano final.</x:t>
  </x:si>
  <x:si>
    <x:t xml:space="preserve">despiece-propuesta.xlsx, Compras fila2; precio de referencia27/10/2026.</x:t>
  </x:si>
  <x:si>
    <x:t xml:space="preserve">Canto rígido Cartagena</x:t>
  </x:si>
  <x:si>
    <x:t xml:space="preserve">Rollo 19 × 2 mm</x:t>
  </x:si>
  <x:si>
    <x:t xml:space="preserve">rollo</x:t>
  </x:si>
  <x:si>
    <x:t xml:space="preserve">Referencia cocina</x:t>
  </x:si>
  <x:si>
    <x:t xml:space="preserve">despiece-propuesta.xlsx, Compras fila4.</x:t>
  </x:si>
  <x:si>
    <x:t xml:space="preserve">Canto flexible Cartagena</x:t>
  </x:si>
  <x:si>
    <x:t xml:space="preserve">Rollo 19 × 0,45 mm</x:t>
  </x:si>
  <x:si>
    <x:t xml:space="preserve">despiece-propuesta.xlsx, Compras fila5.</x:t>
  </x:si>
  <x:si>
    <x:t xml:space="preserve">HRE320-45</x:t>
  </x:si>
  <x:si>
    <x:t xml:space="preserve">Riel lateral 450 mm</x:t>
  </x:si>
  <x:si>
    <x:t xml:space="preserve">par</x:t>
  </x:si>
  <x:si>
    <x:t xml:space="preserve">Precio aportado</x:t>
  </x:si>
  <x:si>
    <x:t xml:space="preserve">Vano 830−27 = caja 803×450.45 kg nominales del par no certifican caja ni carga útil. Incluye 12 tornillos de 12 mm por par. Confirmar uniones.</x:t>
  </x:si>
  <x:si>
    <x:t xml:space="preserve">Usuario; ficha HRE320/330 rev.15/05/25.</x:t>
  </x:si>
  <x:si>
    <x:t xml:space="preserve">FSCPCM20</x:t>
  </x:si>
  <x:si>
    <x:t xml:space="preserve">Kit Peralma para dos hojas</x:t>
  </x:si>
  <x:si>
    <x:t xml:space="preserve">kit</x:t>
  </x:si>
  <x:si>
    <x:t xml:space="preserve">Candidato</x:t>
  </x:si>
  <x:si>
    <x:t xml:space="preserve">Kit publicado: 4 rodamientos, 1 guía, 1 tope y tornillos. Identificar si coinciden con la guía y el amortiguador descritos por el usuario, antes de añadir accesorios. Cada hoja RH pesa 21,3 kg sin herrajes (10,05 kg/m², dato de Madecentro); el kit indica 30 kg: preguntar si es por hoja o por kit de dos.</x:t>
  </x:si>
  <x:si>
    <x:t xml:space="preserve">https://madecentro.com/products/kit-de-accesorios-para-sistema-colgante; precio aportado por usuario.</x:t>
  </x:si>
  <x:si>
    <x:t xml:space="preserve">PERALMA50B · 2 m</x:t>
  </x:si>
  <x:si>
    <x:t xml:space="preserve">Riel colgante superior para 2 hojas</x:t>
  </x:si>
  <x:si>
    <x:t xml:space="preserve">barra</x:t>
  </x:si>
  <x:si>
    <x:t xml:space="preserve">Barra 2 m para recorrido 1920 mm. Referencia real: zona de 70 mm de fondo, hojas entre 500 y 550 mm, cuerpo hasta 560. El riel se atornilla al listón de pino del bastidor (no a la tapa). Guía inferior sin apoyo de peso; no hay riel inferior de carga. Confirmar sección y taladros del sistema.</x:t>
  </x:si>
  <x:si>
    <x:t xml:space="preserve">https://madecentro.com/products/sistema-corredizo-colgate-x-3mtr</x:t>
  </x:si>
  <x:si>
    <x:t xml:space="preserve">HMA310-02</x:t>
  </x:si>
  <x:si>
    <x:t xml:space="preserve">Manija tubular CC96 mm</x:t>
  </x:si>
  <x:si>
    <x:t xml:space="preserve">unidad</x:t>
  </x:si>
  <x:si>
    <x:t xml:space="preserve">Elegida como propuesta</x:t>
  </x:si>
  <x:si>
    <x:t xml:space="preserve">Una manija vertical en el extremo exterior de cada hoja.35 mm de saliente: fondo máximo 585 mm. Dos centros 96 mm; largo representado 119 mm. Las manijas no sustituyen una certificación de rigidez del tablero.</x:t>
  </x:si>
  <x:si>
    <x:t xml:space="preserve">Usuario: $2.743/unidad. https://madecentro.com/products/hma310-02-manija-310-acero-inox-cc-96-mm-rectangular-alta</x:t>
  </x:si>
  <x:si>
    <x:t xml:space="preserve">Verificar con FSCPCM20</x:t>
  </x:si>
  <x:si>
    <x:t xml:space="preserve">Tope plástico amortiguado</x:t>
  </x:si>
  <x:si>
    <x:t xml:space="preserve">conjunto</x:t>
  </x:si>
  <x:si>
    <x:t xml:space="preserve">Verificar incluido</x:t>
  </x:si>
  <x:si>
    <x:t xml:space="preserve">Detrás de la hoja exterior, conserva 50 mm de desfase y evita invertir el orden de hojas. Cota de pérdida de recorrido aportada por el usuario. Verificar si viene en el kit; no duplicar compra. La guía inferior tampoco se compra dos veces.</x:t>
  </x:si>
  <x:si>
    <x:t xml:space="preserve">Descripción y fotos del clóset real del usuario; referencia comercial pendiente.</x:t>
  </x:si>
  <x:si>
    <x:t xml:space="preserve">Por elegir</x:t>
  </x:si>
  <x:si>
    <x:t xml:space="preserve">Barras para colgar</x:t>
  </x:si>
  <x:si>
    <x:t xml:space="preserve">tramo</x:t>
  </x:si>
  <x:si>
    <x:t xml:space="preserve">Cotizar</x:t>
  </x:si>
  <x:si>
    <x:t xml:space="preserve">Una ilustrada 810 mm y dos 1055 mm. Barra baja derecha desmontable. Medidas de corte reales según soportes elegidos.</x:t>
  </x:si>
  <x:si>
    <x:t xml:space="preserve">Modelo; no representa una referencia comercial confirmada.</x:t>
  </x:si>
  <x:si>
    <x:t xml:space="preserve">Soportes de barra</x:t>
  </x:si>
  <x:si>
    <x:t xml:space="preserve">Dos por barra. Fijación y carga para RH15 por confirmar.</x:t>
  </x:si>
  <x:si>
    <x:t xml:space="preserve">Montaje pendiente.</x:t>
  </x:si>
  <x:si>
    <x:t xml:space="preserve">Por dimensionar</x:t>
  </x:si>
  <x:si>
    <x:t xml:space="preserve">Apoyos de base</x:t>
  </x:si>
  <x:si>
    <x:t xml:space="preserve">Dos bajo cada lateral/divisor. El modelo dibuja 20 mm de apoyo y base total 100 mm; producto y regulación por elegir.</x:t>
  </x:si>
  <x:si>
    <x:t xml:space="preserve">Geometría propuesta.</x:t>
  </x:si>
  <x:si>
    <x:t xml:space="preserve">Uniones y anclajes</x:t>
  </x:si>
  <x:si>
    <x:t xml:space="preserve">lote</x:t>
  </x:si>
  <x:si>
    <x:t xml:space="preserve">Incluye fijación de fondos, estructura y refuerzos de RH; el bastidor del riel se lista aparte. El extremo derecho queda libre: no puede anclarse al muro lateral derecho como en la opción 2. Definir anclaje posterior y lateral izquierdo según muro.</x:t>
  </x:si>
  <x:si>
    <x:t xml:space="preserve">Montaje y sustrato real.</x:t>
  </x:si>
  <x:si>
    <x:t xml:space="preserve">Pino · por cotizar</x:t>
  </x:si>
  <x:si>
    <x:t xml:space="preserve">Listón 4×4 cm · bastidor del riel</x:t>
  </x:si>
  <x:si>
    <x:t xml:space="preserve">listón</x:t>
  </x:si>
  <x:si>
    <x:t xml:space="preserve">Listón de pino de 4×4 cm que va de lateral a lateral: 1920 mm libres más el encaje en cada lateral (máx. 7 mm por lado). Pedir de 2,0 m o más, recto, seco y sin nudos grandes; sobra para 2 tacos de 15 mm. Va encajonado y atornillado a los laterales; el riel (50 mm) se atornilla a su cara inferior y sobresale ~5 mm por lado. El clóset real usa 7×3 cm; se cambió a 4×4 por disponibilidad. Confirmar rebaje y tornillos con el instalador.</x:t>
  </x:si>
  <x:si>
    <x:t xml:space="preserve">Descripción del clóset real del usuario, 27/10/2026; precio pendiente.</x:t>
  </x:si>
  <x:si>
    <x:t xml:space="preserve">Tornillos del bastidor y del riel</x:t>
  </x:si>
  <x:si>
    <x:t xml:space="preserve">Tornillos para madera y aglomerado en cada extremo del listón y para el riel; el kit del sistema puede traer los suyos. Escuadras solo si el rebaje en los laterales queda corto.</x:t>
  </x:si>
  <x:si>
    <x:t xml:space="preserve">Por cotizar</x:t>
  </x:si>
  <x:si>
    <x:t xml:space="preserve">Corte, canteado e instalación</x:t>
  </x:si>
  <x:si>
    <x:t xml:space="preserve">servicio</x:t>
  </x:si>
  <x:si>
    <x:t xml:space="preserve">Confirmar plantilla de las hojas y perfiles, guías y topes adicionales, veta y suministro. Mantener todo este presupuesto independiente.</x:t>
  </x:si>
  <x:si>
    <x:t xml:space="preserve">Proveedor.</x:t>
  </x:si>
  <x:si>
    <x:t xml:space="preserve">SUBTOTAL PARCIAL</x:t>
  </x:si>
  <x:si>
    <x:t xml:space="preserve">Incluye 2 manijas por $5.486. Quedan listón de pino, tornillos, barras, apoyos, uniones, anclajes y servicios. Verificar accesorios incluidos. No hay PERALM93 presupuestado en esta alternativa.</x:t>
  </x:si>
  <x:si>
    <x:t xml:space="preserve">Clóset compacto: cálculo y fabricación</x:t>
  </x:si>
  <x:si>
    <x:t xml:space="preserve">Opción 3 elegida como principal. Plantillas y montaje por validar. Despiece independiente; alternativas 1 y 2 conservadas.</x:t>
  </x:si>
  <x:si>
    <x:t xml:space="preserve">Tema</x:t>
  </x:si>
  <x:si>
    <x:t xml:space="preserve">Resultado / condición</x:t>
  </x:si>
  <x:si>
    <x:t xml:space="preserve">Fuente</x:t>
  </x:si>
  <x:si>
    <x:t xml:space="preserve">Confirmado</x:t>
  </x:si>
  <x:si>
    <x:t xml:space="preserve">Puerta de habitación</x:t>
  </x:si>
  <x:si>
    <x:t xml:space="preserve">Hoja 900 mm; eje a 520 mm del muro donde apoya el fondo del clóset.</x:t>
  </x:si>
  <x:si>
    <x:t xml:space="preserve">Confirmación del usuario 27/10/2026.</x:t>
  </x:si>
  <x:si>
    <x:t xml:space="preserve">Calculado</x:t>
  </x:si>
  <x:si>
    <x:t xml:space="preserve">Ancho propuesto</x:t>
  </x:si>
  <x:si>
    <x:t xml:space="preserve">El modelo sitúa el eje a 2880 mm del muro izquierdo. Extremo del giro=2880−900=1980. Restando 10 mm de separación izquierda y 20 mm de margen: ancho 1950 mm. Confirmar posición lateral del eje antes de fabricar.</x:t>
  </x:si>
  <x:si>
    <x:t xml:space="preserve">Geometría de la terraza y medidas confirmadas.</x:t>
  </x:si>
  <x:si>
    <x:t xml:space="preserve">Elegido</x:t>
  </x:si>
  <x:si>
    <x:t xml:space="preserve">Ubicación y franja libre</x:t>
  </x:si>
  <x:si>
    <x:t xml:space="preserve">1+195+94=290 cm. Se reduce 93 cm respecto a 288. El hueco derecho es reserva de giro; no un paso peatonal libre de 94 cm.</x:t>
  </x:si>
  <x:si>
    <x:t xml:space="preserve">Cálculo de ubicación.</x:t>
  </x:si>
  <x:si>
    <x:t xml:space="preserve">Fondo interior</x:t>
  </x:si>
  <x:si>
    <x:t xml:space="preserve">Zona de referencia 490–560 mm. Hoja interior 500–515; exterior 535–550. Cuerpo 560 y manijas hasta 585. Fondo RH15 de 0–15 deja 485 mm útiles. Los 7 cm son la zona de referencia del marco, no un espesor adicional del cuerpo.</x:t>
  </x:si>
  <x:si>
    <x:t xml:space="preserve">Medidas y aclaraciones del usuario / modelo.</x:t>
  </x:si>
  <x:si>
    <x:t xml:space="preserve">Aplicado</x:t>
  </x:si>
  <x:si>
    <x:t xml:space="preserve">Distribución</x:t>
  </x:si>
  <x:si>
    <x:t xml:space="preserve">Útiles 830 y 1075 mm. Se redujo el cajonero de 880 a 830 mm para sumar 50 mm de tolerancia de instalación, además del descuento ya aplicado por el tope. Se mantienen 1950 mm exteriores. Colgado corto arriba, doble colgado derecho con barra inferior desmontable y maleteros interiores.</x:t>
  </x:si>
  <x:si>
    <x:t xml:space="preserve">Geometría opción 3.</x:t>
  </x:si>
  <x:si>
    <x:t xml:space="preserve">Acceso a cajones</x:t>
  </x:si>
  <x:si>
    <x:t xml:space="preserve">Hoja exterior izquierda e interior derecha; anchos 975, solape 30 y desfase mínimo 50. Desplazamiento y abertura libre 895. Frentes 824 en cuerpo 830: máximo x 842, hoja apilada comienza en x 910, dejando 68 mm de margen al tablero. Incluso con 50 mm adicionales de pérdida de recorrido quedaría un margen geométrico de 18 mm. El visor bloquea cruce de hojas y cajones tapados.</x:t>
  </x:si>
  <x:si>
    <x:t xml:space="preserve">Tope descrito por el usuario y control geométrico.</x:t>
  </x:si>
  <x:si>
    <x:t xml:space="preserve">Cajas y correderas</x:t>
  </x:si>
  <x:si>
    <x:t xml:space="preserve">Exterior 803×450; base RH15 aplicada, paredes 155 y refuerzo 40 inferior. Frente 824×210. Tres frentes con 30 mm de separación, sin manijas.803=830−27 de la familia HRE320. Confirmar fijación y carga útil.</x:t>
  </x:si>
  <x:si>
    <x:t xml:space="preserve">Geometría y ficha de rieles.</x:t>
  </x:si>
  <x:si>
    <x:t xml:space="preserve">Por validar</x:t>
  </x:si>
  <x:si>
    <x:t xml:space="preserve">Hojas y sistema corredizo</x:t>
  </x:si>
  <x:si>
    <x:t xml:space="preserve">Hojas 2175×975×15 (21,3 kg cada una con 10,05 kg/m²) representadas sin perfiles verticales, siguiendo el clóset real del usuario (hojas 80×220 con 4 años sin pandeo). Las nuevas son más anchas; validar tablero, altura, uniones, carga y suspensión. Esta alternativa no se presenta como cumplimiento de la recomendación de PERALM93 publicada por Madecentro.</x:t>
  </x:si>
  <x:si>
    <x:t xml:space="preserve">Referencia aportada por el usuario; validación del proveedor pendiente.</x:t>
  </x:si>
  <x:si>
    <x:t xml:space="preserve">Cargas y anclajes</x:t>
  </x:si>
  <x:si>
    <x:t xml:space="preserve">Las hojas (≈43 kg en total) cuelgan del sistema superior; la guía inferior solo limita oscilación. El riel se atornilla a un listón de pino 4×4 cm que va de lateral a lateral, encajonado en un rebaje de cada lateral y atornillado, como en el clóset real del usuario (4 años de uso). Así la carga baja por los laterales y no la soporta la tapa. Definir rebaje, tornillos, uniones de fondos y anclajes al muro posterior e izquierdo. No hay apoyo en el muro derecho.</x:t>
  </x:si>
  <x:si>
    <x:t xml:space="preserve">Material y alcance</x:t>
  </x:si>
  <x:si>
    <x:t xml:space="preserve">Misma referencia RH15 Cartagena que la cocina final. Despiece y compras exclusivos del clóset compacto; no se han fusionado con cocina ni baño.</x:t>
  </x:si>
  <x:si>
    <x:t xml:space="preserve">Solicitud del usuario y Excel de cocina.</x:t>
  </x:si>
  <x:si>
    <x:t xml:space="preserve">Montaje en altura</x:t>
  </x:si>
  <x:si>
    <x:t xml:space="preserve">Altura exterior 2380 en hueco 2400. Diagonal 2380×560≈2445 mm: armar de pie o por partes. La nivelación consume los 20 mm superiores.</x:t>
  </x:si>
  <x:si>
    <x:t xml:space="preserve">Cálculo geométrico.</x:t>
  </x:si>
  <x:si>
    <x:t xml:space="preserve">Cantos y corte</x:t>
  </x:si>
  <x:si>
    <x:t xml:space="preserve">Medidas terminadas. Descuentos teóricos de canto sin sierra ni refilado. Proveedor confirma canteado, preparación de uniones y veta. Cinco láminas es un encaje encontrado, no prueba de mínimo.</x:t>
  </x:si>
  <x:si>
    <x:t xml:space="preserve">Planificación independiente.</x:t>
  </x:si>
  <x:si>
    <x:t xml:space="preserve">Bastidor del riel y solapa</x:t>
  </x:si>
  <x:si>
    <x:t xml:space="preserve">Listón de pino 4×4 cm (40 mm de fondo × 40 de alto) entre z 505 y 545, a ras de la cara superior (y 2340–2380). Las tapas llegan hasta él (505 mm de fondo); el riel va debajo y las hojas quedan de 2175. Solapa frontal de RH15 de 120 mm de alto y 15 mm de saliente (z 560–575) que tapa riel y borde alto de las hojas; se fija a los laterales y a dos tacos de pino sobre el frente del listón. Por validar: profundidad del rebaje en los laterales (máx. ≈7 mm), tornillos y cuánto baja el centro del listón con 43 kg: el 4×4 es solo ~35 % más rígido que el 7×3 acostado del clóset real, y aquí la luz es de 1,92 m. La solapa unida a su frente y el riel de aluminio lo rigidizan. Si en obra baja, añadir un apoyo bajo el listón en el divisor.</x:t>
  </x:si>
  <x:si>
    <x:t xml:space="preserve">Clóset real del usuario, 27/10/2026; modelo.</x:t>
  </x:si>
  <x:si>
    <x:t xml:space="preserve">Cantos</x:t>
  </x:si>
  <x:si>
    <x:t xml:space="preserve">Se retira el canto de los bordes ocultos contra otra pieza o el muro (fondos RH15 sin canto). Se conservan bordes vistos, el superior de laterales y divisor, y los 4 bordes de la base (C3-020 a C3-022). Cortes M/N pasan a fórmula según los cantos. Flexible 89,4 → 39,0 m netos; rígido sin cambio.</x:t>
  </x:si>
  <x:si>
    <x:t xml:space="preserve">Análisis geométrico del modelo 3D y decisión del usuario 27/10/2026.</x:t>
  </x:si>
</x:sst>
</file>

<file path=xl/styles.xml><?xml version="1.0" encoding="utf-8"?>
<x:styleSheet xmlns:x="http://schemas.openxmlformats.org/spreadsheetml/2006/main">
  <x:numFmts count="5">
    <x:numFmt numFmtId="164" formatCode="0.000000"/>
    <x:numFmt numFmtId="165" formatCode="0.000"/>
    <x:numFmt numFmtId="166" formatCode="\$#,##0"/>
    <x:numFmt numFmtId="167" formatCode="0.0"/>
    <x:numFmt numFmtId="200" formatCode="0.00"/>
  </x:numFmts>
  <x:fonts count="9">
    <x:font>
      <x:sz val="10"/>
      <x:name val="Arial"/>
      <x:family val="2"/>
    </x:font>
    <x:font>
      <x:sz val="10"/>
      <x:name val="Arial"/>
    </x:font>
    <x:font>
      <x:sz val="16"/>
      <x:name val="Arial"/>
    </x:font>
    <x:font>
      <x:b/>
      <x:sz val="10"/>
      <x:color rgb="FFFFFFFF"/>
      <x:name val="Arial"/>
    </x:font>
    <x:font>
      <x:b/>
      <x:sz val="14"/>
      <x:name val="Arial"/>
      <x:family val="2"/>
    </x:font>
    <x:font>
      <x:b/>
      <x:sz val="10"/>
      <x:name val="Arial"/>
      <x:family val="2"/>
    </x:font>
    <x:font>
      <x:b/>
      <x:sz val="10"/>
      <x:color rgb="FFFFFFFF"/>
      <x:name val="Arial"/>
      <x:family val="2"/>
    </x:font>
    <x:font>
      <x:i/>
      <x:sz val="10"/>
      <x:name val="Arial"/>
      <x:family val="2"/>
    </x:font>
    <x:font>
      <x:sz val="10"/>
      <x:color rgb="FF0000FF"/>
      <x:name val="Arial"/>
      <x:family val="2"/>
    </x:font>
  </x:fonts>
  <x:fills count="9">
    <x:fill>
      <x:patternFill patternType="none"/>
    </x:fill>
    <x:fill>
      <x:patternFill patternType="gray125"/>
    </x:fill>
    <x:fill>
      <x:patternFill patternType="solid">
        <x:fgColor rgb="FF253B35"/>
      </x:patternFill>
    </x:fill>
    <x:fill>
      <x:patternFill patternType="solid">
        <x:fgColor rgb="FFFFF2CC"/>
      </x:patternFill>
    </x:fill>
    <x:fill>
      <x:patternFill patternType="solid">
        <x:fgColor rgb="FFEAF0E3"/>
      </x:patternFill>
    </x:fill>
    <x:fill>
      <x:patternFill patternType="solid">
        <x:fgColor rgb="FF253B35"/>
      </x:patternFill>
    </x:fill>
    <x:fill>
      <x:patternFill patternType="solid">
        <x:fgColor rgb="FFFFF2CC"/>
      </x:patternFill>
    </x:fill>
    <x:fill>
      <x:patternFill patternType="solid">
        <x:fgColor rgb="FFFFF2CC"/>
      </x:patternFill>
    </x:fill>
    <x:fill>
      <x:patternFill patternType="solid">
        <x:fgColor rgb="FFEAF0E3"/>
      </x:patternFill>
    </x:fill>
  </x:fills>
  <x:borders count="2">
    <x:border>
      <x:left/>
      <x:right/>
      <x:top/>
      <x:bottom/>
      <x:diagonal/>
    </x:border>
    <x:border>
      <x:left style="thin">
        <x:color rgb="FFD3DCD9"/>
      </x:left>
      <x:right style="thin">
        <x:color rgb="FFD3DCD9"/>
      </x:right>
      <x:top style="thin">
        <x:color rgb="FFD3DCD9"/>
      </x:top>
      <x:bottom style="thin">
        <x:color rgb="FFD3DCD9"/>
      </x:bottom>
      <x:diagonal/>
    </x:border>
  </x:borders>
  <x:cellStyleXfs count="1">
    <x:xf numFmtId="0" fontId="0" fillId="0" borderId="0"/>
  </x:cellStyleXfs>
  <x:cellXfs count="47">
    <x:xf numFmtId="0" fontId="0" fillId="0" borderId="0" xfId="0"/>
    <x:xf numFmtId="0" fontId="1" fillId="0" borderId="0" xfId="0" applyFont="1" applyAlignment="1">
      <x:alignment vertical="center"/>
    </x:xf>
    <x:xf numFmtId="0" fontId="2" fillId="0" borderId="0" xfId="0" applyFont="1" applyAlignment="1">
      <x:alignment vertical="center"/>
    </x:xf>
    <x:xf numFmtId="0" fontId="3" fillId="2" borderId="0" xfId="0" applyFont="1" applyFill="1" applyAlignment="1">
      <x:alignment vertical="center" wrapText="1"/>
    </x:xf>
    <x:xf numFmtId="0" fontId="1" fillId="0" borderId="0" xfId="0" applyFont="1" applyAlignment="1">
      <x:alignment vertical="center" wrapText="1"/>
    </x:xf>
    <x:xf numFmtId="164" fontId="1" fillId="0" borderId="0" xfId="0" applyNumberFormat="1" applyFont="1" applyAlignment="1">
      <x:alignment vertical="center"/>
    </x:xf>
    <x:xf numFmtId="2" fontId="1" fillId="0" borderId="0" xfId="0" applyNumberFormat="1" applyFont="1" applyAlignment="1">
      <x:alignment vertical="center"/>
    </x:xf>
    <x:xf numFmtId="0" fontId="1" fillId="3" borderId="0" xfId="0" applyFont="1" applyFill="1" applyAlignment="1">
      <x:alignment vertical="center"/>
    </x:xf>
    <x:xf numFmtId="165" fontId="1" fillId="0" borderId="0" xfId="0" applyNumberFormat="1" applyFont="1" applyAlignment="1">
      <x:alignment vertical="center"/>
    </x:xf>
    <x:xf numFmtId="166" fontId="1" fillId="0" borderId="0" xfId="0" applyNumberFormat="1" applyFont="1" applyAlignment="1">
      <x:alignment vertical="center"/>
    </x:xf>
    <x:xf numFmtId="0" fontId="1" fillId="4" borderId="0" xfId="0" applyFont="1" applyFill="1" applyAlignment="1">
      <x:alignment vertical="center"/>
    </x:xf>
    <x:xf numFmtId="166" fontId="1" fillId="4" borderId="0" xfId="0" applyNumberFormat="1" applyFont="1" applyFill="1" applyAlignment="1">
      <x:alignment vertical="center"/>
    </x:xf>
    <x:xf numFmtId="0" fontId="1" fillId="4" borderId="0" xfId="0" applyFont="1" applyFill="1" applyAlignment="1">
      <x:alignment vertical="center" wrapText="1"/>
    </x:xf>
    <x:xf numFmtId="49" fontId="1" fillId="0" borderId="0" xfId="0" applyNumberFormat="1" applyFont="1" applyAlignment="1">
      <x:alignment vertical="center"/>
    </x:xf>
    <x:xf numFmtId="49" fontId="1" fillId="0" borderId="0" xfId="0" applyNumberFormat="1" applyFont="1" applyAlignment="1">
      <x:alignment vertical="center" wrapText="1"/>
    </x:xf>
    <x:xf numFmtId="49" fontId="0" fillId="0" borderId="0" xfId="0" applyNumberFormat="1"/>
    <x:xf numFmtId="49" fontId="4" fillId="0" borderId="0" xfId="0" applyNumberFormat="1" applyFont="1"/>
    <x:xf numFmtId="49" fontId="5" fillId="0" borderId="0" xfId="0" applyNumberFormat="1" applyFont="1"/>
    <x:xf numFmtId="49" fontId="7" fillId="0" borderId="0" xfId="0" applyNumberFormat="1" applyFont="1"/>
    <x:xf numFmtId="49" fontId="5" fillId="6" borderId="0" xfId="0" applyNumberFormat="1" applyFont="1" applyFill="1"/>
    <x:xf numFmtId="49" fontId="6" fillId="5" borderId="1" xfId="0" applyNumberFormat="1" applyFont="1" applyFill="1" applyBorder="1" applyAlignment="1">
      <x:alignment vertical="center" wrapText="1"/>
    </x:xf>
    <x:xf numFmtId="0" fontId="0" fillId="0" borderId="1" xfId="0" applyBorder="1"/>
    <x:xf numFmtId="0" fontId="0" fillId="0" borderId="1" xfId="0" applyBorder="1" applyAlignment="1">
      <x:alignment horizontal="center"/>
    </x:xf>
    <x:xf numFmtId="0" fontId="0" fillId="0" borderId="1" xfId="0" applyBorder="1" applyAlignment="1">
      <x:alignment wrapText="1"/>
    </x:xf>
    <x:xf numFmtId="0" fontId="5" fillId="0" borderId="0" xfId="0" applyFont="1"/>
    <x:xf numFmtId="167" fontId="5" fillId="0" borderId="1" xfId="0" applyNumberFormat="1" applyFont="1" applyBorder="1"/>
    <x:xf numFmtId="2" fontId="5" fillId="0" borderId="0" xfId="0" applyNumberFormat="1" applyFont="1"/>
    <x:xf numFmtId="1" fontId="5" fillId="0" borderId="0" xfId="0" applyNumberFormat="1" applyFont="1"/>
    <x:xf numFmtId="1" fontId="5" fillId="6" borderId="0" xfId="0" applyNumberFormat="1" applyFont="1" applyFill="1"/>
    <x:xf numFmtId="1" fontId="0" fillId="0" borderId="0" xfId="0" applyNumberFormat="1"/>
    <x:xf numFmtId="2" fontId="0" fillId="0" borderId="0" xfId="0" applyNumberFormat="1"/>
    <x:xf numFmtId="2" fontId="0" fillId="6" borderId="0" xfId="0" applyNumberFormat="1" applyFill="1"/>
    <x:xf numFmtId="9" fontId="0" fillId="6" borderId="0" xfId="0" applyNumberFormat="1" applyFill="1"/>
    <x:xf numFmtId="49" fontId="0" fillId="0" borderId="0" xfId="0" applyNumberFormat="1" applyAlignment="1"/>
    <x:xf numFmtId="0" fontId="1" fillId="0" borderId="0" xfId="0" applyNumberFormat="1" applyFont="1" applyFill="1" applyBorder="1" applyAlignment="1">
      <x:alignment vertical="center" wrapText="1"/>
    </x:xf>
    <x:xf numFmtId="200" fontId="5" fillId="0" borderId="1" xfId="0" applyNumberFormat="1" applyFont="1" applyFill="1" applyBorder="1"/>
    <x:xf numFmtId="0" fontId="0" fillId="0" borderId="1" xfId="0" applyNumberFormat="1" applyFont="1" applyFill="1" applyBorder="1" applyAlignment="1">
      <x:alignment wrapText="1"/>
    </x:xf>
    <x:xf numFmtId="0" fontId="0" fillId="7" borderId="0" xfId="0" applyNumberFormat="1" applyFont="1" applyFill="1" applyBorder="1"/>
    <x:xf numFmtId="0" fontId="8" fillId="7" borderId="0" xfId="0" applyNumberFormat="1" applyFont="1" applyFill="1" applyBorder="1"/>
    <x:xf numFmtId="200" fontId="8" fillId="7" borderId="0" xfId="0" applyNumberFormat="1" applyFont="1" applyFill="1" applyBorder="1"/>
    <x:xf numFmtId="200" fontId="0" fillId="0" borderId="0" xfId="0" applyNumberFormat="1" applyFont="1" applyFill="1" applyBorder="1"/>
    <x:xf numFmtId="0" fontId="0" fillId="8" borderId="0" xfId="0" applyNumberFormat="1" applyFont="1" applyFill="1" applyBorder="1"/>
    <x:xf numFmtId="200" fontId="0" fillId="8" borderId="0" xfId="0" applyNumberFormat="1" applyFont="1" applyFill="1" applyBorder="1"/>
    <x:xf numFmtId="0" fontId="5" fillId="8" borderId="0" xfId="0" applyNumberFormat="1" applyFont="1" applyFill="1" applyBorder="1"/>
    <x:xf numFmtId="200" fontId="5" fillId="8" borderId="0" xfId="0" applyNumberFormat="1" applyFont="1" applyFill="1" applyBorder="1"/>
    <x:xf numFmtId="49" fontId="7" fillId="0"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EAF0E3"/>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253B35"/>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0e9f3ac9ff34d1d" /><Relationship Type="http://schemas.openxmlformats.org/officeDocument/2006/relationships/theme" Target="/xl/theme/theme1.xml" Id="Rd187b52f987945b8" /><Relationship Type="http://schemas.openxmlformats.org/officeDocument/2006/relationships/sharedStrings" Target="/xl/sharedStrings.xml" Id="R53464c6044e2486f" /><Relationship Type="http://schemas.openxmlformats.org/officeDocument/2006/relationships/worksheet" Target="/xl/worksheets/sheet1.xml" Id="R53b508d3f59a424f" /><Relationship Type="http://schemas.openxmlformats.org/officeDocument/2006/relationships/worksheet" Target="/xl/worksheets/sheet2.xml" Id="Raabecbe2a71c4edb" /><Relationship Type="http://schemas.openxmlformats.org/officeDocument/2006/relationships/worksheet" Target="/xl/worksheets/sheet3.xml" Id="Rd0c86bfecf2d427e" /><Relationship Type="http://schemas.openxmlformats.org/officeDocument/2006/relationships/worksheet" Target="/xl/worksheets/sheet4.xml" Id="R3bbd31c8fa3f4138" /><Relationship Type="http://schemas.openxmlformats.org/officeDocument/2006/relationships/worksheet" Target="/xl/worksheets/sheet5.xml" Id="R8fdd4be8ff9a4ad7" /></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baseColWidth="10" defaultColWidth="8.6640625" defaultRowHeight="13.199999809265137"/>
  <x:cols>
    <x:col min="1" max="1" width="10" customWidth="1"/>
    <x:col min="2" max="2" width="12" customWidth="1"/>
    <x:col min="3" max="3" width="32" customWidth="1"/>
    <x:col min="4" max="4" width="8" customWidth="1"/>
    <x:col min="5" max="6" width="13" customWidth="1"/>
    <x:col min="7" max="8" width="12" customWidth="1"/>
    <x:col min="9" max="12" width="11" customWidth="1"/>
    <x:col min="13" max="14" width="14" customWidth="1"/>
    <x:col min="15" max="15" width="24" customWidth="1"/>
    <x:col min="16" max="16" width="85" customWidth="1"/>
  </x:cols>
  <x:sheetData>
    <x:row r="1" ht="15" customHeight="1">
      <x:c r="A1" s="1"/>
      <x:c r="B1" s="1"/>
      <x:c r="C1" s="1"/>
      <x:c r="D1" s="1"/>
      <x:c r="E1" s="1"/>
      <x:c r="F1" s="1"/>
      <x:c r="G1" s="1"/>
      <x:c r="H1" s="1"/>
      <x:c r="I1" s="1"/>
      <x:c r="J1" s="1"/>
      <x:c r="K1" s="1"/>
      <x:c r="L1" s="1"/>
      <x:c r="M1" s="1"/>
      <x:c r="N1" s="1"/>
      <x:c r="O1" s="1"/>
      <x:c r="P1" s="1"/>
    </x:row>
    <x:row r="2" ht="19.5" customHeight="1">
      <x:c r="A2" s="2" t="s">
        <x:v>0</x:v>
      </x:c>
      <x:c r="B2" s="1"/>
      <x:c r="C2" s="1"/>
      <x:c r="D2" s="1"/>
      <x:c r="E2" s="1"/>
      <x:c r="F2" s="1"/>
      <x:c r="G2" s="1"/>
      <x:c r="H2" s="1"/>
      <x:c r="I2" s="1"/>
      <x:c r="J2" s="1"/>
      <x:c r="K2" s="1"/>
      <x:c r="L2" s="1"/>
      <x:c r="M2" s="1"/>
      <x:c r="N2" s="1"/>
      <x:c r="O2" s="1"/>
      <x:c r="P2" s="1"/>
    </x:row>
    <x:row r="3" ht="15" customHeight="1">
      <x:c r="A3" s="1" t="s">
        <x:v>1</x:v>
      </x:c>
      <x:c r="B3" s="1"/>
      <x:c r="C3" s="1"/>
      <x:c r="D3" s="1"/>
      <x:c r="E3" s="1"/>
      <x:c r="F3" s="1"/>
      <x:c r="G3" s="1"/>
      <x:c r="H3" s="1"/>
      <x:c r="I3" s="1"/>
      <x:c r="J3" s="1"/>
      <x:c r="K3" s="1"/>
      <x:c r="L3" s="1"/>
      <x:c r="M3" s="1"/>
      <x:c r="N3" s="1"/>
      <x:c r="O3" s="1"/>
      <x:c r="P3" s="1"/>
    </x:row>
    <x:row r="4" ht="15" customHeight="1">
      <x:c r="A4" s="1" t="s">
        <x:v>2</x:v>
      </x:c>
      <x:c r="B4" s="1"/>
      <x:c r="C4" s="1"/>
      <x:c r="D4" s="1"/>
      <x:c r="E4" s="1"/>
      <x:c r="F4" s="1"/>
      <x:c r="G4" s="1"/>
      <x:c r="H4" s="1"/>
      <x:c r="I4" s="1"/>
      <x:c r="J4" s="1"/>
      <x:c r="K4" s="1"/>
      <x:c r="L4" s="1"/>
      <x:c r="M4" s="1"/>
      <x:c r="N4" s="1"/>
      <x:c r="O4" s="1"/>
      <x:c r="P4" s="1"/>
    </x:row>
    <x:row r="5" ht="15" customHeight="1">
      <x:c r="A5" s="1"/>
      <x:c r="B5" s="1"/>
      <x:c r="C5" s="1"/>
      <x:c r="D5" s="1"/>
      <x:c r="E5" s="1"/>
      <x:c r="F5" s="1"/>
      <x:c r="G5" s="1"/>
      <x:c r="H5" s="1"/>
      <x:c r="I5" s="1"/>
      <x:c r="J5" s="1"/>
      <x:c r="K5" s="1"/>
      <x:c r="L5" s="1"/>
      <x:c r="M5" s="1"/>
      <x:c r="N5" s="1"/>
      <x:c r="O5" s="1"/>
      <x:c r="P5" s="1"/>
    </x:row>
    <x:row r="6" ht="42" customHeight="1">
      <x:c r="A6" s="3" t="s">
        <x:v>3</x:v>
      </x:c>
      <x:c r="B6" s="3" t="s">
        <x:v>4</x:v>
      </x:c>
      <x:c r="C6" s="3" t="s">
        <x:v>5</x:v>
      </x:c>
      <x:c r="D6" s="3" t="s">
        <x:v>6</x:v>
      </x:c>
      <x:c r="E6" s="3" t="s">
        <x:v>7</x:v>
      </x:c>
      <x:c r="F6" s="3" t="s">
        <x:v>8</x:v>
      </x:c>
      <x:c r="G6" s="3" t="s">
        <x:v>9</x:v>
      </x:c>
      <x:c r="H6" s="3" t="s">
        <x:v>10</x:v>
      </x:c>
      <x:c r="I6" s="3" t="s">
        <x:v>11</x:v>
      </x:c>
      <x:c r="J6" s="3" t="s">
        <x:v>12</x:v>
      </x:c>
      <x:c r="K6" s="3" t="s">
        <x:v>13</x:v>
      </x:c>
      <x:c r="L6" s="3" t="s">
        <x:v>14</x:v>
      </x:c>
      <x:c r="M6" s="3" t="s">
        <x:v>15</x:v>
      </x:c>
      <x:c r="N6" s="3" t="s">
        <x:v>16</x:v>
      </x:c>
      <x:c r="O6" s="3" t="s">
        <x:v>17</x:v>
      </x:c>
      <x:c r="P6" s="3" t="s">
        <x:v>18</x:v>
      </x:c>
    </x:row>
    <x:row r="7" ht="54" customHeight="1">
      <x:c r="A7" s="1" t="s">
        <x:v>19</x:v>
      </x:c>
      <x:c r="B7" s="1" t="s">
        <x:v>20</x:v>
      </x:c>
      <x:c r="C7" s="4" t="s">
        <x:v>21</x:v>
      </x:c>
      <x:c r="D7" s="1">
        <x:v>2</x:v>
      </x:c>
      <x:c r="E7" s="1">
        <x:v>2280</x:v>
      </x:c>
      <x:c r="F7" s="1">
        <x:v>560</x:v>
      </x:c>
      <x:c r="G7" s="1">
        <x:v>15</x:v>
      </x:c>
      <x:c r="H7" s="5" t="n">
        <x:f t="shared" ref="H7:H30" si="0">D7*E7*F7/1000000</x:f>
        <x:v>2.5536</x:v>
      </x:c>
      <x:c r="I7" s="13" t="s">
        <x:v>22</x:v>
      </x:c>
      <x:c r="J7" s="13" t="s">
        <x:v>23</x:v>
      </x:c>
      <x:c r="K7" s="13" t="s">
        <x:v>24</x:v>
      </x:c>
      <x:c r="L7" s="13" t="s">
        <x:v>24</x:v>
      </x:c>
      <x:c r="M7" s="6" t="n">
        <x:f t="shared" ref="M7:M30" si="1">E7-IF(K7="2",2,IF(K7="0.45",0.45,0))-IF(L7="2",2,IF(L7="0.45",0.45,0))</x:f>
        <x:v>2279.1000000000004</x:v>
      </x:c>
      <x:c r="N7" s="6" t="n">
        <x:f t="shared" ref="N7:N30" si="2">F7-IF(I7="2",2,IF(I7="0.45",0.45,0))-IF(J7="2",2,IF(J7="0.45",0.45,0))</x:f>
        <x:v>558</x:v>
      </x:c>
      <x:c r="O7" s="7" t="s">
        <x:v>25</x:v>
      </x:c>
      <x:c r="P7" s="4" t="s">
        <x:v>26</x:v>
      </x:c>
    </x:row>
    <x:row r="8" ht="54" customHeight="1">
      <x:c r="A8" s="1" t="s">
        <x:v>27</x:v>
      </x:c>
      <x:c r="B8" s="1" t="s">
        <x:v>20</x:v>
      </x:c>
      <x:c r="C8" s="4" t="s">
        <x:v>28</x:v>
      </x:c>
      <x:c r="D8" s="1">
        <x:v>1</x:v>
      </x:c>
      <x:c r="E8" s="1">
        <x:v>2280</x:v>
      </x:c>
      <x:c r="F8" s="1">
        <x:v>490</x:v>
      </x:c>
      <x:c r="G8" s="1">
        <x:v>15</x:v>
      </x:c>
      <x:c r="H8" s="5">
        <x:f t="shared" si="0"/>
        <x:v>1.1172</x:v>
      </x:c>
      <x:c r="I8" s="13" t="s">
        <x:v>22</x:v>
      </x:c>
      <x:c r="J8" s="13" t="s">
        <x:v>23</x:v>
      </x:c>
      <x:c r="K8" s="13" t="s">
        <x:v>24</x:v>
      </x:c>
      <x:c r="L8" s="13" t="s">
        <x:v>23</x:v>
      </x:c>
      <x:c r="M8" s="6">
        <x:f t="shared" si="1"/>
        <x:v>2279.5500000000002</x:v>
      </x:c>
      <x:c r="N8" s="6">
        <x:f t="shared" si="2"/>
        <x:v>488</x:v>
      </x:c>
      <x:c r="O8" s="7" t="s">
        <x:v>25</x:v>
      </x:c>
      <x:c r="P8" s="4" t="s">
        <x:v>29</x:v>
      </x:c>
    </x:row>
    <x:row r="9" ht="54" customHeight="1">
      <x:c r="A9" s="1" t="s">
        <x:v>30</x:v>
      </x:c>
      <x:c r="B9" s="1" t="s">
        <x:v>31</x:v>
      </x:c>
      <x:c r="C9" s="4" t="s">
        <x:v>32</x:v>
      </x:c>
      <x:c r="D9" s="1">
        <x:v>1</x:v>
      </x:c>
      <x:c r="E9" s="1">
        <x:v>830</x:v>
      </x:c>
      <x:c r="F9" s="1">
        <x:v>560</x:v>
      </x:c>
      <x:c r="G9" s="1">
        <x:v>15</x:v>
      </x:c>
      <x:c r="H9" s="5">
        <x:f t="shared" si="0"/>
        <x:v>0.46479999999999999</x:v>
      </x:c>
      <x:c r="I9" s="13" t="s">
        <x:v>22</x:v>
      </x:c>
      <x:c r="J9" s="13" t="s">
        <x:v>23</x:v>
      </x:c>
      <x:c r="K9" s="13" t="s">
        <x:v>24</x:v>
      </x:c>
      <x:c r="L9" s="13" t="s">
        <x:v>23</x:v>
      </x:c>
      <x:c r="M9" s="6">
        <x:f t="shared" si="1"/>
        <x:v>829.55</x:v>
      </x:c>
      <x:c r="N9" s="6">
        <x:f t="shared" si="2"/>
        <x:v>558</x:v>
      </x:c>
      <x:c r="O9" s="7" t="s">
        <x:v>25</x:v>
      </x:c>
      <x:c r="P9" s="4" t="s">
        <x:v>33</x:v>
      </x:c>
    </x:row>
    <x:row r="10" ht="54" customHeight="1">
      <x:c r="A10" s="1" t="s">
        <x:v>34</x:v>
      </x:c>
      <x:c r="B10" s="1" t="s">
        <x:v>31</x:v>
      </x:c>
      <x:c r="C10" s="4" t="s">
        <x:v>35</x:v>
      </x:c>
      <x:c r="D10" s="1">
        <x:v>1</x:v>
      </x:c>
      <x:c r="E10" s="1">
        <x:v>830</x:v>
      </x:c>
      <x:c r="F10" s="1">
        <x:v>505</x:v>
      </x:c>
      <x:c r="G10" s="1">
        <x:v>15</x:v>
      </x:c>
      <x:c r="H10" s="5">
        <x:f t="shared" si="0"/>
        <x:v>0.41915000000000002</x:v>
      </x:c>
      <x:c r="I10" s="13" t="s">
        <x:v>24</x:v>
      </x:c>
      <x:c r="J10" s="13" t="s">
        <x:v>23</x:v>
      </x:c>
      <x:c r="K10" s="13" t="s">
        <x:v>23</x:v>
      </x:c>
      <x:c r="L10" s="13" t="s">
        <x:v>23</x:v>
      </x:c>
      <x:c r="M10" s="6">
        <x:f t="shared" si="1"/>
        <x:v>830</x:v>
      </x:c>
      <x:c r="N10" s="6">
        <x:f t="shared" si="2"/>
        <x:v>504.55</x:v>
      </x:c>
      <x:c r="O10" s="7" t="s">
        <x:v>25</x:v>
      </x:c>
      <x:c r="P10" s="4" t="s">
        <x:v>36</x:v>
      </x:c>
    </x:row>
    <x:row r="11" ht="54" customHeight="1">
      <x:c r="A11" s="1" t="s">
        <x:v>37</x:v>
      </x:c>
      <x:c r="B11" s="1" t="s">
        <x:v>31</x:v>
      </x:c>
      <x:c r="C11" s="4" t="s">
        <x:v>38</x:v>
      </x:c>
      <x:c r="D11" s="1">
        <x:v>1</x:v>
      </x:c>
      <x:c r="E11" s="1">
        <x:v>2250</x:v>
      </x:c>
      <x:c r="F11" s="1">
        <x:v>830</x:v>
      </x:c>
      <x:c r="G11" s="1">
        <x:v>15</x:v>
      </x:c>
      <x:c r="H11" s="5">
        <x:f t="shared" si="0"/>
        <x:v>1.8674999999999999</x:v>
      </x:c>
      <x:c r="I11" s="13" t="s">
        <x:v>23</x:v>
      </x:c>
      <x:c r="J11" s="13" t="s">
        <x:v>23</x:v>
      </x:c>
      <x:c r="K11" s="13" t="s">
        <x:v>23</x:v>
      </x:c>
      <x:c r="L11" s="13" t="s">
        <x:v>23</x:v>
      </x:c>
      <x:c r="M11" s="6">
        <x:f t="shared" si="1"/>
        <x:v>2250</x:v>
      </x:c>
      <x:c r="N11" s="6">
        <x:f t="shared" si="2"/>
        <x:v>830</x:v>
      </x:c>
      <x:c r="O11" s="7" t="s">
        <x:v>25</x:v>
      </x:c>
      <x:c r="P11" s="4" t="s">
        <x:v>39</x:v>
      </x:c>
    </x:row>
    <x:row r="12" ht="54" customHeight="1">
      <x:c r="A12" s="1" t="s">
        <x:v>40</x:v>
      </x:c>
      <x:c r="B12" s="1" t="s">
        <x:v>31</x:v>
      </x:c>
      <x:c r="C12" s="4" t="s">
        <x:v>41</x:v>
      </x:c>
      <x:c r="D12" s="1">
        <x:v>1</x:v>
      </x:c>
      <x:c r="E12" s="1">
        <x:v>830</x:v>
      </x:c>
      <x:c r="F12" s="1">
        <x:v>475</x:v>
      </x:c>
      <x:c r="G12" s="1">
        <x:v>15</x:v>
      </x:c>
      <x:c r="H12" s="5">
        <x:f t="shared" si="0"/>
        <x:v>0.39424999999999999</x:v>
      </x:c>
      <x:c r="I12" s="13" t="s">
        <x:v>22</x:v>
      </x:c>
      <x:c r="J12" s="13" t="s">
        <x:v>23</x:v>
      </x:c>
      <x:c r="K12" s="13" t="s">
        <x:v>23</x:v>
      </x:c>
      <x:c r="L12" s="13" t="s">
        <x:v>23</x:v>
      </x:c>
      <x:c r="M12" s="6">
        <x:f t="shared" si="1"/>
        <x:v>830</x:v>
      </x:c>
      <x:c r="N12" s="6">
        <x:f t="shared" si="2"/>
        <x:v>473</x:v>
      </x:c>
      <x:c r="O12" s="7" t="s">
        <x:v>25</x:v>
      </x:c>
      <x:c r="P12" s="4" t="s">
        <x:v>42</x:v>
      </x:c>
    </x:row>
    <x:row r="13" ht="54" customHeight="1">
      <x:c r="A13" s="1" t="s">
        <x:v>43</x:v>
      </x:c>
      <x:c r="B13" s="1" t="s">
        <x:v>31</x:v>
      </x:c>
      <x:c r="C13" s="4" t="s">
        <x:v>44</x:v>
      </x:c>
      <x:c r="D13" s="1">
        <x:v>1</x:v>
      </x:c>
      <x:c r="E13" s="1">
        <x:v>830</x:v>
      </x:c>
      <x:c r="F13" s="1">
        <x:v>80</x:v>
      </x:c>
      <x:c r="G13" s="1">
        <x:v>15</x:v>
      </x:c>
      <x:c r="H13" s="5">
        <x:f t="shared" si="0"/>
        <x:v>6.6400000000000001E-2</x:v>
      </x:c>
      <x:c r="I13" s="13" t="s">
        <x:v>24</x:v>
      </x:c>
      <x:c r="J13" s="13" t="s">
        <x:v>23</x:v>
      </x:c>
      <x:c r="K13" s="13" t="s">
        <x:v>23</x:v>
      </x:c>
      <x:c r="L13" s="13" t="s">
        <x:v>23</x:v>
      </x:c>
      <x:c r="M13" s="6">
        <x:f t="shared" si="1"/>
        <x:v>830</x:v>
      </x:c>
      <x:c r="N13" s="6">
        <x:f t="shared" si="2"/>
        <x:v>79.55</x:v>
      </x:c>
      <x:c r="O13" s="7" t="s">
        <x:v>25</x:v>
      </x:c>
      <x:c r="P13" s="4" t="s">
        <x:v>45</x:v>
      </x:c>
    </x:row>
    <x:row r="14" ht="54" customHeight="1">
      <x:c r="A14" s="1" t="s">
        <x:v>46</x:v>
      </x:c>
      <x:c r="B14" s="1" t="s">
        <x:v>31</x:v>
      </x:c>
      <x:c r="C14" s="4" t="s">
        <x:v>47</x:v>
      </x:c>
      <x:c r="D14" s="1">
        <x:v>1</x:v>
      </x:c>
      <x:c r="E14" s="1">
        <x:v>830</x:v>
      </x:c>
      <x:c r="F14" s="1">
        <x:v>100</x:v>
      </x:c>
      <x:c r="G14" s="1">
        <x:v>15</x:v>
      </x:c>
      <x:c r="H14" s="5">
        <x:f t="shared" si="0"/>
        <x:v>8.3000000000000004E-2</x:v>
      </x:c>
      <x:c r="I14" s="13" t="s">
        <x:v>24</x:v>
      </x:c>
      <x:c r="J14" s="13" t="s">
        <x:v>23</x:v>
      </x:c>
      <x:c r="K14" s="13" t="s">
        <x:v>23</x:v>
      </x:c>
      <x:c r="L14" s="13" t="s">
        <x:v>23</x:v>
      </x:c>
      <x:c r="M14" s="6">
        <x:f t="shared" si="1"/>
        <x:v>830</x:v>
      </x:c>
      <x:c r="N14" s="6">
        <x:f t="shared" si="2"/>
        <x:v>99.55</x:v>
      </x:c>
      <x:c r="O14" s="7" t="s">
        <x:v>25</x:v>
      </x:c>
      <x:c r="P14" s="4" t="s">
        <x:v>48</x:v>
      </x:c>
    </x:row>
    <x:row r="15" ht="54" customHeight="1">
      <x:c r="A15" s="1" t="s">
        <x:v>49</x:v>
      </x:c>
      <x:c r="B15" s="1" t="s">
        <x:v>50</x:v>
      </x:c>
      <x:c r="C15" s="4" t="s">
        <x:v>32</x:v>
      </x:c>
      <x:c r="D15" s="1">
        <x:v>1</x:v>
      </x:c>
      <x:c r="E15" s="1">
        <x:v>1075</x:v>
      </x:c>
      <x:c r="F15" s="1">
        <x:v>560</x:v>
      </x:c>
      <x:c r="G15" s="1">
        <x:v>15</x:v>
      </x:c>
      <x:c r="H15" s="5">
        <x:f t="shared" si="0"/>
        <x:v>0.60199999999999998</x:v>
      </x:c>
      <x:c r="I15" s="13" t="s">
        <x:v>22</x:v>
      </x:c>
      <x:c r="J15" s="13" t="s">
        <x:v>23</x:v>
      </x:c>
      <x:c r="K15" s="13" t="s">
        <x:v>24</x:v>
      </x:c>
      <x:c r="L15" s="13" t="s">
        <x:v>23</x:v>
      </x:c>
      <x:c r="M15" s="6">
        <x:f t="shared" si="1"/>
        <x:v>1074.55</x:v>
      </x:c>
      <x:c r="N15" s="6">
        <x:f t="shared" si="2"/>
        <x:v>558</x:v>
      </x:c>
      <x:c r="O15" s="7" t="s">
        <x:v>25</x:v>
      </x:c>
      <x:c r="P15" s="4" t="s">
        <x:v>33</x:v>
      </x:c>
    </x:row>
    <x:row r="16" ht="54" customHeight="1">
      <x:c r="A16" s="1" t="s">
        <x:v>51</x:v>
      </x:c>
      <x:c r="B16" s="1" t="s">
        <x:v>50</x:v>
      </x:c>
      <x:c r="C16" s="4" t="s">
        <x:v>35</x:v>
      </x:c>
      <x:c r="D16" s="1">
        <x:v>1</x:v>
      </x:c>
      <x:c r="E16" s="1">
        <x:v>1075</x:v>
      </x:c>
      <x:c r="F16" s="1">
        <x:v>505</x:v>
      </x:c>
      <x:c r="G16" s="1">
        <x:v>15</x:v>
      </x:c>
      <x:c r="H16" s="5">
        <x:f t="shared" si="0"/>
        <x:v>0.542875</x:v>
      </x:c>
      <x:c r="I16" s="13" t="s">
        <x:v>24</x:v>
      </x:c>
      <x:c r="J16" s="13" t="s">
        <x:v>23</x:v>
      </x:c>
      <x:c r="K16" s="13" t="s">
        <x:v>23</x:v>
      </x:c>
      <x:c r="L16" s="13" t="s">
        <x:v>23</x:v>
      </x:c>
      <x:c r="M16" s="6">
        <x:f t="shared" si="1"/>
        <x:v>1075</x:v>
      </x:c>
      <x:c r="N16" s="6">
        <x:f t="shared" si="2"/>
        <x:v>504.55</x:v>
      </x:c>
      <x:c r="O16" s="7" t="s">
        <x:v>25</x:v>
      </x:c>
      <x:c r="P16" s="4" t="s">
        <x:v>36</x:v>
      </x:c>
    </x:row>
    <x:row r="17" ht="54" customHeight="1">
      <x:c r="A17" s="1" t="s">
        <x:v>52</x:v>
      </x:c>
      <x:c r="B17" s="1" t="s">
        <x:v>50</x:v>
      </x:c>
      <x:c r="C17" s="4" t="s">
        <x:v>38</x:v>
      </x:c>
      <x:c r="D17" s="1">
        <x:v>1</x:v>
      </x:c>
      <x:c r="E17" s="1">
        <x:v>2250</x:v>
      </x:c>
      <x:c r="F17" s="1">
        <x:v>1075</x:v>
      </x:c>
      <x:c r="G17" s="1">
        <x:v>15</x:v>
      </x:c>
      <x:c r="H17" s="5">
        <x:f t="shared" si="0"/>
        <x:v>2.4187500000000002</x:v>
      </x:c>
      <x:c r="I17" s="13" t="s">
        <x:v>23</x:v>
      </x:c>
      <x:c r="J17" s="13" t="s">
        <x:v>23</x:v>
      </x:c>
      <x:c r="K17" s="13" t="s">
        <x:v>23</x:v>
      </x:c>
      <x:c r="L17" s="13" t="s">
        <x:v>23</x:v>
      </x:c>
      <x:c r="M17" s="6">
        <x:f t="shared" si="1"/>
        <x:v>2250</x:v>
      </x:c>
      <x:c r="N17" s="6">
        <x:f t="shared" si="2"/>
        <x:v>1075</x:v>
      </x:c>
      <x:c r="O17" s="7" t="s">
        <x:v>25</x:v>
      </x:c>
      <x:c r="P17" s="4" t="s">
        <x:v>39</x:v>
      </x:c>
    </x:row>
    <x:row r="18" ht="54" customHeight="1">
      <x:c r="A18" s="1" t="s">
        <x:v>53</x:v>
      </x:c>
      <x:c r="B18" s="1" t="s">
        <x:v>50</x:v>
      </x:c>
      <x:c r="C18" s="4" t="s">
        <x:v>41</x:v>
      </x:c>
      <x:c r="D18" s="1">
        <x:v>1</x:v>
      </x:c>
      <x:c r="E18" s="1">
        <x:v>1075</x:v>
      </x:c>
      <x:c r="F18" s="1">
        <x:v>475</x:v>
      </x:c>
      <x:c r="G18" s="1">
        <x:v>15</x:v>
      </x:c>
      <x:c r="H18" s="5">
        <x:f t="shared" si="0"/>
        <x:v>0.510625</x:v>
      </x:c>
      <x:c r="I18" s="13" t="s">
        <x:v>22</x:v>
      </x:c>
      <x:c r="J18" s="13" t="s">
        <x:v>23</x:v>
      </x:c>
      <x:c r="K18" s="13" t="s">
        <x:v>23</x:v>
      </x:c>
      <x:c r="L18" s="13" t="s">
        <x:v>23</x:v>
      </x:c>
      <x:c r="M18" s="6">
        <x:f t="shared" si="1"/>
        <x:v>1075</x:v>
      </x:c>
      <x:c r="N18" s="6">
        <x:f t="shared" si="2"/>
        <x:v>473</x:v>
      </x:c>
      <x:c r="O18" s="7" t="s">
        <x:v>25</x:v>
      </x:c>
      <x:c r="P18" s="4" t="s">
        <x:v>42</x:v>
      </x:c>
    </x:row>
    <x:row r="19" ht="54" customHeight="1">
      <x:c r="A19" s="1" t="s">
        <x:v>54</x:v>
      </x:c>
      <x:c r="B19" s="1" t="s">
        <x:v>50</x:v>
      </x:c>
      <x:c r="C19" s="4" t="s">
        <x:v>44</x:v>
      </x:c>
      <x:c r="D19" s="1">
        <x:v>1</x:v>
      </x:c>
      <x:c r="E19" s="1">
        <x:v>1075</x:v>
      </x:c>
      <x:c r="F19" s="1">
        <x:v>80</x:v>
      </x:c>
      <x:c r="G19" s="1">
        <x:v>15</x:v>
      </x:c>
      <x:c r="H19" s="5">
        <x:f t="shared" si="0"/>
        <x:v>8.5999999999999993E-2</x:v>
      </x:c>
      <x:c r="I19" s="13" t="s">
        <x:v>24</x:v>
      </x:c>
      <x:c r="J19" s="13" t="s">
        <x:v>23</x:v>
      </x:c>
      <x:c r="K19" s="13" t="s">
        <x:v>23</x:v>
      </x:c>
      <x:c r="L19" s="13" t="s">
        <x:v>23</x:v>
      </x:c>
      <x:c r="M19" s="6">
        <x:f t="shared" si="1"/>
        <x:v>1075</x:v>
      </x:c>
      <x:c r="N19" s="6">
        <x:f t="shared" si="2"/>
        <x:v>79.55</x:v>
      </x:c>
      <x:c r="O19" s="7" t="s">
        <x:v>25</x:v>
      </x:c>
      <x:c r="P19" s="4" t="s">
        <x:v>45</x:v>
      </x:c>
    </x:row>
    <x:row r="20" ht="54" customHeight="1">
      <x:c r="A20" s="1" t="s">
        <x:v>55</x:v>
      </x:c>
      <x:c r="B20" s="1" t="s">
        <x:v>50</x:v>
      </x:c>
      <x:c r="C20" s="4" t="s">
        <x:v>47</x:v>
      </x:c>
      <x:c r="D20" s="1">
        <x:v>1</x:v>
      </x:c>
      <x:c r="E20" s="1">
        <x:v>1075</x:v>
      </x:c>
      <x:c r="F20" s="1">
        <x:v>100</x:v>
      </x:c>
      <x:c r="G20" s="1">
        <x:v>15</x:v>
      </x:c>
      <x:c r="H20" s="5">
        <x:f t="shared" si="0"/>
        <x:v>0.1075</x:v>
      </x:c>
      <x:c r="I20" s="13" t="s">
        <x:v>24</x:v>
      </x:c>
      <x:c r="J20" s="13" t="s">
        <x:v>23</x:v>
      </x:c>
      <x:c r="K20" s="13" t="s">
        <x:v>23</x:v>
      </x:c>
      <x:c r="L20" s="13" t="s">
        <x:v>23</x:v>
      </x:c>
      <x:c r="M20" s="6">
        <x:f t="shared" si="1"/>
        <x:v>1075</x:v>
      </x:c>
      <x:c r="N20" s="6">
        <x:f t="shared" si="2"/>
        <x:v>99.55</x:v>
      </x:c>
      <x:c r="O20" s="7" t="s">
        <x:v>25</x:v>
      </x:c>
      <x:c r="P20" s="4" t="s">
        <x:v>48</x:v>
      </x:c>
    </x:row>
    <x:row r="21" ht="54" customHeight="1">
      <x:c r="A21" s="1" t="s">
        <x:v>56</x:v>
      </x:c>
      <x:c r="B21" s="1" t="s">
        <x:v>31</x:v>
      </x:c>
      <x:c r="C21" s="4" t="s">
        <x:v>57</x:v>
      </x:c>
      <x:c r="D21" s="1">
        <x:v>3</x:v>
      </x:c>
      <x:c r="E21" s="1">
        <x:v>824</x:v>
      </x:c>
      <x:c r="F21" s="1">
        <x:v>210</x:v>
      </x:c>
      <x:c r="G21" s="1">
        <x:v>15</x:v>
      </x:c>
      <x:c r="H21" s="5">
        <x:f t="shared" si="0"/>
        <x:v>0.51912000000000003</x:v>
      </x:c>
      <x:c r="I21" s="13" t="s">
        <x:v>22</x:v>
      </x:c>
      <x:c r="J21" s="13" t="s">
        <x:v>22</x:v>
      </x:c>
      <x:c r="K21" s="13" t="s">
        <x:v>22</x:v>
      </x:c>
      <x:c r="L21" s="13" t="s">
        <x:v>22</x:v>
      </x:c>
      <x:c r="M21" s="6">
        <x:f t="shared" si="1"/>
        <x:v>820</x:v>
      </x:c>
      <x:c r="N21" s="6">
        <x:f t="shared" si="2"/>
        <x:v>206</x:v>
      </x:c>
      <x:c r="O21" s="7" t="s">
        <x:v>25</x:v>
      </x:c>
      <x:c r="P21" s="4" t="s">
        <x:v>58</x:v>
      </x:c>
    </x:row>
    <x:row r="22" ht="54" customHeight="1">
      <x:c r="A22" s="1" t="s">
        <x:v>59</x:v>
      </x:c>
      <x:c r="B22" s="1" t="s">
        <x:v>31</x:v>
      </x:c>
      <x:c r="C22" s="4" t="s">
        <x:v>60</x:v>
      </x:c>
      <x:c r="D22" s="1">
        <x:v>6</x:v>
      </x:c>
      <x:c r="E22" s="1">
        <x:v>450</x:v>
      </x:c>
      <x:c r="F22" s="1">
        <x:v>155</x:v>
      </x:c>
      <x:c r="G22" s="1">
        <x:v>15</x:v>
      </x:c>
      <x:c r="H22" s="5">
        <x:f t="shared" si="0"/>
        <x:v>0.41849999999999998</x:v>
      </x:c>
      <x:c r="I22" s="13" t="s">
        <x:v>24</x:v>
      </x:c>
      <x:c r="J22" s="13" t="s">
        <x:v>23</x:v>
      </x:c>
      <x:c r="K22" s="13" t="s">
        <x:v>24</x:v>
      </x:c>
      <x:c r="L22" s="13" t="s">
        <x:v>23</x:v>
      </x:c>
      <x:c r="M22" s="6">
        <x:f t="shared" si="1"/>
        <x:v>449.55</x:v>
      </x:c>
      <x:c r="N22" s="6">
        <x:f t="shared" si="2"/>
        <x:v>154.55000000000001</x:v>
      </x:c>
      <x:c r="O22" s="7" t="s">
        <x:v>25</x:v>
      </x:c>
      <x:c r="P22" s="4" t="s">
        <x:v>33</x:v>
      </x:c>
    </x:row>
    <x:row r="23" ht="54" customHeight="1">
      <x:c r="A23" s="1" t="s">
        <x:v>61</x:v>
      </x:c>
      <x:c r="B23" s="1" t="s">
        <x:v>31</x:v>
      </x:c>
      <x:c r="C23" s="4" t="s">
        <x:v>62</x:v>
      </x:c>
      <x:c r="D23" s="1">
        <x:v>3</x:v>
      </x:c>
      <x:c r="E23" s="1">
        <x:v>803</x:v>
      </x:c>
      <x:c r="F23" s="1">
        <x:v>450</x:v>
      </x:c>
      <x:c r="G23" s="1">
        <x:v>15</x:v>
      </x:c>
      <x:c r="H23" s="5">
        <x:f t="shared" si="0"/>
        <x:v>1.08405</x:v>
      </x:c>
      <x:c r="I23" s="13" t="s">
        <x:v>24</x:v>
      </x:c>
      <x:c r="J23" s="13" t="s">
        <x:v>23</x:v>
      </x:c>
      <x:c r="K23" s="13" t="s">
        <x:v>24</x:v>
      </x:c>
      <x:c r="L23" s="13" t="s">
        <x:v>24</x:v>
      </x:c>
      <x:c r="M23" s="6">
        <x:f t="shared" si="1"/>
        <x:v>802.09999999999991</x:v>
      </x:c>
      <x:c r="N23" s="6">
        <x:f t="shared" si="2"/>
        <x:v>449.55</x:v>
      </x:c>
      <x:c r="O23" s="7" t="s">
        <x:v>25</x:v>
      </x:c>
      <x:c r="P23" s="4" t="s">
        <x:v>63</x:v>
      </x:c>
    </x:row>
    <x:row r="24" ht="54" customHeight="1">
      <x:c r="A24" s="1" t="s">
        <x:v>64</x:v>
      </x:c>
      <x:c r="B24" s="1" t="s">
        <x:v>31</x:v>
      </x:c>
      <x:c r="C24" s="4" t="s">
        <x:v>65</x:v>
      </x:c>
      <x:c r="D24" s="1">
        <x:v>6</x:v>
      </x:c>
      <x:c r="E24" s="1">
        <x:v>773</x:v>
      </x:c>
      <x:c r="F24" s="1">
        <x:v>155</x:v>
      </x:c>
      <x:c r="G24" s="1">
        <x:v>15</x:v>
      </x:c>
      <x:c r="H24" s="5">
        <x:f t="shared" si="0"/>
        <x:v>0.71889000000000003</x:v>
      </x:c>
      <x:c r="I24" s="13" t="s">
        <x:v>24</x:v>
      </x:c>
      <x:c r="J24" s="13" t="s">
        <x:v>23</x:v>
      </x:c>
      <x:c r="K24" s="13" t="s">
        <x:v>23</x:v>
      </x:c>
      <x:c r="L24" s="13" t="s">
        <x:v>23</x:v>
      </x:c>
      <x:c r="M24" s="6">
        <x:f t="shared" si="1"/>
        <x:v>773</x:v>
      </x:c>
      <x:c r="N24" s="6">
        <x:f t="shared" si="2"/>
        <x:v>154.55000000000001</x:v>
      </x:c>
      <x:c r="O24" s="7" t="s">
        <x:v>25</x:v>
      </x:c>
      <x:c r="P24" s="4" t="s">
        <x:v>33</x:v>
      </x:c>
    </x:row>
    <x:row r="25" ht="54" customHeight="1">
      <x:c r="A25" s="1" t="s">
        <x:v>66</x:v>
      </x:c>
      <x:c r="B25" s="1" t="s">
        <x:v>31</x:v>
      </x:c>
      <x:c r="C25" s="4" t="s">
        <x:v>67</x:v>
      </x:c>
      <x:c r="D25" s="1">
        <x:v>3</x:v>
      </x:c>
      <x:c r="E25" s="1">
        <x:v>803</x:v>
      </x:c>
      <x:c r="F25" s="1">
        <x:v>40</x:v>
      </x:c>
      <x:c r="G25" s="1">
        <x:v>15</x:v>
      </x:c>
      <x:c r="H25" s="5">
        <x:f t="shared" si="0"/>
        <x:v>9.6360000000000001E-2</x:v>
      </x:c>
      <x:c r="I25" s="13" t="s">
        <x:v>24</x:v>
      </x:c>
      <x:c r="J25" s="13" t="s">
        <x:v>23</x:v>
      </x:c>
      <x:c r="K25" s="13" t="s">
        <x:v>24</x:v>
      </x:c>
      <x:c r="L25" s="13" t="s">
        <x:v>24</x:v>
      </x:c>
      <x:c r="M25" s="6">
        <x:f t="shared" si="1"/>
        <x:v>802.09999999999991</x:v>
      </x:c>
      <x:c r="N25" s="6">
        <x:f t="shared" si="2"/>
        <x:v>39.549999999999997</x:v>
      </x:c>
      <x:c r="O25" s="7" t="s">
        <x:v>25</x:v>
      </x:c>
      <x:c r="P25" s="4" t="s">
        <x:v>68</x:v>
      </x:c>
    </x:row>
    <x:row r="26" ht="54" customHeight="1">
      <x:c r="A26" s="1" t="s">
        <x:v>69</x:v>
      </x:c>
      <x:c r="B26" s="1" t="s">
        <x:v>70</x:v>
      </x:c>
      <x:c r="C26" s="4" t="s">
        <x:v>71</x:v>
      </x:c>
      <x:c r="D26" s="1">
        <x:v>1</x:v>
      </x:c>
      <x:c r="E26" s="1">
        <x:v>1950</x:v>
      </x:c>
      <x:c r="F26" s="1">
        <x:v>92</x:v>
      </x:c>
      <x:c r="G26" s="1">
        <x:v>15</x:v>
      </x:c>
      <x:c r="H26" s="5">
        <x:f t="shared" si="0"/>
        <x:v>0.1794</x:v>
      </x:c>
      <x:c r="I26" s="13" t="s">
        <x:v>24</x:v>
      </x:c>
      <x:c r="J26" s="13" t="s">
        <x:v>24</x:v>
      </x:c>
      <x:c r="K26" s="13" t="s">
        <x:v>24</x:v>
      </x:c>
      <x:c r="L26" s="13" t="s">
        <x:v>24</x:v>
      </x:c>
      <x:c r="M26" s="6">
        <x:f t="shared" si="1"/>
        <x:v>1949.1</x:v>
      </x:c>
      <x:c r="N26" s="6">
        <x:f t="shared" si="2"/>
        <x:v>91.1</x:v>
      </x:c>
      <x:c r="O26" s="7" t="s">
        <x:v>25</x:v>
      </x:c>
      <x:c r="P26" s="4" t="s">
        <x:v>33</x:v>
      </x:c>
    </x:row>
    <x:row r="27" ht="54" customHeight="1">
      <x:c r="A27" s="1" t="s">
        <x:v>72</x:v>
      </x:c>
      <x:c r="B27" s="1" t="s">
        <x:v>70</x:v>
      </x:c>
      <x:c r="C27" s="4" t="s">
        <x:v>73</x:v>
      </x:c>
      <x:c r="D27" s="1">
        <x:v>1</x:v>
      </x:c>
      <x:c r="E27" s="1">
        <x:v>1950</x:v>
      </x:c>
      <x:c r="F27" s="1">
        <x:v>80</x:v>
      </x:c>
      <x:c r="G27" s="1">
        <x:v>15</x:v>
      </x:c>
      <x:c r="H27" s="5">
        <x:f t="shared" si="0"/>
        <x:v>0.156</x:v>
      </x:c>
      <x:c r="I27" s="13" t="s">
        <x:v>24</x:v>
      </x:c>
      <x:c r="J27" s="13" t="s">
        <x:v>24</x:v>
      </x:c>
      <x:c r="K27" s="13" t="s">
        <x:v>24</x:v>
      </x:c>
      <x:c r="L27" s="13" t="s">
        <x:v>24</x:v>
      </x:c>
      <x:c r="M27" s="6">
        <x:f t="shared" si="1"/>
        <x:v>1949.1</x:v>
      </x:c>
      <x:c r="N27" s="6">
        <x:f t="shared" si="2"/>
        <x:v>79.099999999999994</x:v>
      </x:c>
      <x:c r="O27" s="7" t="s">
        <x:v>25</x:v>
      </x:c>
      <x:c r="P27" s="4" t="s">
        <x:v>33</x:v>
      </x:c>
    </x:row>
    <x:row r="28" ht="54" customHeight="1">
      <x:c r="A28" s="1" t="s">
        <x:v>74</x:v>
      </x:c>
      <x:c r="B28" s="1" t="s">
        <x:v>70</x:v>
      </x:c>
      <x:c r="C28" s="4" t="s">
        <x:v>75</x:v>
      </x:c>
      <x:c r="D28" s="1">
        <x:v>3</x:v>
      </x:c>
      <x:c r="E28" s="1">
        <x:v>480</x:v>
      </x:c>
      <x:c r="F28" s="1">
        <x:v>80</x:v>
      </x:c>
      <x:c r="G28" s="1">
        <x:v>15</x:v>
      </x:c>
      <x:c r="H28" s="5">
        <x:f t="shared" si="0"/>
        <x:v>0.1152</x:v>
      </x:c>
      <x:c r="I28" s="13" t="s">
        <x:v>24</x:v>
      </x:c>
      <x:c r="J28" s="13" t="s">
        <x:v>24</x:v>
      </x:c>
      <x:c r="K28" s="13" t="s">
        <x:v>24</x:v>
      </x:c>
      <x:c r="L28" s="13" t="s">
        <x:v>24</x:v>
      </x:c>
      <x:c r="M28" s="6">
        <x:f t="shared" si="1"/>
        <x:v>479.1</x:v>
      </x:c>
      <x:c r="N28" s="6">
        <x:f t="shared" si="2"/>
        <x:v>79.099999999999994</x:v>
      </x:c>
      <x:c r="O28" s="7" t="s">
        <x:v>25</x:v>
      </x:c>
      <x:c r="P28" s="4" t="s">
        <x:v>33</x:v>
      </x:c>
    </x:row>
    <x:row r="29" ht="54" customHeight="1">
      <x:c r="A29" s="1" t="s">
        <x:v>76</x:v>
      </x:c>
      <x:c r="B29" s="1" t="s">
        <x:v>77</x:v>
      </x:c>
      <x:c r="C29" s="4" t="s">
        <x:v>78</x:v>
      </x:c>
      <x:c r="D29" s="1">
        <x:v>2</x:v>
      </x:c>
      <x:c r="E29" s="1">
        <x:v>2175</x:v>
      </x:c>
      <x:c r="F29" s="1">
        <x:v>975</x:v>
      </x:c>
      <x:c r="G29" s="1">
        <x:v>15</x:v>
      </x:c>
      <x:c r="H29" s="5">
        <x:f t="shared" si="0"/>
        <x:v>4.24125</x:v>
      </x:c>
      <x:c r="I29" s="13" t="s">
        <x:v>22</x:v>
      </x:c>
      <x:c r="J29" s="13" t="s">
        <x:v>22</x:v>
      </x:c>
      <x:c r="K29" s="13" t="s">
        <x:v>22</x:v>
      </x:c>
      <x:c r="L29" s="13" t="s">
        <x:v>22</x:v>
      </x:c>
      <x:c r="M29" s="6">
        <x:f t="shared" si="1"/>
        <x:v>2171</x:v>
      </x:c>
      <x:c r="N29" s="6">
        <x:f t="shared" si="2"/>
        <x:v>971</x:v>
      </x:c>
      <x:c r="O29" s="7" t="s">
        <x:v>79</x:v>
      </x:c>
      <x:c r="P29" s="4" t="s">
        <x:v>80</x:v>
      </x:c>
    </x:row>
    <x:row r="30" ht="54" customHeight="1">
      <x:c r="A30" s="1" t="s">
        <x:v>81</x:v>
      </x:c>
      <x:c r="B30" s="1" t="s">
        <x:v>20</x:v>
      </x:c>
      <x:c r="C30" s="4" t="s">
        <x:v>82</x:v>
      </x:c>
      <x:c r="D30" s="1">
        <x:v>1</x:v>
      </x:c>
      <x:c r="E30" s="1">
        <x:v>1950</x:v>
      </x:c>
      <x:c r="F30" s="1">
        <x:v>120</x:v>
      </x:c>
      <x:c r="G30" s="1">
        <x:v>15</x:v>
      </x:c>
      <x:c r="H30" s="5">
        <x:f t="shared" si="0"/>
        <x:v>0.23400000000000001</x:v>
      </x:c>
      <x:c r="I30" s="13" t="s">
        <x:v>22</x:v>
      </x:c>
      <x:c r="J30" s="13" t="s">
        <x:v>24</x:v>
      </x:c>
      <x:c r="K30" s="13" t="s">
        <x:v>22</x:v>
      </x:c>
      <x:c r="L30" s="13" t="s">
        <x:v>22</x:v>
      </x:c>
      <x:c r="M30" s="6">
        <x:f t="shared" si="1"/>
        <x:v>1946</x:v>
      </x:c>
      <x:c r="N30" s="6">
        <x:f t="shared" si="2"/>
        <x:v>117.55</x:v>
      </x:c>
      <x:c r="O30" s="7" t="s">
        <x:v>25</x:v>
      </x:c>
      <x:c r="P30" s="4" t="s">
        <x:v>83</x:v>
      </x:c>
    </x:row>
    <x:row r="31" ht="15" customHeight="1">
      <x:c r="A31" s="1"/>
      <x:c r="B31" s="1"/>
      <x:c r="C31" s="1"/>
      <x:c r="D31" s="1"/>
      <x:c r="E31" s="1"/>
      <x:c r="F31" s="1"/>
      <x:c r="G31" s="1"/>
      <x:c r="H31" s="5"/>
      <x:c r="I31" s="1"/>
      <x:c r="J31" s="1"/>
      <x:c r="K31" s="1"/>
      <x:c r="L31" s="1"/>
      <x:c r="M31" s="1"/>
      <x:c r="N31" s="1"/>
      <x:c r="O31" s="1"/>
      <x:c r="P31" s="1"/>
    </x:row>
    <x:row r="32" ht="15" customHeight="1">
      <x:c r="A32" s="1"/>
      <x:c r="B32" s="1"/>
      <x:c r="C32" s="1" t="s">
        <x:v>84</x:v>
      </x:c>
      <x:c r="D32" s="1" t="n">
        <x:f>SUM(D7:D30)</x:f>
        <x:v>44</x:v>
      </x:c>
      <x:c r="E32" s="1"/>
      <x:c r="F32" s="1"/>
      <x:c r="G32" s="1" t="s">
        <x:v>85</x:v>
      </x:c>
      <x:c r="H32" s="5" t="n">
        <x:f>SUM(H7:H30)</x:f>
        <x:v>18.99642</x:v>
      </x:c>
      <x:c r="I32" s="1"/>
      <x:c r="J32" s="1"/>
      <x:c r="K32" s="1"/>
      <x:c r="L32" s="1"/>
      <x:c r="M32" s="1"/>
      <x:c r="N32" s="1"/>
      <x:c r="O32" s="1"/>
      <x:c r="P32" s="1"/>
    </x:row>
    <x:row r="33" ht="15" customHeight="1">
      <x:c r="A33" s="1" t="s">
        <x:v>86</x:v>
      </x:c>
      <x:c r="B33" s="1"/>
      <x:c r="C33" s="1"/>
      <x:c r="D33" s="1"/>
      <x:c r="E33" s="1"/>
      <x:c r="F33" s="1"/>
      <x:c r="G33" s="1"/>
      <x:c r="H33" s="1"/>
      <x:c r="I33" s="1"/>
      <x:c r="J33" s="1"/>
      <x:c r="K33" s="1"/>
      <x:c r="L33" s="1"/>
      <x:c r="M33" s="1"/>
      <x:c r="N33" s="1"/>
      <x:c r="O33" s="1"/>
      <x:c r="P33" s="1"/>
    </x:row>
    <x:row r="34" ht="15" customHeight="1">
      <x:c r="A34" s="1"/>
      <x:c r="B34" s="1"/>
      <x:c r="C34" s="1"/>
      <x:c r="D34" s="1"/>
      <x:c r="E34" s="1"/>
      <x:c r="F34" s="1"/>
      <x:c r="G34" s="1"/>
      <x:c r="H34" s="1"/>
      <x:c r="I34" s="1"/>
      <x:c r="J34" s="1"/>
      <x:c r="K34" s="1"/>
      <x:c r="L34" s="1"/>
      <x:c r="M34" s="1"/>
      <x:c r="N34" s="1"/>
      <x:c r="O34" s="1"/>
      <x:c r="P34" s="1"/>
    </x:row>
  </x:sheetData>
  <x:pageMargins left="0.7" right="0.7" top="0.75" bottom="0.75" header="0.3" footer="0.3"/>
</x:worksheet>
</file>

<file path=xl/worksheets/sheet2.xml><?xml version="1.0" encoding="utf-8"?>
<x:worksheet xmlns:x="http://schemas.openxmlformats.org/spreadsheetml/2006/main">
  <x:sheetViews>
    <x:sheetView workbookViewId="0">
      <x:pane ySplit="6" topLeftCell="A7" activePane="bottomLeft" state="frozen"/>
    </x:sheetView>
  </x:sheetViews>
  <x:sheetFormatPr baseColWidth="10" defaultRowHeight="13.199999809265137"/>
  <x:cols>
    <x:col min="1" max="1" width="9.77734375" customWidth="1"/>
    <x:col min="2" max="2" width="22.77734375" customWidth="1"/>
    <x:col min="3" max="3" width="38.77734375" customWidth="1"/>
    <x:col min="4" max="4" width="24.77734375" customWidth="1"/>
    <x:col min="5" max="5" width="6.77734375" customWidth="1"/>
    <x:col min="6" max="7" width="11.77734375" customWidth="1"/>
    <x:col min="8" max="11" width="7.77734375" customWidth="1"/>
    <x:col min="12" max="12" width="11.77734375" customWidth="1"/>
    <x:col min="13" max="13" width="14.77734375" customWidth="1"/>
    <x:col min="14" max="14" width="46.77734375" customWidth="1"/>
    <x:col min="16" max="16" width="48.77734375" customWidth="1"/>
    <x:col min="17" max="17" width="8.77734375" customWidth="1"/>
    <x:col min="19" max="19" width="10.77734375" customWidth="1"/>
    <x:col min="20" max="20" width="60.77734375" customWidth="1"/>
  </x:cols>
  <x:sheetData>
    <x:row r="1">
      <x:c r="S1" s="15" t="s">
        <x:v>87</x:v>
      </x:c>
    </x:row>
    <x:row r="2" ht="17.399999618530273">
      <x:c r="A2" s="16" t="s">
        <x:v>88</x:v>
      </x:c>
      <x:c r="P2" s="18" t="s">
        <x:v>89</x:v>
      </x:c>
      <x:c r="Q2" s="19" t="str">
        <x:v>SÍ</x:v>
      </x:c>
      <x:c r="S2" s="15" t="s">
        <x:v>19</x:v>
      </x:c>
      <x:c r="T2" s="15" t="s">
        <x:v>90</x:v>
      </x:c>
    </x:row>
    <x:row r="3">
      <x:c r="A3" s="33" t="str">
        <x:v>Medidas en mm; largo en sentido de veta. R = rígido 2 mm · F = flexible 0,45 mm · — = sin canto. Se cantean únicamente los bordes indicados; orientar las piezas según el montaje.</x:v>
      </x:c>
      <x:c r="P3" s="18" t="str">
        <x:v>Dimensión menor mínima de tablero que admite la canteadora (mm)</x:v>
      </x:c>
      <x:c r="Q3" s="28">
        <x:v>100</x:v>
      </x:c>
      <x:c r="S3" s="15" t="s">
        <x:v>56</x:v>
      </x:c>
      <x:c r="T3" s="15" t="s">
        <x:v>91</x:v>
      </x:c>
    </x:row>
    <x:row r="4">
      <x:c r="A4" s="33" t="str">
        <x:v>Piezas pequeñas: clasificación según el tamaño del tablero antes de cantear. Si la máquina las rechaza, usar el corte indicado en Observaciones y cantear en el armado. Medidas de corte a 0,01 mm; el proveedor confirma tolerancias y límites Q2–Q4.</x:v>
      </x:c>
      <x:c r="P4" s="18" t="str">
        <x:v>Dimensión mayor mínima de tablero que admite la canteadora (mm)</x:v>
      </x:c>
      <x:c r="Q4" s="28">
        <x:v>250</x:v>
      </x:c>
      <x:c r="S4" s="15" t="s">
        <x:v>76</x:v>
      </x:c>
      <x:c r="T4" s="15" t="s">
        <x:v>92</x:v>
      </x:c>
    </x:row>
    <x:row r="5">
      <x:c r="P5" s="18" t="s">
        <x:v>93</x:v>
      </x:c>
    </x:row>
    <x:row r="6" ht="26.399999618530273">
      <x:c r="A6" s="20" t="s">
        <x:v>3</x:v>
      </x:c>
      <x:c r="B6" s="20" t="s">
        <x:v>94</x:v>
      </x:c>
      <x:c r="C6" s="20" t="s">
        <x:v>5</x:v>
      </x:c>
      <x:c r="D6" s="20" t="s">
        <x:v>95</x:v>
      </x:c>
      <x:c r="E6" s="20" t="s">
        <x:v>6</x:v>
      </x:c>
      <x:c r="F6" s="20" t="s">
        <x:v>96</x:v>
      </x:c>
      <x:c r="G6" s="20" t="s">
        <x:v>97</x:v>
      </x:c>
      <x:c r="H6" s="20" t="s">
        <x:v>98</x:v>
      </x:c>
      <x:c r="I6" s="20" t="s">
        <x:v>99</x:v>
      </x:c>
      <x:c r="J6" s="20" t="s">
        <x:v>100</x:v>
      </x:c>
      <x:c r="K6" s="20" t="s">
        <x:v>101</x:v>
      </x:c>
      <x:c r="L6" s="20" t="s">
        <x:v>102</x:v>
      </x:c>
      <x:c r="M6" s="20" t="s">
        <x:v>103</x:v>
      </x:c>
      <x:c r="N6" s="20" t="s">
        <x:v>104</x:v>
      </x:c>
    </x:row>
    <x:row r="7" ht="66">
      <x:c r="A7" s="21" t="str">
        <x:f>Despiece!A7</x:f>
        <x:v>C3-001</x:v>
      </x:c>
      <x:c r="B7" s="21" t="str">
        <x:f>Despiece!B7</x:f>
        <x:v>EST</x:v>
      </x:c>
      <x:c r="C7" s="21" t="str">
        <x:f>Despiece!C7</x:f>
        <x:v>Lateral exterior</x:v>
      </x:c>
      <x:c r="D7" s="21" t="str">
        <x:f>"RH15 Cartagena "&amp;Despiece!G7&amp;" mm"</x:f>
        <x:v>RH15 Cartagena 15 mm</x:v>
      </x:c>
      <x:c r="E7" s="21" t="n">
        <x:f>Despiece!D7</x:f>
        <x:v>2</x:v>
      </x:c>
      <x:c r="F7" s="35" t="n">
        <x:f>IF($Q$2="NO",ROUND(Despiece!M7,2),Despiece!E7)</x:f>
        <x:v>2280</x:v>
      </x:c>
      <x:c r="G7" s="35" t="n">
        <x:f>IF($Q$2="NO",ROUND(Despiece!N7,2),Despiece!F7)</x:f>
        <x:v>560</x:v>
      </x:c>
      <x:c r="H7" s="22" t="str">
        <x:f>IF(Despiece!I7="2","R",IF(Despiece!I7="0.45","F","—"))</x:f>
        <x:v>R</x:v>
      </x:c>
      <x:c r="I7" s="22" t="str">
        <x:f>IF(Despiece!J7="2","R",IF(Despiece!J7="0.45","F","—"))</x:f>
        <x:v>—</x:v>
      </x:c>
      <x:c r="J7" s="22" t="str">
        <x:f>IF(Despiece!K7="2","R",IF(Despiece!K7="0.45","F","—"))</x:f>
        <x:v>F</x:v>
      </x:c>
      <x:c r="K7" s="22" t="str">
        <x:f>IF(Despiece!L7="2","R",IF(Despiece!L7="0.45","F","—"))</x:f>
        <x:v>F</x:v>
      </x:c>
      <x:c r="L7" s="22" t="str">
        <x:f>IF(SUMPRODUCT((Despiece!I7:L7="2")+(Despiece!I7:L7="0.45"))=0,"Sin canto",IF(OR(MIN(Despiece!M7,Despiece!N7)&lt;$Q$3,MAX(Despiece!M7,Despiece!N7)&lt;$Q$4),"Pequeña","Normal"))</x:f>
        <x:v>Normal</x:v>
      </x:c>
      <x:c r="M7" s="21" t="str">
        <x:f>Despiece!E7&amp;" × "&amp;Despiece!F7</x:f>
        <x:v>2280 × 560</x:v>
      </x:c>
      <x:c r="N7" s="23" t="str">
        <x:f>IF(LEN(TRIM(IF($L7="Pequeña","Si no la cantean: cortar a "&amp;ROUND(Despiece!M7,2)&amp;" × "&amp;ROUND(Despiece!N7,2)&amp;" y cantear en el armado.","")&amp;" "&amp;IFERROR(VLOOKUP(Despiece!A7,$S$2:$T$40,2,FALSE),"")))=0,"—",TRIM(IF($L7="Pequeña","Si no la cantean: cortar a "&amp;ROUND(Despiece!M7,2)&amp;" × "&amp;ROUND(Despiece!N7,2)&amp;" y cantear en el armado.","")&amp;" "&amp;IFERROR(VLOOKUP(Despiece!A7,$S$2:$T$40,2,FALSE),"")))</x:f>
        <x:v>Rebaje superior para el listón de pino 4 × 4 en taller.</x:v>
      </x:c>
    </x:row>
    <x:row r="8">
      <x:c r="A8" s="21" t="str">
        <x:f>Despiece!A8</x:f>
        <x:v>C3-002</x:v>
      </x:c>
      <x:c r="B8" s="21" t="str">
        <x:f>Despiece!B8</x:f>
        <x:v>EST</x:v>
      </x:c>
      <x:c r="C8" s="21" t="str">
        <x:f>Despiece!C8</x:f>
        <x:v>Divisor central</x:v>
      </x:c>
      <x:c r="D8" s="21" t="str">
        <x:f>"RH15 Cartagena "&amp;Despiece!G8&amp;" mm"</x:f>
        <x:v>RH15 Cartagena 15 mm</x:v>
      </x:c>
      <x:c r="E8" s="21" t="n">
        <x:f>Despiece!D8</x:f>
        <x:v>1</x:v>
      </x:c>
      <x:c r="F8" s="35" t="n">
        <x:f>IF($Q$2="NO",ROUND(Despiece!M8,2),Despiece!E8)</x:f>
        <x:v>2280</x:v>
      </x:c>
      <x:c r="G8" s="35" t="n">
        <x:f>IF($Q$2="NO",ROUND(Despiece!N8,2),Despiece!F8)</x:f>
        <x:v>490</x:v>
      </x:c>
      <x:c r="H8" s="22" t="str">
        <x:f>IF(Despiece!I8="2","R",IF(Despiece!I8="0.45","F","—"))</x:f>
        <x:v>R</x:v>
      </x:c>
      <x:c r="I8" s="22" t="str">
        <x:f>IF(Despiece!J8="2","R",IF(Despiece!J8="0.45","F","—"))</x:f>
        <x:v>—</x:v>
      </x:c>
      <x:c r="J8" s="22" t="str">
        <x:f>IF(Despiece!K8="2","R",IF(Despiece!K8="0.45","F","—"))</x:f>
        <x:v>F</x:v>
      </x:c>
      <x:c r="K8" s="22" t="str">
        <x:f>IF(Despiece!L8="2","R",IF(Despiece!L8="0.45","F","—"))</x:f>
        <x:v>—</x:v>
      </x:c>
      <x:c r="L8" s="22" t="str">
        <x:f>IF(SUMPRODUCT((Despiece!I8:L8="2")+(Despiece!I8:L8="0.45"))=0,"Sin canto",IF(OR(MIN(Despiece!M8,Despiece!N8)&lt;$Q$3,MAX(Despiece!M8,Despiece!N8)&lt;$Q$4),"Pequeña","Normal"))</x:f>
        <x:v>Normal</x:v>
      </x:c>
      <x:c r="M8" s="21" t="str">
        <x:f>Despiece!E8&amp;" × "&amp;Despiece!F8</x:f>
        <x:v>2280 × 490</x:v>
      </x:c>
      <x:c r="N8" s="23" t="str">
        <x:f>IF(LEN(TRIM(IF($L8="Pequeña","Si no la cantean: cortar a "&amp;ROUND(Despiece!M8,2)&amp;" × "&amp;ROUND(Despiece!N8,2)&amp;" y cantear en el armado.","")&amp;" "&amp;IFERROR(VLOOKUP(Despiece!A8,$S$2:$T$40,2,FALSE),"")))=0,"—",TRIM(IF($L8="Pequeña","Si no la cantean: cortar a "&amp;ROUND(Despiece!M8,2)&amp;" × "&amp;ROUND(Despiece!N8,2)&amp;" y cantear en el armado.","")&amp;" "&amp;IFERROR(VLOOKUP(Despiece!A8,$S$2:$T$40,2,FALSE),"")))</x:f>
        <x:v>—</x:v>
      </x:c>
    </x:row>
    <x:row r="9">
      <x:c r="A9" s="21" t="str">
        <x:f>Despiece!A9</x:f>
        <x:v>C3-003</x:v>
      </x:c>
      <x:c r="B9" s="21" t="str">
        <x:f>Despiece!B9</x:f>
        <x:v>B1</x:v>
      </x:c>
      <x:c r="C9" s="21" t="str">
        <x:f>Despiece!C9</x:f>
        <x:v>Piso sobre base</x:v>
      </x:c>
      <x:c r="D9" s="21" t="str">
        <x:f>"RH15 Cartagena "&amp;Despiece!G9&amp;" mm"</x:f>
        <x:v>RH15 Cartagena 15 mm</x:v>
      </x:c>
      <x:c r="E9" s="21" t="n">
        <x:f>Despiece!D9</x:f>
        <x:v>1</x:v>
      </x:c>
      <x:c r="F9" s="35" t="n">
        <x:f>IF($Q$2="NO",ROUND(Despiece!M9,2),Despiece!E9)</x:f>
        <x:v>830</x:v>
      </x:c>
      <x:c r="G9" s="35" t="n">
        <x:f>IF($Q$2="NO",ROUND(Despiece!N9,2),Despiece!F9)</x:f>
        <x:v>560</x:v>
      </x:c>
      <x:c r="H9" s="22" t="str">
        <x:f>IF(Despiece!I9="2","R",IF(Despiece!I9="0.45","F","—"))</x:f>
        <x:v>R</x:v>
      </x:c>
      <x:c r="I9" s="22" t="str">
        <x:f>IF(Despiece!J9="2","R",IF(Despiece!J9="0.45","F","—"))</x:f>
        <x:v>—</x:v>
      </x:c>
      <x:c r="J9" s="22" t="str">
        <x:f>IF(Despiece!K9="2","R",IF(Despiece!K9="0.45","F","—"))</x:f>
        <x:v>F</x:v>
      </x:c>
      <x:c r="K9" s="22" t="str">
        <x:f>IF(Despiece!L9="2","R",IF(Despiece!L9="0.45","F","—"))</x:f>
        <x:v>—</x:v>
      </x:c>
      <x:c r="L9" s="22" t="str">
        <x:f>IF(SUMPRODUCT((Despiece!I9:L9="2")+(Despiece!I9:L9="0.45"))=0,"Sin canto",IF(OR(MIN(Despiece!M9,Despiece!N9)&lt;$Q$3,MAX(Despiece!M9,Despiece!N9)&lt;$Q$4),"Pequeña","Normal"))</x:f>
        <x:v>Normal</x:v>
      </x:c>
      <x:c r="M9" s="21" t="str">
        <x:f>Despiece!E9&amp;" × "&amp;Despiece!F9</x:f>
        <x:v>830 × 560</x:v>
      </x:c>
      <x:c r="N9" s="23" t="str">
        <x:f>IF(LEN(TRIM(IF($L9="Pequeña","Si no la cantean: cortar a "&amp;ROUND(Despiece!M9,2)&amp;" × "&amp;ROUND(Despiece!N9,2)&amp;" y cantear en el armado.","")&amp;" "&amp;IFERROR(VLOOKUP(Despiece!A9,$S$2:$T$40,2,FALSE),"")))=0,"—",TRIM(IF($L9="Pequeña","Si no la cantean: cortar a "&amp;ROUND(Despiece!M9,2)&amp;" × "&amp;ROUND(Despiece!N9,2)&amp;" y cantear en el armado.","")&amp;" "&amp;IFERROR(VLOOKUP(Despiece!A9,$S$2:$T$40,2,FALSE),"")))</x:f>
        <x:v>—</x:v>
      </x:c>
    </x:row>
    <x:row r="10">
      <x:c r="A10" s="21" t="str">
        <x:f>Despiece!A10</x:f>
        <x:v>C3-004</x:v>
      </x:c>
      <x:c r="B10" s="21" t="str">
        <x:f>Despiece!B10</x:f>
        <x:v>B1</x:v>
      </x:c>
      <x:c r="C10" s="21" t="str">
        <x:f>Despiece!C10</x:f>
        <x:v>Tapa superior</x:v>
      </x:c>
      <x:c r="D10" s="21" t="str">
        <x:f>"RH15 Cartagena "&amp;Despiece!G10&amp;" mm"</x:f>
        <x:v>RH15 Cartagena 15 mm</x:v>
      </x:c>
      <x:c r="E10" s="21" t="n">
        <x:f>Despiece!D10</x:f>
        <x:v>1</x:v>
      </x:c>
      <x:c r="F10" s="35" t="n">
        <x:f>IF($Q$2="NO",ROUND(Despiece!M10,2),Despiece!E10)</x:f>
        <x:v>830</x:v>
      </x:c>
      <x:c r="G10" s="35" t="n">
        <x:f>IF($Q$2="NO",ROUND(Despiece!N10,2),Despiece!F10)</x:f>
        <x:v>505</x:v>
      </x:c>
      <x:c r="H10" s="22" t="str">
        <x:f>IF(Despiece!I10="2","R",IF(Despiece!I10="0.45","F","—"))</x:f>
        <x:v>F</x:v>
      </x:c>
      <x:c r="I10" s="22" t="str">
        <x:f>IF(Despiece!J10="2","R",IF(Despiece!J10="0.45","F","—"))</x:f>
        <x:v>—</x:v>
      </x:c>
      <x:c r="J10" s="22" t="str">
        <x:f>IF(Despiece!K10="2","R",IF(Despiece!K10="0.45","F","—"))</x:f>
        <x:v>—</x:v>
      </x:c>
      <x:c r="K10" s="22" t="str">
        <x:f>IF(Despiece!L10="2","R",IF(Despiece!L10="0.45","F","—"))</x:f>
        <x:v>—</x:v>
      </x:c>
      <x:c r="L10" s="22" t="str">
        <x:f>IF(SUMPRODUCT((Despiece!I10:L10="2")+(Despiece!I10:L10="0.45"))=0,"Sin canto",IF(OR(MIN(Despiece!M10,Despiece!N10)&lt;$Q$3,MAX(Despiece!M10,Despiece!N10)&lt;$Q$4),"Pequeña","Normal"))</x:f>
        <x:v>Normal</x:v>
      </x:c>
      <x:c r="M10" s="21" t="str">
        <x:f>Despiece!E10&amp;" × "&amp;Despiece!F10</x:f>
        <x:v>830 × 505</x:v>
      </x:c>
      <x:c r="N10" s="23" t="str">
        <x:f>IF(LEN(TRIM(IF($L10="Pequeña","Si no la cantean: cortar a "&amp;ROUND(Despiece!M10,2)&amp;" × "&amp;ROUND(Despiece!N10,2)&amp;" y cantear en el armado.","")&amp;" "&amp;IFERROR(VLOOKUP(Despiece!A10,$S$2:$T$40,2,FALSE),"")))=0,"—",TRIM(IF($L10="Pequeña","Si no la cantean: cortar a "&amp;ROUND(Despiece!M10,2)&amp;" × "&amp;ROUND(Despiece!N10,2)&amp;" y cantear en el armado.","")&amp;" "&amp;IFERROR(VLOOKUP(Despiece!A10,$S$2:$T$40,2,FALSE),"")))</x:f>
        <x:v>—</x:v>
      </x:c>
    </x:row>
    <x:row r="11">
      <x:c r="A11" s="21" t="str">
        <x:f>Despiece!A11</x:f>
        <x:v>C3-005</x:v>
      </x:c>
      <x:c r="B11" s="21" t="str">
        <x:f>Despiece!B11</x:f>
        <x:v>B1</x:v>
      </x:c>
      <x:c r="C11" s="21" t="str">
        <x:f>Despiece!C11</x:f>
        <x:v>Fondo RH15</x:v>
      </x:c>
      <x:c r="D11" s="21" t="str">
        <x:f>"RH15 Cartagena "&amp;Despiece!G11&amp;" mm"</x:f>
        <x:v>RH15 Cartagena 15 mm</x:v>
      </x:c>
      <x:c r="E11" s="21" t="n">
        <x:f>Despiece!D11</x:f>
        <x:v>1</x:v>
      </x:c>
      <x:c r="F11" s="35" t="n">
        <x:f>IF($Q$2="NO",ROUND(Despiece!M11,2),Despiece!E11)</x:f>
        <x:v>2250</x:v>
      </x:c>
      <x:c r="G11" s="35" t="n">
        <x:f>IF($Q$2="NO",ROUND(Despiece!N11,2),Despiece!F11)</x:f>
        <x:v>830</x:v>
      </x:c>
      <x:c r="H11" s="22" t="str">
        <x:f>IF(Despiece!I11="2","R",IF(Despiece!I11="0.45","F","—"))</x:f>
        <x:v>—</x:v>
      </x:c>
      <x:c r="I11" s="22" t="str">
        <x:f>IF(Despiece!J11="2","R",IF(Despiece!J11="0.45","F","—"))</x:f>
        <x:v>—</x:v>
      </x:c>
      <x:c r="J11" s="22" t="str">
        <x:f>IF(Despiece!K11="2","R",IF(Despiece!K11="0.45","F","—"))</x:f>
        <x:v>—</x:v>
      </x:c>
      <x:c r="K11" s="22" t="str">
        <x:f>IF(Despiece!L11="2","R",IF(Despiece!L11="0.45","F","—"))</x:f>
        <x:v>—</x:v>
      </x:c>
      <x:c r="L11" s="22" t="str">
        <x:f>IF(SUMPRODUCT((Despiece!I11:L11="2")+(Despiece!I11:L11="0.45"))=0,"Sin canto",IF(OR(MIN(Despiece!M11,Despiece!N11)&lt;$Q$3,MAX(Despiece!M11,Despiece!N11)&lt;$Q$4),"Pequeña","Normal"))</x:f>
        <x:v>Sin canto</x:v>
      </x:c>
      <x:c r="M11" s="21" t="str">
        <x:f>Despiece!E11&amp;" × "&amp;Despiece!F11</x:f>
        <x:v>2250 × 830</x:v>
      </x:c>
      <x:c r="N11" s="23" t="str">
        <x:f>IF(LEN(TRIM(IF($L11="Pequeña","Si no la cantean: cortar a "&amp;ROUND(Despiece!M11,2)&amp;" × "&amp;ROUND(Despiece!N11,2)&amp;" y cantear en el armado.","")&amp;" "&amp;IFERROR(VLOOKUP(Despiece!A11,$S$2:$T$40,2,FALSE),"")))=0,"—",TRIM(IF($L11="Pequeña","Si no la cantean: cortar a "&amp;ROUND(Despiece!M11,2)&amp;" × "&amp;ROUND(Despiece!N11,2)&amp;" y cantear en el armado.","")&amp;" "&amp;IFERROR(VLOOKUP(Despiece!A11,$S$2:$T$40,2,FALSE),"")))</x:f>
        <x:v>—</x:v>
      </x:c>
    </x:row>
    <x:row r="12">
      <x:c r="A12" s="21" t="str">
        <x:f>Despiece!A12</x:f>
        <x:v>C3-006</x:v>
      </x:c>
      <x:c r="B12" s="21" t="str">
        <x:f>Despiece!B12</x:f>
        <x:v>B1</x:v>
      </x:c>
      <x:c r="C12" s="21" t="str">
        <x:f>Despiece!C12</x:f>
        <x:v>Piso de maletero</x:v>
      </x:c>
      <x:c r="D12" s="21" t="str">
        <x:f>"RH15 Cartagena "&amp;Despiece!G12&amp;" mm"</x:f>
        <x:v>RH15 Cartagena 15 mm</x:v>
      </x:c>
      <x:c r="E12" s="21" t="n">
        <x:f>Despiece!D12</x:f>
        <x:v>1</x:v>
      </x:c>
      <x:c r="F12" s="35" t="n">
        <x:f>IF($Q$2="NO",ROUND(Despiece!M12,2),Despiece!E12)</x:f>
        <x:v>830</x:v>
      </x:c>
      <x:c r="G12" s="35" t="n">
        <x:f>IF($Q$2="NO",ROUND(Despiece!N12,2),Despiece!F12)</x:f>
        <x:v>475</x:v>
      </x:c>
      <x:c r="H12" s="22" t="str">
        <x:f>IF(Despiece!I12="2","R",IF(Despiece!I12="0.45","F","—"))</x:f>
        <x:v>R</x:v>
      </x:c>
      <x:c r="I12" s="22" t="str">
        <x:f>IF(Despiece!J12="2","R",IF(Despiece!J12="0.45","F","—"))</x:f>
        <x:v>—</x:v>
      </x:c>
      <x:c r="J12" s="22" t="str">
        <x:f>IF(Despiece!K12="2","R",IF(Despiece!K12="0.45","F","—"))</x:f>
        <x:v>—</x:v>
      </x:c>
      <x:c r="K12" s="22" t="str">
        <x:f>IF(Despiece!L12="2","R",IF(Despiece!L12="0.45","F","—"))</x:f>
        <x:v>—</x:v>
      </x:c>
      <x:c r="L12" s="22" t="str">
        <x:f>IF(SUMPRODUCT((Despiece!I12:L12="2")+(Despiece!I12:L12="0.45"))=0,"Sin canto",IF(OR(MIN(Despiece!M12,Despiece!N12)&lt;$Q$3,MAX(Despiece!M12,Despiece!N12)&lt;$Q$4),"Pequeña","Normal"))</x:f>
        <x:v>Normal</x:v>
      </x:c>
      <x:c r="M12" s="21" t="str">
        <x:f>Despiece!E12&amp;" × "&amp;Despiece!F12</x:f>
        <x:v>830 × 475</x:v>
      </x:c>
      <x:c r="N12" s="23" t="str">
        <x:f>IF(LEN(TRIM(IF($L12="Pequeña","Si no la cantean: cortar a "&amp;ROUND(Despiece!M12,2)&amp;" × "&amp;ROUND(Despiece!N12,2)&amp;" y cantear en el armado.","")&amp;" "&amp;IFERROR(VLOOKUP(Despiece!A12,$S$2:$T$40,2,FALSE),"")))=0,"—",TRIM(IF($L12="Pequeña","Si no la cantean: cortar a "&amp;ROUND(Despiece!M12,2)&amp;" × "&amp;ROUND(Despiece!N12,2)&amp;" y cantear en el armado.","")&amp;" "&amp;IFERROR(VLOOKUP(Despiece!A12,$S$2:$T$40,2,FALSE),"")))</x:f>
        <x:v>—</x:v>
      </x:c>
    </x:row>
    <x:row r="13" ht="79.19999694824219">
      <x:c r="A13" s="21" t="str">
        <x:f>Despiece!A13</x:f>
        <x:v>C3-007</x:v>
      </x:c>
      <x:c r="B13" s="21" t="str">
        <x:f>Despiece!B13</x:f>
        <x:v>B1</x:v>
      </x:c>
      <x:c r="C13" s="21" t="str">
        <x:f>Despiece!C13</x:f>
        <x:v>Refuerzo frontal de maletero</x:v>
      </x:c>
      <x:c r="D13" s="21" t="str">
        <x:f>"RH15 Cartagena "&amp;Despiece!G13&amp;" mm"</x:f>
        <x:v>RH15 Cartagena 15 mm</x:v>
      </x:c>
      <x:c r="E13" s="21" t="n">
        <x:f>Despiece!D13</x:f>
        <x:v>1</x:v>
      </x:c>
      <x:c r="F13" s="35" t="n">
        <x:f>IF($Q$2="NO",ROUND(Despiece!M13,2),Despiece!E13)</x:f>
        <x:v>830</x:v>
      </x:c>
      <x:c r="G13" s="35" t="n">
        <x:f>IF($Q$2="NO",ROUND(Despiece!N13,2),Despiece!F13)</x:f>
        <x:v>80</x:v>
      </x:c>
      <x:c r="H13" s="22" t="str">
        <x:f>IF(Despiece!I13="2","R",IF(Despiece!I13="0.45","F","—"))</x:f>
        <x:v>F</x:v>
      </x:c>
      <x:c r="I13" s="22" t="str">
        <x:f>IF(Despiece!J13="2","R",IF(Despiece!J13="0.45","F","—"))</x:f>
        <x:v>—</x:v>
      </x:c>
      <x:c r="J13" s="22" t="str">
        <x:f>IF(Despiece!K13="2","R",IF(Despiece!K13="0.45","F","—"))</x:f>
        <x:v>—</x:v>
      </x:c>
      <x:c r="K13" s="22" t="str">
        <x:f>IF(Despiece!L13="2","R",IF(Despiece!L13="0.45","F","—"))</x:f>
        <x:v>—</x:v>
      </x:c>
      <x:c r="L13" s="22" t="str">
        <x:f>IF(SUMPRODUCT((Despiece!I13:L13="2")+(Despiece!I13:L13="0.45"))=0,"Sin canto",IF(OR(MIN(Despiece!M13,Despiece!N13)&lt;$Q$3,MAX(Despiece!M13,Despiece!N13)&lt;$Q$4),"Pequeña","Normal"))</x:f>
        <x:v>Pequeña</x:v>
      </x:c>
      <x:c r="M13" s="21" t="str">
        <x:f>Despiece!E13&amp;" × "&amp;Despiece!F13</x:f>
        <x:v>830 × 80</x:v>
      </x:c>
      <x:c r="N13" s="23" t="str">
        <x:f>IF(LEN(TRIM(IF($L13="Pequeña","Si no la cantean: cortar a "&amp;ROUND(Despiece!M13,2)&amp;" × "&amp;ROUND(Despiece!N13,2)&amp;" y cantear en el armado.","")&amp;" "&amp;IFERROR(VLOOKUP(Despiece!A13,$S$2:$T$40,2,FALSE),"")))=0,"—",TRIM(IF($L13="Pequeña","Si no la cantean: cortar a "&amp;ROUND(Despiece!M13,2)&amp;" × "&amp;ROUND(Despiece!N13,2)&amp;" y cantear en el armado.","")&amp;" "&amp;IFERROR(VLOOKUP(Despiece!A13,$S$2:$T$40,2,FALSE),"")))</x:f>
        <x:v>Si no la cantean: cortar a 830 × 79.55 y cantear en el armado.</x:v>
      </x:c>
    </x:row>
    <x:row r="14" ht="88" customHeight="1">
      <x:c r="A14" s="21" t="str">
        <x:f>Despiece!A14</x:f>
        <x:v>C3-008</x:v>
      </x:c>
      <x:c r="B14" s="21" t="str">
        <x:f>Despiece!B14</x:f>
        <x:v>B1</x:v>
      </x:c>
      <x:c r="C14" s="21" t="str">
        <x:f>Despiece!C14</x:f>
        <x:v>Refuerzo trasero de maletero</x:v>
      </x:c>
      <x:c r="D14" s="21" t="str">
        <x:f>"RH15 Cartagena "&amp;Despiece!G14&amp;" mm"</x:f>
        <x:v>RH15 Cartagena 15 mm</x:v>
      </x:c>
      <x:c r="E14" s="21" t="n">
        <x:f>Despiece!D14</x:f>
        <x:v>1</x:v>
      </x:c>
      <x:c r="F14" s="35" t="n">
        <x:f>IF($Q$2="NO",ROUND(Despiece!M14,2),Despiece!E14)</x:f>
        <x:v>830</x:v>
      </x:c>
      <x:c r="G14" s="35" t="n">
        <x:f>IF($Q$2="NO",ROUND(Despiece!N14,2),Despiece!F14)</x:f>
        <x:v>100</x:v>
      </x:c>
      <x:c r="H14" s="22" t="str">
        <x:f>IF(Despiece!I14="2","R",IF(Despiece!I14="0.45","F","—"))</x:f>
        <x:v>F</x:v>
      </x:c>
      <x:c r="I14" s="22" t="str">
        <x:f>IF(Despiece!J14="2","R",IF(Despiece!J14="0.45","F","—"))</x:f>
        <x:v>—</x:v>
      </x:c>
      <x:c r="J14" s="22" t="str">
        <x:f>IF(Despiece!K14="2","R",IF(Despiece!K14="0.45","F","—"))</x:f>
        <x:v>—</x:v>
      </x:c>
      <x:c r="K14" s="22" t="str">
        <x:f>IF(Despiece!L14="2","R",IF(Despiece!L14="0.45","F","—"))</x:f>
        <x:v>—</x:v>
      </x:c>
      <x:c r="L14" s="22" t="str">
        <x:f>IF(SUMPRODUCT((Despiece!I14:L14="2")+(Despiece!I14:L14="0.45"))=0,"Sin canto",IF(OR(MIN(Despiece!M14,Despiece!N14)&lt;$Q$3,MAX(Despiece!M14,Despiece!N14)&lt;$Q$4),"Pequeña","Normal"))</x:f>
        <x:v>Pequeña</x:v>
      </x:c>
      <x:c r="M14" s="21" t="str">
        <x:f>Despiece!E14&amp;" × "&amp;Despiece!F14</x:f>
        <x:v>830 × 100</x:v>
      </x:c>
      <x:c r="N14" s="36" t="str">
        <x:f>IF(LEN(TRIM(IF($L14="Pequeña","Si no la cantean: cortar a "&amp;ROUND(Despiece!M14,2)&amp;" × "&amp;ROUND(Despiece!N14,2)&amp;" y cantear en el armado.","")&amp;" "&amp;IFERROR(VLOOKUP(Despiece!A14,$S$2:$T$40,2,FALSE),"")))=0,"—",TRIM(IF($L14="Pequeña","Si no la cantean: cortar a "&amp;ROUND(Despiece!M14,2)&amp;" × "&amp;ROUND(Despiece!N14,2)&amp;" y cantear en el armado.","")&amp;" "&amp;IFERROR(VLOOKUP(Despiece!A14,$S$2:$T$40,2,FALSE),"")))</x:f>
        <x:v>Si no la cantean: cortar a 830 × 99.55 y cantear en el armado.</x:v>
      </x:c>
    </x:row>
    <x:row r="15">
      <x:c r="A15" s="21" t="str">
        <x:f>Despiece!A15</x:f>
        <x:v>C3-009</x:v>
      </x:c>
      <x:c r="B15" s="21" t="str">
        <x:f>Despiece!B15</x:f>
        <x:v>B2</x:v>
      </x:c>
      <x:c r="C15" s="21" t="str">
        <x:f>Despiece!C15</x:f>
        <x:v>Piso sobre base</x:v>
      </x:c>
      <x:c r="D15" s="21" t="str">
        <x:f>"RH15 Cartagena "&amp;Despiece!G15&amp;" mm"</x:f>
        <x:v>RH15 Cartagena 15 mm</x:v>
      </x:c>
      <x:c r="E15" s="21" t="n">
        <x:f>Despiece!D15</x:f>
        <x:v>1</x:v>
      </x:c>
      <x:c r="F15" s="35" t="n">
        <x:f>IF($Q$2="NO",ROUND(Despiece!M15,2),Despiece!E15)</x:f>
        <x:v>1075</x:v>
      </x:c>
      <x:c r="G15" s="35" t="n">
        <x:f>IF($Q$2="NO",ROUND(Despiece!N15,2),Despiece!F15)</x:f>
        <x:v>560</x:v>
      </x:c>
      <x:c r="H15" s="22" t="str">
        <x:f>IF(Despiece!I15="2","R",IF(Despiece!I15="0.45","F","—"))</x:f>
        <x:v>R</x:v>
      </x:c>
      <x:c r="I15" s="22" t="str">
        <x:f>IF(Despiece!J15="2","R",IF(Despiece!J15="0.45","F","—"))</x:f>
        <x:v>—</x:v>
      </x:c>
      <x:c r="J15" s="22" t="str">
        <x:f>IF(Despiece!K15="2","R",IF(Despiece!K15="0.45","F","—"))</x:f>
        <x:v>F</x:v>
      </x:c>
      <x:c r="K15" s="22" t="str">
        <x:f>IF(Despiece!L15="2","R",IF(Despiece!L15="0.45","F","—"))</x:f>
        <x:v>—</x:v>
      </x:c>
      <x:c r="L15" s="22" t="str">
        <x:f>IF(SUMPRODUCT((Despiece!I15:L15="2")+(Despiece!I15:L15="0.45"))=0,"Sin canto",IF(OR(MIN(Despiece!M15,Despiece!N15)&lt;$Q$3,MAX(Despiece!M15,Despiece!N15)&lt;$Q$4),"Pequeña","Normal"))</x:f>
        <x:v>Normal</x:v>
      </x:c>
      <x:c r="M15" s="21" t="str">
        <x:f>Despiece!E15&amp;" × "&amp;Despiece!F15</x:f>
        <x:v>1075 × 560</x:v>
      </x:c>
      <x:c r="N15" s="23" t="str">
        <x:f>IF(LEN(TRIM(IF($L15="Pequeña","Si no la cantean: cortar a "&amp;ROUND(Despiece!M15,2)&amp;" × "&amp;ROUND(Despiece!N15,2)&amp;" y cantear en el armado.","")&amp;" "&amp;IFERROR(VLOOKUP(Despiece!A15,$S$2:$T$40,2,FALSE),"")))=0,"—",TRIM(IF($L15="Pequeña","Si no la cantean: cortar a "&amp;ROUND(Despiece!M15,2)&amp;" × "&amp;ROUND(Despiece!N15,2)&amp;" y cantear en el armado.","")&amp;" "&amp;IFERROR(VLOOKUP(Despiece!A15,$S$2:$T$40,2,FALSE),"")))</x:f>
        <x:v>—</x:v>
      </x:c>
    </x:row>
    <x:row r="16">
      <x:c r="A16" s="21" t="str">
        <x:f>Despiece!A16</x:f>
        <x:v>C3-010</x:v>
      </x:c>
      <x:c r="B16" s="21" t="str">
        <x:f>Despiece!B16</x:f>
        <x:v>B2</x:v>
      </x:c>
      <x:c r="C16" s="21" t="str">
        <x:f>Despiece!C16</x:f>
        <x:v>Tapa superior</x:v>
      </x:c>
      <x:c r="D16" s="21" t="str">
        <x:f>"RH15 Cartagena "&amp;Despiece!G16&amp;" mm"</x:f>
        <x:v>RH15 Cartagena 15 mm</x:v>
      </x:c>
      <x:c r="E16" s="21" t="n">
        <x:f>Despiece!D16</x:f>
        <x:v>1</x:v>
      </x:c>
      <x:c r="F16" s="35" t="n">
        <x:f>IF($Q$2="NO",ROUND(Despiece!M16,2),Despiece!E16)</x:f>
        <x:v>1075</x:v>
      </x:c>
      <x:c r="G16" s="35" t="n">
        <x:f>IF($Q$2="NO",ROUND(Despiece!N16,2),Despiece!F16)</x:f>
        <x:v>505</x:v>
      </x:c>
      <x:c r="H16" s="22" t="str">
        <x:f>IF(Despiece!I16="2","R",IF(Despiece!I16="0.45","F","—"))</x:f>
        <x:v>F</x:v>
      </x:c>
      <x:c r="I16" s="22" t="str">
        <x:f>IF(Despiece!J16="2","R",IF(Despiece!J16="0.45","F","—"))</x:f>
        <x:v>—</x:v>
      </x:c>
      <x:c r="J16" s="22" t="str">
        <x:f>IF(Despiece!K16="2","R",IF(Despiece!K16="0.45","F","—"))</x:f>
        <x:v>—</x:v>
      </x:c>
      <x:c r="K16" s="22" t="str">
        <x:f>IF(Despiece!L16="2","R",IF(Despiece!L16="0.45","F","—"))</x:f>
        <x:v>—</x:v>
      </x:c>
      <x:c r="L16" s="22" t="str">
        <x:f>IF(SUMPRODUCT((Despiece!I16:L16="2")+(Despiece!I16:L16="0.45"))=0,"Sin canto",IF(OR(MIN(Despiece!M16,Despiece!N16)&lt;$Q$3,MAX(Despiece!M16,Despiece!N16)&lt;$Q$4),"Pequeña","Normal"))</x:f>
        <x:v>Normal</x:v>
      </x:c>
      <x:c r="M16" s="21" t="str">
        <x:f>Despiece!E16&amp;" × "&amp;Despiece!F16</x:f>
        <x:v>1075 × 505</x:v>
      </x:c>
      <x:c r="N16" s="23" t="str">
        <x:f>IF(LEN(TRIM(IF($L16="Pequeña","Si no la cantean: cortar a "&amp;ROUND(Despiece!M16,2)&amp;" × "&amp;ROUND(Despiece!N16,2)&amp;" y cantear en el armado.","")&amp;" "&amp;IFERROR(VLOOKUP(Despiece!A16,$S$2:$T$40,2,FALSE),"")))=0,"—",TRIM(IF($L16="Pequeña","Si no la cantean: cortar a "&amp;ROUND(Despiece!M16,2)&amp;" × "&amp;ROUND(Despiece!N16,2)&amp;" y cantear en el armado.","")&amp;" "&amp;IFERROR(VLOOKUP(Despiece!A16,$S$2:$T$40,2,FALSE),"")))</x:f>
        <x:v>—</x:v>
      </x:c>
    </x:row>
    <x:row r="17">
      <x:c r="A17" s="21" t="str">
        <x:f>Despiece!A17</x:f>
        <x:v>C3-011</x:v>
      </x:c>
      <x:c r="B17" s="21" t="str">
        <x:f>Despiece!B17</x:f>
        <x:v>B2</x:v>
      </x:c>
      <x:c r="C17" s="21" t="str">
        <x:f>Despiece!C17</x:f>
        <x:v>Fondo RH15</x:v>
      </x:c>
      <x:c r="D17" s="21" t="str">
        <x:f>"RH15 Cartagena "&amp;Despiece!G17&amp;" mm"</x:f>
        <x:v>RH15 Cartagena 15 mm</x:v>
      </x:c>
      <x:c r="E17" s="21" t="n">
        <x:f>Despiece!D17</x:f>
        <x:v>1</x:v>
      </x:c>
      <x:c r="F17" s="35" t="n">
        <x:f>IF($Q$2="NO",ROUND(Despiece!M17,2),Despiece!E17)</x:f>
        <x:v>2250</x:v>
      </x:c>
      <x:c r="G17" s="35" t="n">
        <x:f>IF($Q$2="NO",ROUND(Despiece!N17,2),Despiece!F17)</x:f>
        <x:v>1075</x:v>
      </x:c>
      <x:c r="H17" s="22" t="str">
        <x:f>IF(Despiece!I17="2","R",IF(Despiece!I17="0.45","F","—"))</x:f>
        <x:v>—</x:v>
      </x:c>
      <x:c r="I17" s="22" t="str">
        <x:f>IF(Despiece!J17="2","R",IF(Despiece!J17="0.45","F","—"))</x:f>
        <x:v>—</x:v>
      </x:c>
      <x:c r="J17" s="22" t="str">
        <x:f>IF(Despiece!K17="2","R",IF(Despiece!K17="0.45","F","—"))</x:f>
        <x:v>—</x:v>
      </x:c>
      <x:c r="K17" s="22" t="str">
        <x:f>IF(Despiece!L17="2","R",IF(Despiece!L17="0.45","F","—"))</x:f>
        <x:v>—</x:v>
      </x:c>
      <x:c r="L17" s="22" t="str">
        <x:f>IF(SUMPRODUCT((Despiece!I17:L17="2")+(Despiece!I17:L17="0.45"))=0,"Sin canto",IF(OR(MIN(Despiece!M17,Despiece!N17)&lt;$Q$3,MAX(Despiece!M17,Despiece!N17)&lt;$Q$4),"Pequeña","Normal"))</x:f>
        <x:v>Sin canto</x:v>
      </x:c>
      <x:c r="M17" s="21" t="str">
        <x:f>Despiece!E17&amp;" × "&amp;Despiece!F17</x:f>
        <x:v>2250 × 1075</x:v>
      </x:c>
      <x:c r="N17" s="23" t="str">
        <x:f>IF(LEN(TRIM(IF($L17="Pequeña","Si no la cantean: cortar a "&amp;ROUND(Despiece!M17,2)&amp;" × "&amp;ROUND(Despiece!N17,2)&amp;" y cantear en el armado.","")&amp;" "&amp;IFERROR(VLOOKUP(Despiece!A17,$S$2:$T$40,2,FALSE),"")))=0,"—",TRIM(IF($L17="Pequeña","Si no la cantean: cortar a "&amp;ROUND(Despiece!M17,2)&amp;" × "&amp;ROUND(Despiece!N17,2)&amp;" y cantear en el armado.","")&amp;" "&amp;IFERROR(VLOOKUP(Despiece!A17,$S$2:$T$40,2,FALSE),"")))</x:f>
        <x:v>—</x:v>
      </x:c>
    </x:row>
    <x:row r="18">
      <x:c r="A18" s="21" t="str">
        <x:f>Despiece!A18</x:f>
        <x:v>C3-012</x:v>
      </x:c>
      <x:c r="B18" s="21" t="str">
        <x:f>Despiece!B18</x:f>
        <x:v>B2</x:v>
      </x:c>
      <x:c r="C18" s="21" t="str">
        <x:f>Despiece!C18</x:f>
        <x:v>Piso de maletero</x:v>
      </x:c>
      <x:c r="D18" s="21" t="str">
        <x:f>"RH15 Cartagena "&amp;Despiece!G18&amp;" mm"</x:f>
        <x:v>RH15 Cartagena 15 mm</x:v>
      </x:c>
      <x:c r="E18" s="21" t="n">
        <x:f>Despiece!D18</x:f>
        <x:v>1</x:v>
      </x:c>
      <x:c r="F18" s="35" t="n">
        <x:f>IF($Q$2="NO",ROUND(Despiece!M18,2),Despiece!E18)</x:f>
        <x:v>1075</x:v>
      </x:c>
      <x:c r="G18" s="35" t="n">
        <x:f>IF($Q$2="NO",ROUND(Despiece!N18,2),Despiece!F18)</x:f>
        <x:v>475</x:v>
      </x:c>
      <x:c r="H18" s="22" t="str">
        <x:f>IF(Despiece!I18="2","R",IF(Despiece!I18="0.45","F","—"))</x:f>
        <x:v>R</x:v>
      </x:c>
      <x:c r="I18" s="22" t="str">
        <x:f>IF(Despiece!J18="2","R",IF(Despiece!J18="0.45","F","—"))</x:f>
        <x:v>—</x:v>
      </x:c>
      <x:c r="J18" s="22" t="str">
        <x:f>IF(Despiece!K18="2","R",IF(Despiece!K18="0.45","F","—"))</x:f>
        <x:v>—</x:v>
      </x:c>
      <x:c r="K18" s="22" t="str">
        <x:f>IF(Despiece!L18="2","R",IF(Despiece!L18="0.45","F","—"))</x:f>
        <x:v>—</x:v>
      </x:c>
      <x:c r="L18" s="22" t="str">
        <x:f>IF(SUMPRODUCT((Despiece!I18:L18="2")+(Despiece!I18:L18="0.45"))=0,"Sin canto",IF(OR(MIN(Despiece!M18,Despiece!N18)&lt;$Q$3,MAX(Despiece!M18,Despiece!N18)&lt;$Q$4),"Pequeña","Normal"))</x:f>
        <x:v>Normal</x:v>
      </x:c>
      <x:c r="M18" s="21" t="str">
        <x:f>Despiece!E18&amp;" × "&amp;Despiece!F18</x:f>
        <x:v>1075 × 475</x:v>
      </x:c>
      <x:c r="N18" s="23" t="str">
        <x:f>IF(LEN(TRIM(IF($L18="Pequeña","Si no la cantean: cortar a "&amp;ROUND(Despiece!M18,2)&amp;" × "&amp;ROUND(Despiece!N18,2)&amp;" y cantear en el armado.","")&amp;" "&amp;IFERROR(VLOOKUP(Despiece!A18,$S$2:$T$40,2,FALSE),"")))=0,"—",TRIM(IF($L18="Pequeña","Si no la cantean: cortar a "&amp;ROUND(Despiece!M18,2)&amp;" × "&amp;ROUND(Despiece!N18,2)&amp;" y cantear en el armado.","")&amp;" "&amp;IFERROR(VLOOKUP(Despiece!A18,$S$2:$T$40,2,FALSE),"")))</x:f>
        <x:v>—</x:v>
      </x:c>
    </x:row>
    <x:row r="19" ht="79.19999694824219">
      <x:c r="A19" s="21" t="str">
        <x:f>Despiece!A19</x:f>
        <x:v>C3-013</x:v>
      </x:c>
      <x:c r="B19" s="21" t="str">
        <x:f>Despiece!B19</x:f>
        <x:v>B2</x:v>
      </x:c>
      <x:c r="C19" s="21" t="str">
        <x:f>Despiece!C19</x:f>
        <x:v>Refuerzo frontal de maletero</x:v>
      </x:c>
      <x:c r="D19" s="21" t="str">
        <x:f>"RH15 Cartagena "&amp;Despiece!G19&amp;" mm"</x:f>
        <x:v>RH15 Cartagena 15 mm</x:v>
      </x:c>
      <x:c r="E19" s="21" t="n">
        <x:f>Despiece!D19</x:f>
        <x:v>1</x:v>
      </x:c>
      <x:c r="F19" s="35" t="n">
        <x:f>IF($Q$2="NO",ROUND(Despiece!M19,2),Despiece!E19)</x:f>
        <x:v>1075</x:v>
      </x:c>
      <x:c r="G19" s="35" t="n">
        <x:f>IF($Q$2="NO",ROUND(Despiece!N19,2),Despiece!F19)</x:f>
        <x:v>80</x:v>
      </x:c>
      <x:c r="H19" s="22" t="str">
        <x:f>IF(Despiece!I19="2","R",IF(Despiece!I19="0.45","F","—"))</x:f>
        <x:v>F</x:v>
      </x:c>
      <x:c r="I19" s="22" t="str">
        <x:f>IF(Despiece!J19="2","R",IF(Despiece!J19="0.45","F","—"))</x:f>
        <x:v>—</x:v>
      </x:c>
      <x:c r="J19" s="22" t="str">
        <x:f>IF(Despiece!K19="2","R",IF(Despiece!K19="0.45","F","—"))</x:f>
        <x:v>—</x:v>
      </x:c>
      <x:c r="K19" s="22" t="str">
        <x:f>IF(Despiece!L19="2","R",IF(Despiece!L19="0.45","F","—"))</x:f>
        <x:v>—</x:v>
      </x:c>
      <x:c r="L19" s="22" t="str">
        <x:f>IF(SUMPRODUCT((Despiece!I19:L19="2")+(Despiece!I19:L19="0.45"))=0,"Sin canto",IF(OR(MIN(Despiece!M19,Despiece!N19)&lt;$Q$3,MAX(Despiece!M19,Despiece!N19)&lt;$Q$4),"Pequeña","Normal"))</x:f>
        <x:v>Pequeña</x:v>
      </x:c>
      <x:c r="M19" s="21" t="str">
        <x:f>Despiece!E19&amp;" × "&amp;Despiece!F19</x:f>
        <x:v>1075 × 80</x:v>
      </x:c>
      <x:c r="N19" s="23" t="str">
        <x:f>IF(LEN(TRIM(IF($L19="Pequeña","Si no la cantean: cortar a "&amp;ROUND(Despiece!M19,2)&amp;" × "&amp;ROUND(Despiece!N19,2)&amp;" y cantear en el armado.","")&amp;" "&amp;IFERROR(VLOOKUP(Despiece!A19,$S$2:$T$40,2,FALSE),"")))=0,"—",TRIM(IF($L19="Pequeña","Si no la cantean: cortar a "&amp;ROUND(Despiece!M19,2)&amp;" × "&amp;ROUND(Despiece!N19,2)&amp;" y cantear en el armado.","")&amp;" "&amp;IFERROR(VLOOKUP(Despiece!A19,$S$2:$T$40,2,FALSE),"")))</x:f>
        <x:v>Si no la cantean: cortar a 1075 × 79.55 y cantear en el armado.</x:v>
      </x:c>
    </x:row>
    <x:row r="20" ht="88" customHeight="1">
      <x:c r="A20" s="21" t="str">
        <x:f>Despiece!A20</x:f>
        <x:v>C3-014</x:v>
      </x:c>
      <x:c r="B20" s="21" t="str">
        <x:f>Despiece!B20</x:f>
        <x:v>B2</x:v>
      </x:c>
      <x:c r="C20" s="21" t="str">
        <x:f>Despiece!C20</x:f>
        <x:v>Refuerzo trasero de maletero</x:v>
      </x:c>
      <x:c r="D20" s="21" t="str">
        <x:f>"RH15 Cartagena "&amp;Despiece!G20&amp;" mm"</x:f>
        <x:v>RH15 Cartagena 15 mm</x:v>
      </x:c>
      <x:c r="E20" s="21" t="n">
        <x:f>Despiece!D20</x:f>
        <x:v>1</x:v>
      </x:c>
      <x:c r="F20" s="35" t="n">
        <x:f>IF($Q$2="NO",ROUND(Despiece!M20,2),Despiece!E20)</x:f>
        <x:v>1075</x:v>
      </x:c>
      <x:c r="G20" s="35" t="n">
        <x:f>IF($Q$2="NO",ROUND(Despiece!N20,2),Despiece!F20)</x:f>
        <x:v>100</x:v>
      </x:c>
      <x:c r="H20" s="22" t="str">
        <x:f>IF(Despiece!I20="2","R",IF(Despiece!I20="0.45","F","—"))</x:f>
        <x:v>F</x:v>
      </x:c>
      <x:c r="I20" s="22" t="str">
        <x:f>IF(Despiece!J20="2","R",IF(Despiece!J20="0.45","F","—"))</x:f>
        <x:v>—</x:v>
      </x:c>
      <x:c r="J20" s="22" t="str">
        <x:f>IF(Despiece!K20="2","R",IF(Despiece!K20="0.45","F","—"))</x:f>
        <x:v>—</x:v>
      </x:c>
      <x:c r="K20" s="22" t="str">
        <x:f>IF(Despiece!L20="2","R",IF(Despiece!L20="0.45","F","—"))</x:f>
        <x:v>—</x:v>
      </x:c>
      <x:c r="L20" s="22" t="str">
        <x:f>IF(SUMPRODUCT((Despiece!I20:L20="2")+(Despiece!I20:L20="0.45"))=0,"Sin canto",IF(OR(MIN(Despiece!M20,Despiece!N20)&lt;$Q$3,MAX(Despiece!M20,Despiece!N20)&lt;$Q$4),"Pequeña","Normal"))</x:f>
        <x:v>Pequeña</x:v>
      </x:c>
      <x:c r="M20" s="21" t="str">
        <x:f>Despiece!E20&amp;" × "&amp;Despiece!F20</x:f>
        <x:v>1075 × 100</x:v>
      </x:c>
      <x:c r="N20" s="36" t="str">
        <x:f>IF(LEN(TRIM(IF($L20="Pequeña","Si no la cantean: cortar a "&amp;ROUND(Despiece!M20,2)&amp;" × "&amp;ROUND(Despiece!N20,2)&amp;" y cantear en el armado.","")&amp;" "&amp;IFERROR(VLOOKUP(Despiece!A20,$S$2:$T$40,2,FALSE),"")))=0,"—",TRIM(IF($L20="Pequeña","Si no la cantean: cortar a "&amp;ROUND(Despiece!M20,2)&amp;" × "&amp;ROUND(Despiece!N20,2)&amp;" y cantear en el armado.","")&amp;" "&amp;IFERROR(VLOOKUP(Despiece!A20,$S$2:$T$40,2,FALSE),"")))</x:f>
        <x:v>Si no la cantean: cortar a 1075 × 99.55 y cantear en el armado.</x:v>
      </x:c>
    </x:row>
    <x:row r="21" ht="92.4000015258789">
      <x:c r="A21" s="21" t="str">
        <x:f>Despiece!A21</x:f>
        <x:v>C3-015</x:v>
      </x:c>
      <x:c r="B21" s="21" t="str">
        <x:f>Despiece!B21</x:f>
        <x:v>B1</x:v>
      </x:c>
      <x:c r="C21" s="21" t="str">
        <x:f>Despiece!C21</x:f>
        <x:v>Frente de cajón</x:v>
      </x:c>
      <x:c r="D21" s="21" t="str">
        <x:f>"RH15 Cartagena "&amp;Despiece!G21&amp;" mm"</x:f>
        <x:v>RH15 Cartagena 15 mm</x:v>
      </x:c>
      <x:c r="E21" s="21" t="n">
        <x:f>Despiece!D21</x:f>
        <x:v>3</x:v>
      </x:c>
      <x:c r="F21" s="35" t="n">
        <x:f>IF($Q$2="NO",ROUND(Despiece!M21,2),Despiece!E21)</x:f>
        <x:v>824</x:v>
      </x:c>
      <x:c r="G21" s="35" t="n">
        <x:f>IF($Q$2="NO",ROUND(Despiece!N21,2),Despiece!F21)</x:f>
        <x:v>210</x:v>
      </x:c>
      <x:c r="H21" s="22" t="str">
        <x:f>IF(Despiece!I21="2","R",IF(Despiece!I21="0.45","F","—"))</x:f>
        <x:v>R</x:v>
      </x:c>
      <x:c r="I21" s="22" t="str">
        <x:f>IF(Despiece!J21="2","R",IF(Despiece!J21="0.45","F","—"))</x:f>
        <x:v>R</x:v>
      </x:c>
      <x:c r="J21" s="22" t="str">
        <x:f>IF(Despiece!K21="2","R",IF(Despiece!K21="0.45","F","—"))</x:f>
        <x:v>R</x:v>
      </x:c>
      <x:c r="K21" s="22" t="str">
        <x:f>IF(Despiece!L21="2","R",IF(Despiece!L21="0.45","F","—"))</x:f>
        <x:v>R</x:v>
      </x:c>
      <x:c r="L21" s="22" t="str">
        <x:f>IF(SUMPRODUCT((Despiece!I21:L21="2")+(Despiece!I21:L21="0.45"))=0,"Sin canto",IF(OR(MIN(Despiece!M21,Despiece!N21)&lt;$Q$3,MAX(Despiece!M21,Despiece!N21)&lt;$Q$4),"Pequeña","Normal"))</x:f>
        <x:v>Normal</x:v>
      </x:c>
      <x:c r="M21" s="21" t="str">
        <x:f>Despiece!E21&amp;" × "&amp;Despiece!F21</x:f>
        <x:v>824 × 210</x:v>
      </x:c>
      <x:c r="N21" s="23" t="str">
        <x:f>IF(LEN(TRIM(IF($L21="Pequeña","Si no la cantean: cortar a "&amp;ROUND(Despiece!M21,2)&amp;" × "&amp;ROUND(Despiece!N21,2)&amp;" y cantear en el armado.","")&amp;" "&amp;IFERROR(VLOOKUP(Despiece!A21,$S$2:$T$40,2,FALSE),"")))=0,"—",TRIM(IF($L21="Pequeña","Si no la cantean: cortar a "&amp;ROUND(Despiece!M21,2)&amp;" × "&amp;ROUND(Despiece!N21,2)&amp;" y cantear en el armado.","")&amp;" "&amp;IFERROR(VLOOKUP(Despiece!A21,$S$2:$T$40,2,FALSE),"")))</x:f>
        <x:v>Veta horizontal: frente de 824 de ancho, queda detrás de las hojas.</x:v>
      </x:c>
    </x:row>
    <x:row r="22">
      <x:c r="A22" s="21" t="str">
        <x:f>Despiece!A22</x:f>
        <x:v>C3-016</x:v>
      </x:c>
      <x:c r="B22" s="21" t="str">
        <x:f>Despiece!B22</x:f>
        <x:v>B1</x:v>
      </x:c>
      <x:c r="C22" s="21" t="str">
        <x:f>Despiece!C22</x:f>
        <x:v>Costado de cajón</x:v>
      </x:c>
      <x:c r="D22" s="21" t="str">
        <x:f>"RH15 Cartagena "&amp;Despiece!G22&amp;" mm"</x:f>
        <x:v>RH15 Cartagena 15 mm</x:v>
      </x:c>
      <x:c r="E22" s="21" t="n">
        <x:f>Despiece!D22</x:f>
        <x:v>6</x:v>
      </x:c>
      <x:c r="F22" s="35" t="n">
        <x:f>IF($Q$2="NO",ROUND(Despiece!M22,2),Despiece!E22)</x:f>
        <x:v>450</x:v>
      </x:c>
      <x:c r="G22" s="35" t="n">
        <x:f>IF($Q$2="NO",ROUND(Despiece!N22,2),Despiece!F22)</x:f>
        <x:v>155</x:v>
      </x:c>
      <x:c r="H22" s="22" t="str">
        <x:f>IF(Despiece!I22="2","R",IF(Despiece!I22="0.45","F","—"))</x:f>
        <x:v>F</x:v>
      </x:c>
      <x:c r="I22" s="22" t="str">
        <x:f>IF(Despiece!J22="2","R",IF(Despiece!J22="0.45","F","—"))</x:f>
        <x:v>—</x:v>
      </x:c>
      <x:c r="J22" s="22" t="str">
        <x:f>IF(Despiece!K22="2","R",IF(Despiece!K22="0.45","F","—"))</x:f>
        <x:v>F</x:v>
      </x:c>
      <x:c r="K22" s="22" t="str">
        <x:f>IF(Despiece!L22="2","R",IF(Despiece!L22="0.45","F","—"))</x:f>
        <x:v>—</x:v>
      </x:c>
      <x:c r="L22" s="22" t="str">
        <x:f>IF(SUMPRODUCT((Despiece!I22:L22="2")+(Despiece!I22:L22="0.45"))=0,"Sin canto",IF(OR(MIN(Despiece!M22,Despiece!N22)&lt;$Q$3,MAX(Despiece!M22,Despiece!N22)&lt;$Q$4),"Pequeña","Normal"))</x:f>
        <x:v>Normal</x:v>
      </x:c>
      <x:c r="M22" s="21" t="str">
        <x:f>Despiece!E22&amp;" × "&amp;Despiece!F22</x:f>
        <x:v>450 × 155</x:v>
      </x:c>
      <x:c r="N22" s="23" t="str">
        <x:f>IF(LEN(TRIM(IF($L22="Pequeña","Si no la cantean: cortar a "&amp;ROUND(Despiece!M22,2)&amp;" × "&amp;ROUND(Despiece!N22,2)&amp;" y cantear en el armado.","")&amp;" "&amp;IFERROR(VLOOKUP(Despiece!A22,$S$2:$T$40,2,FALSE),"")))=0,"—",TRIM(IF($L22="Pequeña","Si no la cantean: cortar a "&amp;ROUND(Despiece!M22,2)&amp;" × "&amp;ROUND(Despiece!N22,2)&amp;" y cantear en el armado.","")&amp;" "&amp;IFERROR(VLOOKUP(Despiece!A22,$S$2:$T$40,2,FALSE),"")))</x:f>
        <x:v>—</x:v>
      </x:c>
    </x:row>
    <x:row r="23">
      <x:c r="A23" s="21" t="str">
        <x:f>Despiece!A23</x:f>
        <x:v>C3-017</x:v>
      </x:c>
      <x:c r="B23" s="21" t="str">
        <x:f>Despiece!B23</x:f>
        <x:v>B1</x:v>
      </x:c>
      <x:c r="C23" s="21" t="str">
        <x:f>Despiece!C23</x:f>
        <x:v>Base aplicada de cajón</x:v>
      </x:c>
      <x:c r="D23" s="21" t="str">
        <x:f>"RH15 Cartagena "&amp;Despiece!G23&amp;" mm"</x:f>
        <x:v>RH15 Cartagena 15 mm</x:v>
      </x:c>
      <x:c r="E23" s="21" t="n">
        <x:f>Despiece!D23</x:f>
        <x:v>3</x:v>
      </x:c>
      <x:c r="F23" s="35" t="n">
        <x:f>IF($Q$2="NO",ROUND(Despiece!M23,2),Despiece!E23)</x:f>
        <x:v>803</x:v>
      </x:c>
      <x:c r="G23" s="35" t="n">
        <x:f>IF($Q$2="NO",ROUND(Despiece!N23,2),Despiece!F23)</x:f>
        <x:v>450</x:v>
      </x:c>
      <x:c r="H23" s="22" t="str">
        <x:f>IF(Despiece!I23="2","R",IF(Despiece!I23="0.45","F","—"))</x:f>
        <x:v>F</x:v>
      </x:c>
      <x:c r="I23" s="22" t="str">
        <x:f>IF(Despiece!J23="2","R",IF(Despiece!J23="0.45","F","—"))</x:f>
        <x:v>—</x:v>
      </x:c>
      <x:c r="J23" s="22" t="str">
        <x:f>IF(Despiece!K23="2","R",IF(Despiece!K23="0.45","F","—"))</x:f>
        <x:v>F</x:v>
      </x:c>
      <x:c r="K23" s="22" t="str">
        <x:f>IF(Despiece!L23="2","R",IF(Despiece!L23="0.45","F","—"))</x:f>
        <x:v>F</x:v>
      </x:c>
      <x:c r="L23" s="22" t="str">
        <x:f>IF(SUMPRODUCT((Despiece!I23:L23="2")+(Despiece!I23:L23="0.45"))=0,"Sin canto",IF(OR(MIN(Despiece!M23,Despiece!N23)&lt;$Q$3,MAX(Despiece!M23,Despiece!N23)&lt;$Q$4),"Pequeña","Normal"))</x:f>
        <x:v>Normal</x:v>
      </x:c>
      <x:c r="M23" s="21" t="str">
        <x:f>Despiece!E23&amp;" × "&amp;Despiece!F23</x:f>
        <x:v>803 × 450</x:v>
      </x:c>
      <x:c r="N23" s="23" t="str">
        <x:f>IF(LEN(TRIM(IF($L23="Pequeña","Si no la cantean: cortar a "&amp;ROUND(Despiece!M23,2)&amp;" × "&amp;ROUND(Despiece!N23,2)&amp;" y cantear en el armado.","")&amp;" "&amp;IFERROR(VLOOKUP(Despiece!A23,$S$2:$T$40,2,FALSE),"")))=0,"—",TRIM(IF($L23="Pequeña","Si no la cantean: cortar a "&amp;ROUND(Despiece!M23,2)&amp;" × "&amp;ROUND(Despiece!N23,2)&amp;" y cantear en el armado.","")&amp;" "&amp;IFERROR(VLOOKUP(Despiece!A23,$S$2:$T$40,2,FALSE),"")))</x:f>
        <x:v>—</x:v>
      </x:c>
    </x:row>
    <x:row r="24">
      <x:c r="A24" s="21" t="str">
        <x:f>Despiece!A24</x:f>
        <x:v>C3-018</x:v>
      </x:c>
      <x:c r="B24" s="21" t="str">
        <x:f>Despiece!B24</x:f>
        <x:v>B1</x:v>
      </x:c>
      <x:c r="C24" s="21" t="str">
        <x:f>Despiece!C24</x:f>
        <x:v>Frente / trasero interior de cajón</x:v>
      </x:c>
      <x:c r="D24" s="21" t="str">
        <x:f>"RH15 Cartagena "&amp;Despiece!G24&amp;" mm"</x:f>
        <x:v>RH15 Cartagena 15 mm</x:v>
      </x:c>
      <x:c r="E24" s="21" t="n">
        <x:f>Despiece!D24</x:f>
        <x:v>6</x:v>
      </x:c>
      <x:c r="F24" s="35" t="n">
        <x:f>IF($Q$2="NO",ROUND(Despiece!M24,2),Despiece!E24)</x:f>
        <x:v>773</x:v>
      </x:c>
      <x:c r="G24" s="35" t="n">
        <x:f>IF($Q$2="NO",ROUND(Despiece!N24,2),Despiece!F24)</x:f>
        <x:v>155</x:v>
      </x:c>
      <x:c r="H24" s="22" t="str">
        <x:f>IF(Despiece!I24="2","R",IF(Despiece!I24="0.45","F","—"))</x:f>
        <x:v>F</x:v>
      </x:c>
      <x:c r="I24" s="22" t="str">
        <x:f>IF(Despiece!J24="2","R",IF(Despiece!J24="0.45","F","—"))</x:f>
        <x:v>—</x:v>
      </x:c>
      <x:c r="J24" s="22" t="str">
        <x:f>IF(Despiece!K24="2","R",IF(Despiece!K24="0.45","F","—"))</x:f>
        <x:v>—</x:v>
      </x:c>
      <x:c r="K24" s="22" t="str">
        <x:f>IF(Despiece!L24="2","R",IF(Despiece!L24="0.45","F","—"))</x:f>
        <x:v>—</x:v>
      </x:c>
      <x:c r="L24" s="22" t="str">
        <x:f>IF(SUMPRODUCT((Despiece!I24:L24="2")+(Despiece!I24:L24="0.45"))=0,"Sin canto",IF(OR(MIN(Despiece!M24,Despiece!N24)&lt;$Q$3,MAX(Despiece!M24,Despiece!N24)&lt;$Q$4),"Pequeña","Normal"))</x:f>
        <x:v>Normal</x:v>
      </x:c>
      <x:c r="M24" s="21" t="str">
        <x:f>Despiece!E24&amp;" × "&amp;Despiece!F24</x:f>
        <x:v>773 × 155</x:v>
      </x:c>
      <x:c r="N24" s="23" t="str">
        <x:f>IF(LEN(TRIM(IF($L24="Pequeña","Si no la cantean: cortar a "&amp;ROUND(Despiece!M24,2)&amp;" × "&amp;ROUND(Despiece!N24,2)&amp;" y cantear en el armado.","")&amp;" "&amp;IFERROR(VLOOKUP(Despiece!A24,$S$2:$T$40,2,FALSE),"")))=0,"—",TRIM(IF($L24="Pequeña","Si no la cantean: cortar a "&amp;ROUND(Despiece!M24,2)&amp;" × "&amp;ROUND(Despiece!N24,2)&amp;" y cantear en el armado.","")&amp;" "&amp;IFERROR(VLOOKUP(Despiece!A24,$S$2:$T$40,2,FALSE),"")))</x:f>
        <x:v>—</x:v>
      </x:c>
    </x:row>
    <x:row r="25" ht="79.19999694824219">
      <x:c r="A25" s="21" t="str">
        <x:f>Despiece!A25</x:f>
        <x:v>C3-019</x:v>
      </x:c>
      <x:c r="B25" s="21" t="str">
        <x:f>Despiece!B25</x:f>
        <x:v>B1</x:v>
      </x:c>
      <x:c r="C25" s="21" t="str">
        <x:f>Despiece!C25</x:f>
        <x:v>Refuerzo bajo base de cajón</x:v>
      </x:c>
      <x:c r="D25" s="21" t="str">
        <x:f>"RH15 Cartagena "&amp;Despiece!G25&amp;" mm"</x:f>
        <x:v>RH15 Cartagena 15 mm</x:v>
      </x:c>
      <x:c r="E25" s="21" t="n">
        <x:f>Despiece!D25</x:f>
        <x:v>3</x:v>
      </x:c>
      <x:c r="F25" s="35" t="n">
        <x:f>IF($Q$2="NO",ROUND(Despiece!M25,2),Despiece!E25)</x:f>
        <x:v>803</x:v>
      </x:c>
      <x:c r="G25" s="35" t="n">
        <x:f>IF($Q$2="NO",ROUND(Despiece!N25,2),Despiece!F25)</x:f>
        <x:v>40</x:v>
      </x:c>
      <x:c r="H25" s="22" t="str">
        <x:f>IF(Despiece!I25="2","R",IF(Despiece!I25="0.45","F","—"))</x:f>
        <x:v>F</x:v>
      </x:c>
      <x:c r="I25" s="22" t="str">
        <x:f>IF(Despiece!J25="2","R",IF(Despiece!J25="0.45","F","—"))</x:f>
        <x:v>—</x:v>
      </x:c>
      <x:c r="J25" s="22" t="str">
        <x:f>IF(Despiece!K25="2","R",IF(Despiece!K25="0.45","F","—"))</x:f>
        <x:v>F</x:v>
      </x:c>
      <x:c r="K25" s="22" t="str">
        <x:f>IF(Despiece!L25="2","R",IF(Despiece!L25="0.45","F","—"))</x:f>
        <x:v>F</x:v>
      </x:c>
      <x:c r="L25" s="22" t="str">
        <x:f>IF(SUMPRODUCT((Despiece!I25:L25="2")+(Despiece!I25:L25="0.45"))=0,"Sin canto",IF(OR(MIN(Despiece!M25,Despiece!N25)&lt;$Q$3,MAX(Despiece!M25,Despiece!N25)&lt;$Q$4),"Pequeña","Normal"))</x:f>
        <x:v>Pequeña</x:v>
      </x:c>
      <x:c r="M25" s="21" t="str">
        <x:f>Despiece!E25&amp;" × "&amp;Despiece!F25</x:f>
        <x:v>803 × 40</x:v>
      </x:c>
      <x:c r="N25" s="23" t="str">
        <x:f>IF(LEN(TRIM(IF($L25="Pequeña","Si no la cantean: cortar a "&amp;ROUND(Despiece!M25,2)&amp;" × "&amp;ROUND(Despiece!N25,2)&amp;" y cantear en el armado.","")&amp;" "&amp;IFERROR(VLOOKUP(Despiece!A25,$S$2:$T$40,2,FALSE),"")))=0,"—",TRIM(IF($L25="Pequeña","Si no la cantean: cortar a "&amp;ROUND(Despiece!M25,2)&amp;" × "&amp;ROUND(Despiece!N25,2)&amp;" y cantear en el armado.","")&amp;" "&amp;IFERROR(VLOOKUP(Despiece!A25,$S$2:$T$40,2,FALSE),"")))</x:f>
        <x:v>Si no la cantean: cortar a 802.1 × 39.55 y cantear en el armado.</x:v>
      </x:c>
    </x:row>
    <x:row r="26" ht="79.19999694824219">
      <x:c r="A26" s="21" t="str">
        <x:f>Despiece!A26</x:f>
        <x:v>C3-020</x:v>
      </x:c>
      <x:c r="B26" s="21" t="str">
        <x:f>Despiece!B26</x:f>
        <x:v>BASE</x:v>
      </x:c>
      <x:c r="C26" s="21" t="str">
        <x:f>Despiece!C26</x:f>
        <x:v>Zócalo frontal</x:v>
      </x:c>
      <x:c r="D26" s="21" t="str">
        <x:f>"RH15 Cartagena "&amp;Despiece!G26&amp;" mm"</x:f>
        <x:v>RH15 Cartagena 15 mm</x:v>
      </x:c>
      <x:c r="E26" s="21" t="n">
        <x:f>Despiece!D26</x:f>
        <x:v>1</x:v>
      </x:c>
      <x:c r="F26" s="35" t="n">
        <x:f>IF($Q$2="NO",ROUND(Despiece!M26,2),Despiece!E26)</x:f>
        <x:v>1950</x:v>
      </x:c>
      <x:c r="G26" s="35" t="n">
        <x:f>IF($Q$2="NO",ROUND(Despiece!N26,2),Despiece!F26)</x:f>
        <x:v>92</x:v>
      </x:c>
      <x:c r="H26" s="22" t="str">
        <x:f>IF(Despiece!I26="2","R",IF(Despiece!I26="0.45","F","—"))</x:f>
        <x:v>F</x:v>
      </x:c>
      <x:c r="I26" s="22" t="str">
        <x:f>IF(Despiece!J26="2","R",IF(Despiece!J26="0.45","F","—"))</x:f>
        <x:v>F</x:v>
      </x:c>
      <x:c r="J26" s="22" t="str">
        <x:f>IF(Despiece!K26="2","R",IF(Despiece!K26="0.45","F","—"))</x:f>
        <x:v>F</x:v>
      </x:c>
      <x:c r="K26" s="22" t="str">
        <x:f>IF(Despiece!L26="2","R",IF(Despiece!L26="0.45","F","—"))</x:f>
        <x:v>F</x:v>
      </x:c>
      <x:c r="L26" s="22" t="str">
        <x:f>IF(SUMPRODUCT((Despiece!I26:L26="2")+(Despiece!I26:L26="0.45"))=0,"Sin canto",IF(OR(MIN(Despiece!M26,Despiece!N26)&lt;$Q$3,MAX(Despiece!M26,Despiece!N26)&lt;$Q$4),"Pequeña","Normal"))</x:f>
        <x:v>Pequeña</x:v>
      </x:c>
      <x:c r="M26" s="21" t="str">
        <x:f>Despiece!E26&amp;" × "&amp;Despiece!F26</x:f>
        <x:v>1950 × 92</x:v>
      </x:c>
      <x:c r="N26" s="23" t="str">
        <x:f>IF(LEN(TRIM(IF($L26="Pequeña","Si no la cantean: cortar a "&amp;ROUND(Despiece!M26,2)&amp;" × "&amp;ROUND(Despiece!N26,2)&amp;" y cantear en el armado.","")&amp;" "&amp;IFERROR(VLOOKUP(Despiece!A26,$S$2:$T$40,2,FALSE),"")))=0,"—",TRIM(IF($L26="Pequeña","Si no la cantean: cortar a "&amp;ROUND(Despiece!M26,2)&amp;" × "&amp;ROUND(Despiece!N26,2)&amp;" y cantear en el armado.","")&amp;" "&amp;IFERROR(VLOOKUP(Despiece!A26,$S$2:$T$40,2,FALSE),"")))</x:f>
        <x:v>Si no la cantean: cortar a 1949.1 × 91.1 y cantear en el armado.</x:v>
      </x:c>
    </x:row>
    <x:row r="27" ht="79.19999694824219">
      <x:c r="A27" s="21" t="str">
        <x:f>Despiece!A27</x:f>
        <x:v>C3-021</x:v>
      </x:c>
      <x:c r="B27" s="21" t="str">
        <x:f>Despiece!B27</x:f>
        <x:v>BASE</x:v>
      </x:c>
      <x:c r="C27" s="21" t="str">
        <x:f>Despiece!C27</x:f>
        <x:v>Travesaño trasero de base</x:v>
      </x:c>
      <x:c r="D27" s="21" t="str">
        <x:f>"RH15 Cartagena "&amp;Despiece!G27&amp;" mm"</x:f>
        <x:v>RH15 Cartagena 15 mm</x:v>
      </x:c>
      <x:c r="E27" s="21" t="n">
        <x:f>Despiece!D27</x:f>
        <x:v>1</x:v>
      </x:c>
      <x:c r="F27" s="35" t="n">
        <x:f>IF($Q$2="NO",ROUND(Despiece!M27,2),Despiece!E27)</x:f>
        <x:v>1950</x:v>
      </x:c>
      <x:c r="G27" s="35" t="n">
        <x:f>IF($Q$2="NO",ROUND(Despiece!N27,2),Despiece!F27)</x:f>
        <x:v>80</x:v>
      </x:c>
      <x:c r="H27" s="22" t="str">
        <x:f>IF(Despiece!I27="2","R",IF(Despiece!I27="0.45","F","—"))</x:f>
        <x:v>F</x:v>
      </x:c>
      <x:c r="I27" s="22" t="str">
        <x:f>IF(Despiece!J27="2","R",IF(Despiece!J27="0.45","F","—"))</x:f>
        <x:v>F</x:v>
      </x:c>
      <x:c r="J27" s="22" t="str">
        <x:f>IF(Despiece!K27="2","R",IF(Despiece!K27="0.45","F","—"))</x:f>
        <x:v>F</x:v>
      </x:c>
      <x:c r="K27" s="22" t="str">
        <x:f>IF(Despiece!L27="2","R",IF(Despiece!L27="0.45","F","—"))</x:f>
        <x:v>F</x:v>
      </x:c>
      <x:c r="L27" s="22" t="str">
        <x:f>IF(SUMPRODUCT((Despiece!I27:L27="2")+(Despiece!I27:L27="0.45"))=0,"Sin canto",IF(OR(MIN(Despiece!M27,Despiece!N27)&lt;$Q$3,MAX(Despiece!M27,Despiece!N27)&lt;$Q$4),"Pequeña","Normal"))</x:f>
        <x:v>Pequeña</x:v>
      </x:c>
      <x:c r="M27" s="21" t="str">
        <x:f>Despiece!E27&amp;" × "&amp;Despiece!F27</x:f>
        <x:v>1950 × 80</x:v>
      </x:c>
      <x:c r="N27" s="23" t="str">
        <x:f>IF(LEN(TRIM(IF($L27="Pequeña","Si no la cantean: cortar a "&amp;ROUND(Despiece!M27,2)&amp;" × "&amp;ROUND(Despiece!N27,2)&amp;" y cantear en el armado.","")&amp;" "&amp;IFERROR(VLOOKUP(Despiece!A27,$S$2:$T$40,2,FALSE),"")))=0,"—",TRIM(IF($L27="Pequeña","Si no la cantean: cortar a "&amp;ROUND(Despiece!M27,2)&amp;" × "&amp;ROUND(Despiece!N27,2)&amp;" y cantear en el armado.","")&amp;" "&amp;IFERROR(VLOOKUP(Despiece!A27,$S$2:$T$40,2,FALSE),"")))</x:f>
        <x:v>Si no la cantean: cortar a 1949.1 × 79.1 y cantear en el armado.</x:v>
      </x:c>
    </x:row>
    <x:row r="28" ht="79.19999694824219">
      <x:c r="A28" s="21" t="str">
        <x:f>Despiece!A28</x:f>
        <x:v>C3-022</x:v>
      </x:c>
      <x:c r="B28" s="21" t="str">
        <x:f>Despiece!B28</x:f>
        <x:v>BASE</x:v>
      </x:c>
      <x:c r="C28" s="21" t="str">
        <x:f>Despiece!C28</x:f>
        <x:v>Travesaño de base</x:v>
      </x:c>
      <x:c r="D28" s="21" t="str">
        <x:f>"RH15 Cartagena "&amp;Despiece!G28&amp;" mm"</x:f>
        <x:v>RH15 Cartagena 15 mm</x:v>
      </x:c>
      <x:c r="E28" s="21" t="n">
        <x:f>Despiece!D28</x:f>
        <x:v>3</x:v>
      </x:c>
      <x:c r="F28" s="35" t="n">
        <x:f>IF($Q$2="NO",ROUND(Despiece!M28,2),Despiece!E28)</x:f>
        <x:v>480</x:v>
      </x:c>
      <x:c r="G28" s="35" t="n">
        <x:f>IF($Q$2="NO",ROUND(Despiece!N28,2),Despiece!F28)</x:f>
        <x:v>80</x:v>
      </x:c>
      <x:c r="H28" s="22" t="str">
        <x:f>IF(Despiece!I28="2","R",IF(Despiece!I28="0.45","F","—"))</x:f>
        <x:v>F</x:v>
      </x:c>
      <x:c r="I28" s="22" t="str">
        <x:f>IF(Despiece!J28="2","R",IF(Despiece!J28="0.45","F","—"))</x:f>
        <x:v>F</x:v>
      </x:c>
      <x:c r="J28" s="22" t="str">
        <x:f>IF(Despiece!K28="2","R",IF(Despiece!K28="0.45","F","—"))</x:f>
        <x:v>F</x:v>
      </x:c>
      <x:c r="K28" s="22" t="str">
        <x:f>IF(Despiece!L28="2","R",IF(Despiece!L28="0.45","F","—"))</x:f>
        <x:v>F</x:v>
      </x:c>
      <x:c r="L28" s="22" t="str">
        <x:f>IF(SUMPRODUCT((Despiece!I28:L28="2")+(Despiece!I28:L28="0.45"))=0,"Sin canto",IF(OR(MIN(Despiece!M28,Despiece!N28)&lt;$Q$3,MAX(Despiece!M28,Despiece!N28)&lt;$Q$4),"Pequeña","Normal"))</x:f>
        <x:v>Pequeña</x:v>
      </x:c>
      <x:c r="M28" s="21" t="str">
        <x:f>Despiece!E28&amp;" × "&amp;Despiece!F28</x:f>
        <x:v>480 × 80</x:v>
      </x:c>
      <x:c r="N28" s="23" t="str">
        <x:f>IF(LEN(TRIM(IF($L28="Pequeña","Si no la cantean: cortar a "&amp;ROUND(Despiece!M28,2)&amp;" × "&amp;ROUND(Despiece!N28,2)&amp;" y cantear en el armado.","")&amp;" "&amp;IFERROR(VLOOKUP(Despiece!A28,$S$2:$T$40,2,FALSE),"")))=0,"—",TRIM(IF($L28="Pequeña","Si no la cantean: cortar a "&amp;ROUND(Despiece!M28,2)&amp;" × "&amp;ROUND(Despiece!N28,2)&amp;" y cantear en el armado.","")&amp;" "&amp;IFERROR(VLOOKUP(Despiece!A28,$S$2:$T$40,2,FALSE),"")))</x:f>
        <x:v>Si no la cantean: cortar a 479.1 × 79.1 y cantear en el armado.</x:v>
      </x:c>
    </x:row>
    <x:row r="29" ht="92.4000015258789">
      <x:c r="A29" s="21" t="str">
        <x:f>Despiece!A29</x:f>
        <x:v>C3-023</x:v>
      </x:c>
      <x:c r="B29" s="21" t="str">
        <x:f>Despiece!B29</x:f>
        <x:v>PUERTAS</x:v>
      </x:c>
      <x:c r="C29" s="21" t="str">
        <x:f>Despiece!C29</x:f>
        <x:v>Hoja corrediza RH15</x:v>
      </x:c>
      <x:c r="D29" s="21" t="str">
        <x:f>"RH15 Cartagena "&amp;Despiece!G29&amp;" mm"</x:f>
        <x:v>RH15 Cartagena 15 mm</x:v>
      </x:c>
      <x:c r="E29" s="21" t="n">
        <x:f>Despiece!D29</x:f>
        <x:v>2</x:v>
      </x:c>
      <x:c r="F29" s="35" t="n">
        <x:f>IF($Q$2="NO",ROUND(Despiece!M29,2),Despiece!E29)</x:f>
        <x:v>2175</x:v>
      </x:c>
      <x:c r="G29" s="35" t="n">
        <x:f>IF($Q$2="NO",ROUND(Despiece!N29,2),Despiece!F29)</x:f>
        <x:v>975</x:v>
      </x:c>
      <x:c r="H29" s="22" t="str">
        <x:f>IF(Despiece!I29="2","R",IF(Despiece!I29="0.45","F","—"))</x:f>
        <x:v>R</x:v>
      </x:c>
      <x:c r="I29" s="22" t="str">
        <x:f>IF(Despiece!J29="2","R",IF(Despiece!J29="0.45","F","—"))</x:f>
        <x:v>R</x:v>
      </x:c>
      <x:c r="J29" s="22" t="str">
        <x:f>IF(Despiece!K29="2","R",IF(Despiece!K29="0.45","F","—"))</x:f>
        <x:v>R</x:v>
      </x:c>
      <x:c r="K29" s="22" t="str">
        <x:f>IF(Despiece!L29="2","R",IF(Despiece!L29="0.45","F","—"))</x:f>
        <x:v>R</x:v>
      </x:c>
      <x:c r="L29" s="22" t="str">
        <x:f>IF(SUMPRODUCT((Despiece!I29:L29="2")+(Despiece!I29:L29="0.45"))=0,"Sin canto",IF(OR(MIN(Despiece!M29,Despiece!N29)&lt;$Q$3,MAX(Despiece!M29,Despiece!N29)&lt;$Q$4),"Pequeña","Normal"))</x:f>
        <x:v>Normal</x:v>
      </x:c>
      <x:c r="M29" s="21" t="str">
        <x:f>Despiece!E29&amp;" × "&amp;Despiece!F29</x:f>
        <x:v>2175 × 975</x:v>
      </x:c>
      <x:c r="N29" s="23" t="str">
        <x:f>IF(LEN(TRIM(IF($L29="Pequeña","Si no la cantean: cortar a "&amp;ROUND(Despiece!M29,2)&amp;" × "&amp;ROUND(Despiece!N29,2)&amp;" y cantear en el armado.","")&amp;" "&amp;IFERROR(VLOOKUP(Despiece!A29,$S$2:$T$40,2,FALSE),"")))=0,"—",TRIM(IF($L29="Pequeña","Si no la cantean: cortar a "&amp;ROUND(Despiece!M29,2)&amp;" × "&amp;ROUND(Despiece!N29,2)&amp;" y cantear en el armado.","")&amp;" "&amp;IFERROR(VLOOKUP(Despiece!A29,$S$2:$T$40,2,FALSE),"")))</x:f>
        <x:v>Cortar después de confirmar el kit Peralma (altura de hoja y plantilla).</x:v>
      </x:c>
    </x:row>
    <x:row r="30">
      <x:c r="A30" s="21" t="str">
        <x:f>Despiece!A30</x:f>
        <x:v>C3-024</x:v>
      </x:c>
      <x:c r="B30" s="21" t="str">
        <x:f>Despiece!B30</x:f>
        <x:v>EST</x:v>
      </x:c>
      <x:c r="C30" s="21" t="str">
        <x:f>Despiece!C30</x:f>
        <x:v>Solapa frontal</x:v>
      </x:c>
      <x:c r="D30" s="21" t="str">
        <x:f>"RH15 Cartagena "&amp;Despiece!G30&amp;" mm"</x:f>
        <x:v>RH15 Cartagena 15 mm</x:v>
      </x:c>
      <x:c r="E30" s="21" t="n">
        <x:f>Despiece!D30</x:f>
        <x:v>1</x:v>
      </x:c>
      <x:c r="F30" s="35" t="n">
        <x:f>IF($Q$2="NO",ROUND(Despiece!M30,2),Despiece!E30)</x:f>
        <x:v>1950</x:v>
      </x:c>
      <x:c r="G30" s="35" t="n">
        <x:f>IF($Q$2="NO",ROUND(Despiece!N30,2),Despiece!F30)</x:f>
        <x:v>120</x:v>
      </x:c>
      <x:c r="H30" s="22" t="str">
        <x:f>IF(Despiece!I30="2","R",IF(Despiece!I30="0.45","F","—"))</x:f>
        <x:v>R</x:v>
      </x:c>
      <x:c r="I30" s="22" t="str">
        <x:f>IF(Despiece!J30="2","R",IF(Despiece!J30="0.45","F","—"))</x:f>
        <x:v>F</x:v>
      </x:c>
      <x:c r="J30" s="22" t="str">
        <x:f>IF(Despiece!K30="2","R",IF(Despiece!K30="0.45","F","—"))</x:f>
        <x:v>R</x:v>
      </x:c>
      <x:c r="K30" s="22" t="str">
        <x:f>IF(Despiece!L30="2","R",IF(Despiece!L30="0.45","F","—"))</x:f>
        <x:v>R</x:v>
      </x:c>
      <x:c r="L30" s="22" t="str">
        <x:f>IF(SUMPRODUCT((Despiece!I30:L30="2")+(Despiece!I30:L30="0.45"))=0,"Sin canto",IF(OR(MIN(Despiece!M30,Despiece!N30)&lt;$Q$3,MAX(Despiece!M30,Despiece!N30)&lt;$Q$4),"Pequeña","Normal"))</x:f>
        <x:v>Normal</x:v>
      </x:c>
      <x:c r="M30" s="21" t="str">
        <x:f>Despiece!E30&amp;" × "&amp;Despiece!F30</x:f>
        <x:v>1950 × 120</x:v>
      </x:c>
      <x:c r="N30" s="23" t="str">
        <x:f>IF(LEN(TRIM(IF($L30="Pequeña","Si no la cantean: cortar a "&amp;ROUND(Despiece!M30,2)&amp;" × "&amp;ROUND(Despiece!N30,2)&amp;" y cantear en el armado.","")&amp;" "&amp;IFERROR(VLOOKUP(Despiece!A30,$S$2:$T$40,2,FALSE),"")))=0,"—",TRIM(IF($L30="Pequeña","Si no la cantean: cortar a "&amp;ROUND(Despiece!M30,2)&amp;" × "&amp;ROUND(Despiece!N30,2)&amp;" y cantear en el armado.","")&amp;" "&amp;IFERROR(VLOOKUP(Despiece!A30,$S$2:$T$40,2,FALSE),"")))</x:f>
        <x:v>—</x:v>
      </x:c>
    </x:row>
    <x:row r="32">
      <x:c r="C32" s="17" t="s">
        <x:v>105</x:v>
      </x:c>
      <x:c r="D32" s="24"/>
      <x:c r="E32" s="24"/>
      <x:c r="F32" s="17" t="s">
        <x:v>106</x:v>
      </x:c>
      <x:c r="G32" s="17" t="s">
        <x:v>107</x:v>
      </x:c>
    </x:row>
    <x:row r="33">
      <x:c r="C33" s="17" t="s">
        <x:v>108</x:v>
      </x:c>
      <x:c r="D33" s="24"/>
      <x:c r="E33" s="24"/>
      <x:c r="F33" s="26" t="n">
        <x:f>(SUMPRODUCT(Despiece!$D$7:$D$30,Despiece!$E$7:$E$30,(Despiece!$I$7:$I$30="2")+(Despiece!$J$7:$J$30="2"),--($L$7:$L$30="Normal"))+SUMPRODUCT(Despiece!$D$7:$D$30,Despiece!$F$7:$F$30,(Despiece!$K$7:$K$30="2")+(Despiece!$L$7:$L$30="2"),--($L$7:$L$30="Normal")))/1000</x:f>
        <x:v>31.644</x:v>
      </x:c>
      <x:c r="G33" s="26" t="n">
        <x:f>(SUMPRODUCT(Despiece!$D$7:$D$30,Despiece!$E$7:$E$30,(Despiece!$I$7:$I$30="2")+(Despiece!$J$7:$J$30="2"),--($L$7:$L$30="Pequeña"))+SUMPRODUCT(Despiece!$D$7:$D$30,Despiece!$F$7:$F$30,(Despiece!$K$7:$K$30="2")+(Despiece!$L$7:$L$30="2"),--($L$7:$L$30="Pequeña")))/1000</x:f>
        <x:v>0</x:v>
      </x:c>
    </x:row>
    <x:row r="34">
      <x:c r="C34" s="17" t="s">
        <x:v>109</x:v>
      </x:c>
      <x:c r="D34" s="24"/>
      <x:c r="E34" s="24"/>
      <x:c r="F34" s="26" t="n">
        <x:f>(SUMPRODUCT(Despiece!$D$7:$D$30,Despiece!$E$7:$E$30,(Despiece!$I$7:$I$30="0.45")+(Despiece!$J$7:$J$30="0.45"),--($L$7:$L$30="Normal"))+SUMPRODUCT(Despiece!$D$7:$D$30,Despiece!$F$7:$F$30,(Despiece!$K$7:$K$30="0.45")+(Despiece!$L$7:$L$30="0.45"),--($L$7:$L$30="Normal")))/1000</x:f>
        <x:v>21.082</x:v>
      </x:c>
      <x:c r="G34" s="26" t="n">
        <x:f>(SUMPRODUCT(Despiece!$D$7:$D$30,Despiece!$E$7:$E$30,(Despiece!$I$7:$I$30="0.45")+(Despiece!$J$7:$J$30="0.45"),--($L$7:$L$30="Pequeña"))+SUMPRODUCT(Despiece!$D$7:$D$30,Despiece!$F$7:$F$30,(Despiece!$K$7:$K$30="0.45")+(Despiece!$L$7:$L$30="0.45"),--($L$7:$L$30="Pequeña")))/1000</x:f>
        <x:v>17.963</x:v>
      </x:c>
    </x:row>
    <x:row r="35">
      <x:c r="C35" s="17" t="s">
        <x:v>110</x:v>
      </x:c>
      <x:c r="D35" s="24"/>
      <x:c r="E35" s="24"/>
      <x:c r="F35" s="27" t="n">
        <x:f>SUMPRODUCT($E$7:$E$30,--($L$7:$L$30&lt;&gt;"Pequeña"))</x:f>
        <x:v>32</x:v>
      </x:c>
      <x:c r="G35" s="27" t="n">
        <x:f>SUMIF($L$7:$L$30,"Pequeña",$E$7:$E$30)</x:f>
        <x:v>12</x:v>
      </x:c>
    </x:row>
    <x:row r="37">
      <x:c r="C37" s="17" t="str">
        <x:v>Canto para acabado manual · previsión sujeta a la entrega</x:v>
      </x:c>
      <x:c r="D37" s="24"/>
      <x:c r="E37" s="24"/>
      <x:c r="F37" s="17" t="s">
        <x:v>108</x:v>
      </x:c>
      <x:c r="G37" s="17" t="s">
        <x:v>109</x:v>
      </x:c>
    </x:row>
    <x:row r="38">
      <x:c r="C38" s="15" t="s">
        <x:v>111</x:v>
      </x:c>
      <x:c r="F38" s="29" t="n">
        <x:f>SUMPRODUCT(Despiece!$D$7:$D$30,(Despiece!$I$7:$I$30="2")+(Despiece!$J$7:$J$30="2")+(Despiece!$K$7:$K$30="2")+(Despiece!$L$7:$L$30="2"),--($L$7:$L$30="Pequeña"))</x:f>
        <x:v>0</x:v>
      </x:c>
      <x:c r="G38" s="29" t="n">
        <x:f>SUMPRODUCT(Despiece!$D$7:$D$30,(Despiece!$I$7:$I$30="0.45")+(Despiece!$J$7:$J$30="0.45")+(Despiece!$K$7:$K$30="0.45")+(Despiece!$L$7:$L$30="0.45"),--($L$7:$L$30="Pequeña"))</x:f>
        <x:v>33</x:v>
      </x:c>
    </x:row>
    <x:row r="39">
      <x:c r="C39" s="15" t="s">
        <x:v>112</x:v>
      </x:c>
      <x:c r="F39" s="30" t="n">
        <x:f>G33</x:f>
        <x:v>0</x:v>
      </x:c>
      <x:c r="G39" s="30" t="n">
        <x:f>G34</x:f>
        <x:v>17.963</x:v>
      </x:c>
    </x:row>
    <x:row r="40">
      <x:c r="C40" s="15" t="s">
        <x:v>113</x:v>
      </x:c>
      <x:c r="F40" s="31">
        <x:v>0.1</x:v>
      </x:c>
      <x:c r="G40" s="31">
        <x:v>0.1</x:v>
      </x:c>
    </x:row>
    <x:row r="41">
      <x:c r="C41" s="15" t="s">
        <x:v>114</x:v>
      </x:c>
      <x:c r="F41" s="32">
        <x:v>0.2</x:v>
      </x:c>
      <x:c r="G41" s="32">
        <x:v>0.2</x:v>
      </x:c>
    </x:row>
    <x:row r="42">
      <x:c r="C42" s="17" t="str">
        <x:v>Estimado con desperdicio y reserva (m)</x:v>
      </x:c>
      <x:c r="D42" s="24"/>
      <x:c r="E42" s="24"/>
      <x:c r="F42" s="28" t="n">
        <x:f>IF(F38=0,0,ROUNDUP((F39+F38*F40)*(1+F41),0))</x:f>
        <x:v>0</x:v>
      </x:c>
      <x:c r="G42" s="28" t="n">
        <x:f>IF(G38=0,0,ROUNDUP((G39+G38*G40)*(1+G41),0))</x:f>
        <x:v>26</x:v>
      </x:c>
    </x:row>
    <x:row r="43" ht="50" customHeight="1">
      <x:c r="C43" s="45" t="str">
        <x:v>Previsión para las piezas pequeñas, no garantía de cuáles canteará Madecentro. Incluye 10 cm extra por borde y 20 % de reserva; ambos valores son editables. Al recibir las piezas, ajustar el objetivo si faltan otros bordes o si el proveedor canteó parte de ellos.</x:v>
      </x:c>
    </x:row>
    <x:row r="44" ht="34" customHeight="1">
      <x:c r="C44" t="str">
        <x:v>Objetivo revisado con reserva (m; opcional)</x:v>
      </x:c>
      <x:c r="F44" s="39"/>
      <x:c r="G44" s="39"/>
    </x:row>
    <x:row r="45" ht="34" customHeight="1">
      <x:c r="C45" t="str">
        <x:v>Metros ya disponibles para cantear en casa</x:v>
      </x:c>
      <x:c r="F45" s="39" t="n">
        <x:v>0</x:v>
      </x:c>
      <x:c r="G45" s="39" t="n">
        <x:v>0</x:v>
      </x:c>
    </x:row>
    <x:row r="46" ht="34" customHeight="1">
      <x:c r="C46" s="43" t="str">
        <x:v>Metros faltantes por comprar</x:v>
      </x:c>
      <x:c r="D46" s="43"/>
      <x:c r="E46" s="43"/>
      <x:c r="F46" s="44" t="n">
        <x:f>ROUNDUP(MAX(IF(ISNUMBER(F44),F44,F42)-F45,0),0)</x:f>
        <x:v>0</x:v>
      </x:c>
      <x:c r="G46" s="44" t="n">
        <x:f>ROUNDUP(MAX(IF(ISNUMBER(G44),G44,G42)-G45,0),0)</x:f>
        <x:v>26</x:v>
      </x:c>
    </x:row>
    <x:row r="47" ht="50" customHeight="1">
      <x:c r="C47" s="46" t="str">
        <x:v>Dejar el objetivo revisado vacío para usar el estimado. Si ya hay canto comprado o sobrante de rollos, anotarlo en metros disponibles. No sumar este material dos veces al presupuesto. Precio por metro suelto y pegante por cotizar con el proveedor.</x:v>
      </x:c>
    </x:row>
  </x:sheetData>
  <x:mergeCells>
    <x:mergeCell ref="C43:N43"/>
    <x:mergeCell ref="C47:N47"/>
  </x:mergeCells>
  <x:dataValidations count="1">
    <x:dataValidation type="list" allowBlank="1" showInputMessage="1" showErrorMessage="1" sqref="Q2"/>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6" topLeftCell="A7" activePane="bottomLeft" state="frozen"/>
    </x:sheetView>
  </x:sheetViews>
  <x:sheetFormatPr baseColWidth="10" defaultColWidth="8.6640625" defaultRowHeight="13.199999809265137"/>
  <x:cols>
    <x:col min="1" max="1" width="22" customWidth="1"/>
    <x:col min="2" max="2" width="75" customWidth="1"/>
    <x:col min="3" max="3" width="16" customWidth="1"/>
    <x:col min="4" max="4" width="14" customWidth="1"/>
    <x:col min="5" max="6" width="17" customWidth="1"/>
    <x:col min="7" max="7" width="15" customWidth="1"/>
    <x:col min="8" max="8" width="12" customWidth="1"/>
    <x:col min="9" max="9" width="14" customWidth="1"/>
  </x:cols>
  <x:sheetData>
    <x:row r="1" ht="15" customHeight="1">
      <x:c r="A1" s="1"/>
      <x:c r="B1" s="1"/>
      <x:c r="C1" s="1"/>
      <x:c r="D1" s="1"/>
      <x:c r="E1" s="1"/>
      <x:c r="F1" s="1"/>
      <x:c r="G1" s="1"/>
      <x:c r="H1" s="1"/>
      <x:c r="I1" s="1"/>
    </x:row>
    <x:row r="2" ht="19.5" customHeight="1">
      <x:c r="A2" s="2" t="s">
        <x:v>115</x:v>
      </x:c>
      <x:c r="B2" s="1"/>
      <x:c r="C2" s="1"/>
      <x:c r="D2" s="1"/>
      <x:c r="E2" s="1"/>
      <x:c r="F2" s="1"/>
      <x:c r="G2" s="1"/>
      <x:c r="H2" s="1" t="s">
        <x:v>116</x:v>
      </x:c>
      <x:c r="I2" s="1">
        <x:v>0.05</x:v>
      </x:c>
    </x:row>
    <x:row r="3" ht="15" customHeight="1">
      <x:c r="A3" s="13" t="s">
        <x:v>117</x:v>
      </x:c>
      <x:c r="B3" s="1"/>
      <x:c r="C3" s="1"/>
      <x:c r="D3" s="1"/>
      <x:c r="E3" s="1"/>
      <x:c r="F3" s="1"/>
      <x:c r="G3" s="1"/>
      <x:c r="H3" s="1"/>
      <x:c r="I3" s="1"/>
    </x:row>
    <x:row r="4" ht="15" customHeight="1">
      <x:c r="A4" s="1"/>
      <x:c r="B4" s="1"/>
      <x:c r="C4" s="1"/>
      <x:c r="D4" s="1"/>
      <x:c r="E4" s="1"/>
      <x:c r="F4" s="1"/>
      <x:c r="G4" s="1"/>
      <x:c r="H4" s="1"/>
      <x:c r="I4" s="1"/>
    </x:row>
    <x:row r="5" ht="15" customHeight="1">
      <x:c r="A5" s="1"/>
      <x:c r="B5" s="1"/>
      <x:c r="C5" s="1"/>
      <x:c r="D5" s="1"/>
      <x:c r="E5" s="1"/>
      <x:c r="F5" s="1"/>
      <x:c r="G5" s="1"/>
      <x:c r="H5" s="1"/>
      <x:c r="I5" s="1"/>
    </x:row>
    <x:row r="6" ht="42" customHeight="1">
      <x:c r="A6" s="3" t="s">
        <x:v>118</x:v>
      </x:c>
      <x:c r="B6" s="3" t="s">
        <x:v>119</x:v>
      </x:c>
      <x:c r="C6" s="3" t="s">
        <x:v>112</x:v>
      </x:c>
      <x:c r="D6" s="3" t="s">
        <x:v>120</x:v>
      </x:c>
      <x:c r="E6" s="3" t="s">
        <x:v>121</x:v>
      </x:c>
      <x:c r="F6" s="3" t="s">
        <x:v>122</x:v>
      </x:c>
      <x:c r="G6" s="3" t="s">
        <x:v>123</x:v>
      </x:c>
      <x:c r="H6" s="3" t="s">
        <x:v>124</x:v>
      </x:c>
      <x:c r="I6" s="1"/>
    </x:row>
    <x:row r="7" ht="60" customHeight="1">
      <x:c r="A7" s="1" t="s">
        <x:v>125</x:v>
      </x:c>
      <x:c r="B7" s="4" t="s">
        <x:v>126</x:v>
      </x:c>
      <x:c r="C7" s="8" t="n">
        <x:f>SUMPRODUCT(Despiece!$D$7:$D$30,Despiece!$E$7:$E$30,(Despiece!$I$7:$I$30="2")+(Despiece!$J$7:$J$30="2"))/1000+SUMPRODUCT(Despiece!$D$7:$D$30,Despiece!$F$7:$F$30,(Despiece!$K$7:$K$30="2")+(Despiece!$L$7:$L$30="2"))/1000</x:f>
        <x:v>31.644</x:v>
      </x:c>
      <x:c r="D7" s="1" t="n">
        <x:f>SUMPRODUCT(Despiece!$D$7:$D$30,(Despiece!$I$7:$I$30="2")+(Despiece!$J$7:$J$30="2")+(Despiece!$K$7:$K$30="2")+(Despiece!$L$7:$L$30="2"))</x:f>
        <x:v>30</x:v>
      </x:c>
      <x:c r="E7" s="6" t="n">
        <x:f>D7*$I$2</x:f>
        <x:v>1.5</x:v>
      </x:c>
      <x:c r="F7" s="1" t="n">
        <x:f>ROUNDUP((C7+E7)/5,0)*5</x:f>
        <x:v>35</x:v>
      </x:c>
      <x:c r="G7" s="1">
        <x:v>100</x:v>
      </x:c>
      <x:c r="H7" s="1" t="n">
        <x:f>ROUNDUP(F7/G7,0)</x:f>
        <x:v>1</x:v>
      </x:c>
      <x:c r="I7" s="1"/>
    </x:row>
    <x:row r="8" ht="60" customHeight="1">
      <x:c r="A8" s="1" t="s">
        <x:v>127</x:v>
      </x:c>
      <x:c r="B8" s="14" t="s">
        <x:v>128</x:v>
      </x:c>
      <x:c r="C8" s="8" t="n">
        <x:f>SUMPRODUCT(Despiece!$D$7:$D$30,Despiece!$E$7:$E$30,(Despiece!$I$7:$I$30="0.45")+(Despiece!$J$7:$J$30="0.45"))/1000+SUMPRODUCT(Despiece!$D$7:$D$30,Despiece!$F$7:$F$30,(Despiece!$K$7:$K$30="0.45")+(Despiece!$L$7:$L$30="0.45"))/1000</x:f>
        <x:v>39.045</x:v>
      </x:c>
      <x:c r="D8" s="1" t="n">
        <x:f>SUMPRODUCT(Despiece!$D$7:$D$30,(Despiece!$I$7:$I$30="0.45")+(Despiece!$J$7:$J$30="0.45")+(Despiece!$K$7:$K$30="0.45")+(Despiece!$L$7:$L$30="0.45"))</x:f>
        <x:v>70</x:v>
      </x:c>
      <x:c r="E8" s="6" t="n">
        <x:f>D8*$I$2</x:f>
        <x:v>3.5</x:v>
      </x:c>
      <x:c r="F8" s="1" t="n">
        <x:f>ROUNDUP((C8+E8)/5,0)*5</x:f>
        <x:v>45</x:v>
      </x:c>
      <x:c r="G8" s="1">
        <x:v>200</x:v>
      </x:c>
      <x:c r="H8" s="1" t="n">
        <x:f>ROUNDUP(F8/G8,0)</x:f>
        <x:v>1</x:v>
      </x:c>
      <x:c r="I8" s="1"/>
    </x:row>
    <x:row r="9" ht="15" customHeight="1">
      <x:c r="A9" s="1"/>
      <x:c r="B9" s="1"/>
      <x:c r="C9" s="1"/>
      <x:c r="D9" s="1"/>
      <x:c r="E9" s="1"/>
      <x:c r="F9" s="1"/>
      <x:c r="G9" s="1"/>
      <x:c r="H9" s="1"/>
      <x:c r="I9" s="1"/>
    </x:row>
    <x:row r="10" ht="15" customHeight="1">
      <x:c r="A10" s="13" t="s">
        <x:v>129</x:v>
      </x:c>
      <x:c r="B10" s="1"/>
      <x:c r="C10" s="1"/>
      <x:c r="D10" s="1"/>
      <x:c r="E10" s="1"/>
      <x:c r="F10" s="1"/>
      <x:c r="G10" s="1"/>
      <x:c r="H10" s="1"/>
      <x:c r="I10" s="1"/>
    </x:row>
    <x:row r="11" ht="15" customHeight="1">
      <x:c r="A11" s="1"/>
      <x:c r="B11" s="1"/>
      <x:c r="C11" s="1"/>
      <x:c r="D11" s="1"/>
      <x:c r="E11" s="1"/>
      <x:c r="F11" s="1"/>
      <x:c r="G11" s="1"/>
      <x:c r="H11" s="1"/>
      <x:c r="I11" s="1"/>
    </x:row>
    <x:row r="12" ht="15" customHeight="1">
      <x:c r="A12" s="1"/>
      <x:c r="B12" s="1"/>
      <x:c r="C12" s="1"/>
      <x:c r="D12" s="1"/>
      <x:c r="E12" s="1"/>
      <x:c r="F12" s="1"/>
      <x:c r="G12" s="1"/>
      <x:c r="H12" s="1"/>
      <x:c r="I12" s="1"/>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baseColWidth="10" defaultColWidth="8.6640625" defaultRowHeight="13.199999809265137"/>
  <x:cols>
    <x:col min="1" max="1" width="25" customWidth="1"/>
    <x:col min="2" max="2" width="32" customWidth="1"/>
    <x:col min="3" max="3" width="12" customWidth="1"/>
    <x:col min="4" max="4" width="13" customWidth="1"/>
    <x:col min="5" max="5" width="17" customWidth="1"/>
    <x:col min="6" max="6" width="18" customWidth="1"/>
    <x:col min="7" max="7" width="24" customWidth="1"/>
    <x:col min="8" max="8" width="86" customWidth="1"/>
    <x:col min="9" max="9" width="3" customWidth="1"/>
    <x:col min="10" max="10" width="80" customWidth="1"/>
  </x:cols>
  <x:sheetData>
    <x:row r="1" ht="15" customHeight="1">
      <x:c r="A1" s="1"/>
      <x:c r="B1" s="1"/>
      <x:c r="C1" s="1"/>
      <x:c r="D1" s="1"/>
      <x:c r="E1" s="1"/>
      <x:c r="F1" s="1"/>
      <x:c r="G1" s="1"/>
      <x:c r="H1" s="1"/>
      <x:c r="I1" s="1"/>
      <x:c r="J1" s="1"/>
    </x:row>
    <x:row r="2" ht="19.5" customHeight="1">
      <x:c r="A2" s="2" t="s">
        <x:v>130</x:v>
      </x:c>
      <x:c r="B2" s="1"/>
      <x:c r="C2" s="1"/>
      <x:c r="D2" s="1"/>
      <x:c r="E2" s="1"/>
      <x:c r="F2" s="1"/>
      <x:c r="G2" s="1"/>
      <x:c r="H2" s="1"/>
      <x:c r="I2" s="1"/>
      <x:c r="J2" s="1"/>
    </x:row>
    <x:row r="3" ht="15" customHeight="1">
      <x:c r="A3" s="1" t="s">
        <x:v>131</x:v>
      </x:c>
      <x:c r="B3" s="1"/>
      <x:c r="C3" s="1"/>
      <x:c r="D3" s="1"/>
      <x:c r="E3" s="1"/>
      <x:c r="F3" s="1"/>
      <x:c r="G3" s="1"/>
      <x:c r="H3" s="1"/>
      <x:c r="I3" s="1"/>
      <x:c r="J3" s="1"/>
    </x:row>
    <x:row r="4" ht="15" customHeight="1">
      <x:c r="A4" s="1" t="s">
        <x:v>132</x:v>
      </x:c>
      <x:c r="B4" s="1"/>
      <x:c r="C4" s="1"/>
      <x:c r="D4" s="1"/>
      <x:c r="E4" s="1"/>
      <x:c r="F4" s="1"/>
      <x:c r="G4" s="1"/>
      <x:c r="H4" s="1"/>
      <x:c r="I4" s="1"/>
      <x:c r="J4" s="1"/>
    </x:row>
    <x:row r="5" ht="15" customHeight="1">
      <x:c r="A5" s="1"/>
      <x:c r="B5" s="1"/>
      <x:c r="C5" s="1"/>
      <x:c r="D5" s="1"/>
      <x:c r="E5" s="1"/>
      <x:c r="F5" s="1"/>
      <x:c r="G5" s="1"/>
      <x:c r="H5" s="1"/>
      <x:c r="I5" s="1"/>
      <x:c r="J5" s="1"/>
    </x:row>
    <x:row r="6" ht="42" customHeight="1">
      <x:c r="A6" s="3" t="s">
        <x:v>133</x:v>
      </x:c>
      <x:c r="B6" s="3" t="s">
        <x:v>134</x:v>
      </x:c>
      <x:c r="C6" s="3" t="s">
        <x:v>135</x:v>
      </x:c>
      <x:c r="D6" s="3" t="s">
        <x:v>136</x:v>
      </x:c>
      <x:c r="E6" s="3" t="s">
        <x:v>137</x:v>
      </x:c>
      <x:c r="F6" s="3" t="s">
        <x:v>138</x:v>
      </x:c>
      <x:c r="G6" s="3" t="s">
        <x:v>17</x:v>
      </x:c>
      <x:c r="H6" s="3" t="s">
        <x:v>139</x:v>
      </x:c>
      <x:c r="I6" s="1"/>
      <x:c r="J6" s="1" t="s">
        <x:v>140</x:v>
      </x:c>
    </x:row>
    <x:row r="7" ht="79.5" customHeight="1">
      <x:c r="A7" s="1" t="s">
        <x:v>141</x:v>
      </x:c>
      <x:c r="B7" s="4" t="s">
        <x:v>142</x:v>
      </x:c>
      <x:c r="C7" s="1">
        <x:v>5</x:v>
      </x:c>
      <x:c r="D7" s="1" t="s">
        <x:v>143</x:v>
      </x:c>
      <x:c r="E7" s="9">
        <x:v>365872</x:v>
      </x:c>
      <x:c r="F7" s="9" t="n">
        <x:f t="shared" ref="F7:F21" si="0">IF(COUNT(C7,E7)=2,C7*E7,"Por cotizar")</x:f>
        <x:v>1829360</x:v>
      </x:c>
      <x:c r="G7" s="4" t="s">
        <x:v>144</x:v>
      </x:c>
      <x:c r="H7" s="4" t="s">
        <x:v>145</x:v>
      </x:c>
      <x:c r="I7" s="1"/>
      <x:c r="J7" s="4" t="s">
        <x:v>146</x:v>
      </x:c>
    </x:row>
    <x:row r="8" ht="79.5" customHeight="1">
      <x:c r="A8" s="1" t="s">
        <x:v>147</x:v>
      </x:c>
      <x:c r="B8" s="4" t="s">
        <x:v>148</x:v>
      </x:c>
      <x:c r="C8" s="1" t="n">
        <x:f>Cantos!H7</x:f>
        <x:v>1</x:v>
      </x:c>
      <x:c r="D8" s="1" t="s">
        <x:v>149</x:v>
      </x:c>
      <x:c r="E8" s="9">
        <x:v>531600</x:v>
      </x:c>
      <x:c r="F8" s="9">
        <x:f t="shared" si="0"/>
        <x:v>531600</x:v>
      </x:c>
      <x:c r="G8" s="4" t="s">
        <x:v>150</x:v>
      </x:c>
      <x:c r="H8" s="4" t="str">
        <x:v>Cantidad exclusiva de este clóset, calculada en Cantos. No se han descontado sobrantes de otros muebles. Para acabado manual: ver «Metros faltantes por comprar» al final de Pedido de corte; descontar material ya disponible. Precio por metro suelto y pegante por cotizar.</x:v>
      </x:c>
      <x:c r="I8" s="1"/>
      <x:c r="J8" s="4" t="s">
        <x:v>151</x:v>
      </x:c>
    </x:row>
    <x:row r="9" ht="79.5" customHeight="1">
      <x:c r="A9" s="1" t="s">
        <x:v>152</x:v>
      </x:c>
      <x:c r="B9" s="4" t="s">
        <x:v>153</x:v>
      </x:c>
      <x:c r="C9" s="1" t="n">
        <x:f>Cantos!H8</x:f>
        <x:v>1</x:v>
      </x:c>
      <x:c r="D9" s="1" t="s">
        <x:v>149</x:v>
      </x:c>
      <x:c r="E9" s="9">
        <x:v>285600</x:v>
      </x:c>
      <x:c r="F9" s="9">
        <x:f t="shared" si="0"/>
        <x:v>285600</x:v>
      </x:c>
      <x:c r="G9" s="4" t="s">
        <x:v>150</x:v>
      </x:c>
      <x:c r="H9" s="4" t="str">
        <x:v>Confirmar SKU, suministro y canteado de piezas estrechas. Con el criterio de bordes vistos, cocina y clóset juntos necesitan unos 90 m de canto flexible: caben en un solo rollo de 200 m si se compran juntos. Para acabado manual: ver «Metros faltantes por comprar» al final de Pedido de corte; descontar material ya disponible. Precio por metro suelto y pegante por cotizar.</x:v>
      </x:c>
      <x:c r="I9" s="1"/>
      <x:c r="J9" s="4" t="s">
        <x:v>154</x:v>
      </x:c>
    </x:row>
    <x:row r="10" ht="79.5" customHeight="1">
      <x:c r="A10" s="1" t="s">
        <x:v>155</x:v>
      </x:c>
      <x:c r="B10" s="4" t="s">
        <x:v>156</x:v>
      </x:c>
      <x:c r="C10" s="1">
        <x:v>3</x:v>
      </x:c>
      <x:c r="D10" s="1" t="s">
        <x:v>157</x:v>
      </x:c>
      <x:c r="E10" s="9">
        <x:v>11287</x:v>
      </x:c>
      <x:c r="F10" s="9">
        <x:f t="shared" si="0"/>
        <x:v>33861</x:v>
      </x:c>
      <x:c r="G10" s="4" t="s">
        <x:v>158</x:v>
      </x:c>
      <x:c r="H10" s="4" t="s">
        <x:v>159</x:v>
      </x:c>
      <x:c r="I10" s="1"/>
      <x:c r="J10" s="4" t="s">
        <x:v>160</x:v>
      </x:c>
    </x:row>
    <x:row r="11" ht="79.5" customHeight="1">
      <x:c r="A11" s="1" t="s">
        <x:v>161</x:v>
      </x:c>
      <x:c r="B11" s="4" t="s">
        <x:v>162</x:v>
      </x:c>
      <x:c r="C11" s="1">
        <x:v>1</x:v>
      </x:c>
      <x:c r="D11" s="1" t="s">
        <x:v>163</x:v>
      </x:c>
      <x:c r="E11" s="9">
        <x:v>12730</x:v>
      </x:c>
      <x:c r="F11" s="9">
        <x:f t="shared" si="0"/>
        <x:v>12730</x:v>
      </x:c>
      <x:c r="G11" s="4" t="s">
        <x:v>164</x:v>
      </x:c>
      <x:c r="H11" s="4" t="s">
        <x:v>165</x:v>
      </x:c>
      <x:c r="I11" s="1"/>
      <x:c r="J11" s="4" t="s">
        <x:v>166</x:v>
      </x:c>
    </x:row>
    <x:row r="12" ht="79.5" customHeight="1">
      <x:c r="A12" s="1" t="s">
        <x:v>167</x:v>
      </x:c>
      <x:c r="B12" s="4" t="s">
        <x:v>168</x:v>
      </x:c>
      <x:c r="C12" s="1">
        <x:v>1</x:v>
      </x:c>
      <x:c r="D12" s="1" t="s">
        <x:v>169</x:v>
      </x:c>
      <x:c r="E12" s="9">
        <x:v>33278</x:v>
      </x:c>
      <x:c r="F12" s="9">
        <x:f t="shared" si="0"/>
        <x:v>33278</x:v>
      </x:c>
      <x:c r="G12" s="4" t="s">
        <x:v>158</x:v>
      </x:c>
      <x:c r="H12" s="4" t="s">
        <x:v>170</x:v>
      </x:c>
      <x:c r="I12" s="1"/>
      <x:c r="J12" s="4" t="s">
        <x:v>171</x:v>
      </x:c>
    </x:row>
    <x:row r="13" ht="79.5" customHeight="1">
      <x:c r="A13" s="1" t="s">
        <x:v>172</x:v>
      </x:c>
      <x:c r="B13" s="4" t="s">
        <x:v>173</x:v>
      </x:c>
      <x:c r="C13" s="1">
        <x:v>2</x:v>
      </x:c>
      <x:c r="D13" s="1" t="s">
        <x:v>174</x:v>
      </x:c>
      <x:c r="E13" s="9">
        <x:v>2743</x:v>
      </x:c>
      <x:c r="F13" s="9">
        <x:f t="shared" si="0"/>
        <x:v>5486</x:v>
      </x:c>
      <x:c r="G13" s="4" t="s">
        <x:v>175</x:v>
      </x:c>
      <x:c r="H13" s="4" t="s">
        <x:v>176</x:v>
      </x:c>
      <x:c r="I13" s="1"/>
      <x:c r="J13" s="4" t="s">
        <x:v>177</x:v>
      </x:c>
    </x:row>
    <x:row r="14" ht="79.5" customHeight="1">
      <x:c r="A14" s="1" t="s">
        <x:v>178</x:v>
      </x:c>
      <x:c r="B14" s="4" t="s">
        <x:v>179</x:v>
      </x:c>
      <x:c r="C14" s="1"/>
      <x:c r="D14" s="1" t="s">
        <x:v>180</x:v>
      </x:c>
      <x:c r="E14" s="9"/>
      <x:c r="F14" s="9" t="str">
        <x:f t="shared" si="0"/>
        <x:v>Por cotizar</x:v>
      </x:c>
      <x:c r="G14" s="4" t="s">
        <x:v>181</x:v>
      </x:c>
      <x:c r="H14" s="4" t="s">
        <x:v>182</x:v>
      </x:c>
      <x:c r="I14" s="1"/>
      <x:c r="J14" s="4" t="s">
        <x:v>183</x:v>
      </x:c>
    </x:row>
    <x:row r="15" ht="79.5" customHeight="1">
      <x:c r="A15" s="1" t="s">
        <x:v>184</x:v>
      </x:c>
      <x:c r="B15" s="4" t="s">
        <x:v>185</x:v>
      </x:c>
      <x:c r="C15" s="1">
        <x:v>3</x:v>
      </x:c>
      <x:c r="D15" s="1" t="s">
        <x:v>186</x:v>
      </x:c>
      <x:c r="E15" s="9"/>
      <x:c r="F15" s="9" t="str">
        <x:f t="shared" si="0"/>
        <x:v>Por cotizar</x:v>
      </x:c>
      <x:c r="G15" s="4" t="s">
        <x:v>187</x:v>
      </x:c>
      <x:c r="H15" s="4" t="s">
        <x:v>188</x:v>
      </x:c>
      <x:c r="I15" s="1"/>
      <x:c r="J15" s="4" t="s">
        <x:v>189</x:v>
      </x:c>
    </x:row>
    <x:row r="16" ht="79.5" customHeight="1">
      <x:c r="A16" s="1" t="s">
        <x:v>184</x:v>
      </x:c>
      <x:c r="B16" s="4" t="s">
        <x:v>190</x:v>
      </x:c>
      <x:c r="C16" s="1">
        <x:v>6</x:v>
      </x:c>
      <x:c r="D16" s="1" t="s">
        <x:v>174</x:v>
      </x:c>
      <x:c r="E16" s="9"/>
      <x:c r="F16" s="9" t="str">
        <x:f t="shared" si="0"/>
        <x:v>Por cotizar</x:v>
      </x:c>
      <x:c r="G16" s="4" t="s">
        <x:v>187</x:v>
      </x:c>
      <x:c r="H16" s="4" t="s">
        <x:v>191</x:v>
      </x:c>
      <x:c r="I16" s="1"/>
      <x:c r="J16" s="4" t="s">
        <x:v>192</x:v>
      </x:c>
    </x:row>
    <x:row r="17" ht="79.5" customHeight="1">
      <x:c r="A17" s="1" t="s">
        <x:v>193</x:v>
      </x:c>
      <x:c r="B17" s="4" t="s">
        <x:v>194</x:v>
      </x:c>
      <x:c r="C17" s="1">
        <x:v>6</x:v>
      </x:c>
      <x:c r="D17" s="1" t="s">
        <x:v>174</x:v>
      </x:c>
      <x:c r="E17" s="9"/>
      <x:c r="F17" s="9" t="str">
        <x:f t="shared" si="0"/>
        <x:v>Por cotizar</x:v>
      </x:c>
      <x:c r="G17" s="4" t="s">
        <x:v>187</x:v>
      </x:c>
      <x:c r="H17" s="4" t="s">
        <x:v>195</x:v>
      </x:c>
      <x:c r="I17" s="1"/>
      <x:c r="J17" s="4" t="s">
        <x:v>196</x:v>
      </x:c>
    </x:row>
    <x:row r="18" ht="79.5" customHeight="1">
      <x:c r="A18" s="1" t="s">
        <x:v>193</x:v>
      </x:c>
      <x:c r="B18" s="4" t="s">
        <x:v>197</x:v>
      </x:c>
      <x:c r="C18" s="1">
        <x:v>1</x:v>
      </x:c>
      <x:c r="D18" s="1" t="s">
        <x:v>198</x:v>
      </x:c>
      <x:c r="E18" s="9"/>
      <x:c r="F18" s="9" t="str">
        <x:f t="shared" si="0"/>
        <x:v>Por cotizar</x:v>
      </x:c>
      <x:c r="G18" s="4" t="s">
        <x:v>187</x:v>
      </x:c>
      <x:c r="H18" s="4" t="s">
        <x:v>199</x:v>
      </x:c>
      <x:c r="I18" s="1"/>
      <x:c r="J18" s="4" t="s">
        <x:v>200</x:v>
      </x:c>
    </x:row>
    <x:row r="19" ht="79.5" customHeight="1">
      <x:c r="A19" s="1" t="s">
        <x:v>201</x:v>
      </x:c>
      <x:c r="B19" s="4" t="s">
        <x:v>202</x:v>
      </x:c>
      <x:c r="C19" s="1">
        <x:v>1</x:v>
      </x:c>
      <x:c r="D19" s="1" t="s">
        <x:v>203</x:v>
      </x:c>
      <x:c r="E19" s="9"/>
      <x:c r="F19" s="9" t="str">
        <x:f t="shared" si="0"/>
        <x:v>Por cotizar</x:v>
      </x:c>
      <x:c r="G19" s="4" t="s">
        <x:v>187</x:v>
      </x:c>
      <x:c r="H19" s="4" t="s">
        <x:v>204</x:v>
      </x:c>
      <x:c r="I19" s="1"/>
      <x:c r="J19" s="4" t="s">
        <x:v>205</x:v>
      </x:c>
    </x:row>
    <x:row r="20" ht="79.5" customHeight="1">
      <x:c r="A20" s="1" t="s">
        <x:v>184</x:v>
      </x:c>
      <x:c r="B20" s="4" t="s">
        <x:v>206</x:v>
      </x:c>
      <x:c r="C20" s="1">
        <x:v>1</x:v>
      </x:c>
      <x:c r="D20" s="1" t="s">
        <x:v>198</x:v>
      </x:c>
      <x:c r="E20" s="9"/>
      <x:c r="F20" s="9" t="str">
        <x:f t="shared" si="0"/>
        <x:v>Por cotizar</x:v>
      </x:c>
      <x:c r="G20" s="4" t="s">
        <x:v>187</x:v>
      </x:c>
      <x:c r="H20" s="4" t="s">
        <x:v>207</x:v>
      </x:c>
      <x:c r="I20" s="1"/>
      <x:c r="J20" s="4" t="s">
        <x:v>192</x:v>
      </x:c>
    </x:row>
    <x:row r="21" ht="79.5" customHeight="1">
      <x:c r="A21" s="1" t="s">
        <x:v>208</x:v>
      </x:c>
      <x:c r="B21" s="4" t="s">
        <x:v>209</x:v>
      </x:c>
      <x:c r="C21" s="1">
        <x:v>1</x:v>
      </x:c>
      <x:c r="D21" s="1" t="s">
        <x:v>210</x:v>
      </x:c>
      <x:c r="E21" s="9"/>
      <x:c r="F21" s="9" t="str">
        <x:f t="shared" si="0"/>
        <x:v>Por cotizar</x:v>
      </x:c>
      <x:c r="G21" s="4" t="s">
        <x:v>187</x:v>
      </x:c>
      <x:c r="H21" s="4" t="s">
        <x:v>211</x:v>
      </x:c>
      <x:c r="I21" s="1"/>
      <x:c r="J21" s="4" t="s">
        <x:v>212</x:v>
      </x:c>
    </x:row>
    <x:row r="22" ht="23.25" customHeight="1">
      <x:c r="A22" s="10" t="s">
        <x:v>213</x:v>
      </x:c>
      <x:c r="B22" s="10"/>
      <x:c r="C22" s="10"/>
      <x:c r="D22" s="10"/>
      <x:c r="E22" s="11"/>
      <x:c r="F22" s="11" t="n">
        <x:f>SUM(F7:F21)</x:f>
        <x:v>2731915</x:v>
      </x:c>
      <x:c r="G22" s="10"/>
      <x:c r="H22" s="12" t="s">
        <x:v>214</x:v>
      </x:c>
      <x:c r="I22" s="1"/>
      <x:c r="J22" s="1"/>
    </x:row>
    <x:row r="23" ht="15" customHeight="1">
      <x:c r="A23" s="1"/>
      <x:c r="B23" s="1"/>
      <x:c r="C23" s="1"/>
      <x:c r="D23" s="1"/>
      <x:c r="E23" s="1"/>
      <x:c r="F23" s="1"/>
      <x:c r="G23" s="1"/>
      <x:c r="H23" s="1"/>
      <x:c r="I23" s="1"/>
      <x:c r="J23" s="1"/>
    </x:row>
    <x:row r="24" ht="15" customHeight="1">
      <x:c r="A24" s="1"/>
      <x:c r="B24" s="1"/>
      <x:c r="C24" s="1"/>
      <x:c r="D24" s="1"/>
      <x:c r="E24" s="1"/>
      <x:c r="F24" s="1"/>
      <x:c r="G24" s="1"/>
      <x:c r="H24" s="1"/>
      <x:c r="I24" s="1"/>
      <x:c r="J24" s="1"/>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baseColWidth="10" defaultColWidth="8.6640625" defaultRowHeight="13.199999809265137"/>
  <x:cols>
    <x:col min="1" max="1" width="20" customWidth="1"/>
    <x:col min="2" max="2" width="29" customWidth="1"/>
    <x:col min="3" max="3" width="112" customWidth="1"/>
    <x:col min="4" max="4" width="44" customWidth="1"/>
  </x:cols>
  <x:sheetData>
    <x:row r="1" ht="15" customHeight="1">
      <x:c r="A1" s="1"/>
      <x:c r="B1" s="1"/>
      <x:c r="C1" s="1"/>
      <x:c r="D1" s="1"/>
    </x:row>
    <x:row r="2" ht="19.5" customHeight="1">
      <x:c r="A2" s="2" t="s">
        <x:v>215</x:v>
      </x:c>
      <x:c r="B2" s="1"/>
      <x:c r="C2" s="1"/>
      <x:c r="D2" s="1"/>
    </x:row>
    <x:row r="3" ht="15" customHeight="1">
      <x:c r="A3" s="1" t="s">
        <x:v>216</x:v>
      </x:c>
      <x:c r="B3" s="1"/>
      <x:c r="C3" s="1"/>
      <x:c r="D3" s="1"/>
    </x:row>
    <x:row r="4" ht="15" customHeight="1">
      <x:c r="A4" s="1"/>
      <x:c r="B4" s="1"/>
      <x:c r="C4" s="1"/>
      <x:c r="D4" s="1"/>
    </x:row>
    <x:row r="5" ht="15" customHeight="1">
      <x:c r="A5" s="1"/>
      <x:c r="B5" s="1"/>
      <x:c r="C5" s="1"/>
      <x:c r="D5" s="1"/>
    </x:row>
    <x:row r="6" ht="42" customHeight="1">
      <x:c r="A6" s="3" t="s">
        <x:v>17</x:v>
      </x:c>
      <x:c r="B6" s="3" t="s">
        <x:v>217</x:v>
      </x:c>
      <x:c r="C6" s="3" t="s">
        <x:v>218</x:v>
      </x:c>
      <x:c r="D6" s="3" t="s">
        <x:v>219</x:v>
      </x:c>
    </x:row>
    <x:row r="7" ht="72" customHeight="1">
      <x:c r="A7" s="1" t="s">
        <x:v>220</x:v>
      </x:c>
      <x:c r="B7" s="4" t="s">
        <x:v>221</x:v>
      </x:c>
      <x:c r="C7" s="4" t="s">
        <x:v>222</x:v>
      </x:c>
      <x:c r="D7" s="4" t="s">
        <x:v>223</x:v>
      </x:c>
    </x:row>
    <x:row r="8" ht="72" customHeight="1">
      <x:c r="A8" s="1" t="s">
        <x:v>224</x:v>
      </x:c>
      <x:c r="B8" s="4" t="s">
        <x:v>225</x:v>
      </x:c>
      <x:c r="C8" s="4" t="s">
        <x:v>226</x:v>
      </x:c>
      <x:c r="D8" s="4" t="s">
        <x:v>227</x:v>
      </x:c>
    </x:row>
    <x:row r="9" ht="72" customHeight="1">
      <x:c r="A9" s="1" t="s">
        <x:v>228</x:v>
      </x:c>
      <x:c r="B9" s="4" t="s">
        <x:v>229</x:v>
      </x:c>
      <x:c r="C9" s="4" t="s">
        <x:v>230</x:v>
      </x:c>
      <x:c r="D9" s="4" t="s">
        <x:v>231</x:v>
      </x:c>
    </x:row>
    <x:row r="10" ht="72" customHeight="1">
      <x:c r="A10" s="1" t="s">
        <x:v>228</x:v>
      </x:c>
      <x:c r="B10" s="4" t="s">
        <x:v>232</x:v>
      </x:c>
      <x:c r="C10" s="4" t="s">
        <x:v>233</x:v>
      </x:c>
      <x:c r="D10" s="4" t="s">
        <x:v>234</x:v>
      </x:c>
    </x:row>
    <x:row r="11" ht="72" customHeight="1">
      <x:c r="A11" s="1" t="s">
        <x:v>235</x:v>
      </x:c>
      <x:c r="B11" s="4" t="s">
        <x:v>236</x:v>
      </x:c>
      <x:c r="C11" s="4" t="s">
        <x:v>237</x:v>
      </x:c>
      <x:c r="D11" s="4" t="s">
        <x:v>238</x:v>
      </x:c>
    </x:row>
    <x:row r="12" ht="72" customHeight="1">
      <x:c r="A12" s="1" t="s">
        <x:v>235</x:v>
      </x:c>
      <x:c r="B12" s="4" t="s">
        <x:v>239</x:v>
      </x:c>
      <x:c r="C12" s="4" t="s">
        <x:v>240</x:v>
      </x:c>
      <x:c r="D12" s="4" t="s">
        <x:v>241</x:v>
      </x:c>
    </x:row>
    <x:row r="13" ht="72" customHeight="1">
      <x:c r="A13" s="1" t="s">
        <x:v>235</x:v>
      </x:c>
      <x:c r="B13" s="4" t="s">
        <x:v>242</x:v>
      </x:c>
      <x:c r="C13" s="4" t="s">
        <x:v>243</x:v>
      </x:c>
      <x:c r="D13" s="4" t="s">
        <x:v>244</x:v>
      </x:c>
    </x:row>
    <x:row r="14" ht="72" customHeight="1">
      <x:c r="A14" s="1" t="s">
        <x:v>245</x:v>
      </x:c>
      <x:c r="B14" s="4" t="s">
        <x:v>246</x:v>
      </x:c>
      <x:c r="C14" s="4" t="s">
        <x:v>247</x:v>
      </x:c>
      <x:c r="D14" s="4" t="s">
        <x:v>248</x:v>
      </x:c>
    </x:row>
    <x:row r="15" ht="72" customHeight="1">
      <x:c r="A15" s="1" t="s">
        <x:v>245</x:v>
      </x:c>
      <x:c r="B15" s="4" t="s">
        <x:v>249</x:v>
      </x:c>
      <x:c r="C15" s="4" t="s">
        <x:v>250</x:v>
      </x:c>
      <x:c r="D15" s="4" t="s">
        <x:v>192</x:v>
      </x:c>
    </x:row>
    <x:row r="16" ht="72" customHeight="1">
      <x:c r="A16" s="1" t="s">
        <x:v>235</x:v>
      </x:c>
      <x:c r="B16" s="4" t="s">
        <x:v>251</x:v>
      </x:c>
      <x:c r="C16" s="4" t="s">
        <x:v>252</x:v>
      </x:c>
      <x:c r="D16" s="4" t="s">
        <x:v>253</x:v>
      </x:c>
    </x:row>
    <x:row r="17" ht="72" customHeight="1">
      <x:c r="A17" s="1" t="s">
        <x:v>245</x:v>
      </x:c>
      <x:c r="B17" s="4" t="s">
        <x:v>254</x:v>
      </x:c>
      <x:c r="C17" s="4" t="s">
        <x:v>255</x:v>
      </x:c>
      <x:c r="D17" s="4" t="s">
        <x:v>256</x:v>
      </x:c>
    </x:row>
    <x:row r="18" ht="72" customHeight="1">
      <x:c r="A18" s="1" t="s">
        <x:v>245</x:v>
      </x:c>
      <x:c r="B18" s="4" t="s">
        <x:v>257</x:v>
      </x:c>
      <x:c r="C18" s="4" t="s">
        <x:v>258</x:v>
      </x:c>
      <x:c r="D18" s="4" t="s">
        <x:v>259</x:v>
      </x:c>
    </x:row>
    <x:row r="19" ht="72" customHeight="1">
      <x:c r="A19" s="1" t="s">
        <x:v>245</x:v>
      </x:c>
      <x:c r="B19" s="4" t="s">
        <x:v>260</x:v>
      </x:c>
      <x:c r="C19" s="4" t="s">
        <x:v>261</x:v>
      </x:c>
      <x:c r="D19" s="4" t="s">
        <x:v>262</x:v>
      </x:c>
    </x:row>
    <x:row r="20" ht="72" customHeight="1">
      <x:c r="A20" s="1" t="s">
        <x:v>235</x:v>
      </x:c>
      <x:c r="B20" s="4" t="s">
        <x:v>263</x:v>
      </x:c>
      <x:c r="C20" s="4" t="s">
        <x:v>264</x:v>
      </x:c>
      <x:c r="D20" s="4" t="s">
        <x:v>265</x:v>
      </x:c>
    </x:row>
    <x:row r="21" ht="15" customHeight="1">
      <x:c r="A21" s="1"/>
      <x:c r="B21" s="1"/>
      <x:c r="C21" s="1"/>
      <x:c r="D21" s="1"/>
    </x:row>
    <x:row r="22" ht="68" customHeight="1">
      <x:c r="A22" s="1" t="str">
        <x:v>Por validar</x:v>
      </x:c>
      <x:c r="B22" s="34" t="str">
        <x:v>Cotas del accesorio</x:v>
      </x:c>
      <x:c r="C22" s="34" t="str">
        <x:v>Tope de 50 mm de desfase; manijas CC96 y saliente de 35 mm. Ubicación y taladros representados de forma esquemática: ajustar al accesorio real.</x:v>
      </x:c>
      <x:c r="D22" s="34" t="str">
        <x:v>Referencia del clóset real del usuario.</x:v>
      </x:c>
    </x:row>
    <x:row r="23" ht="15" customHeight="1">
      <x:c r="A23" s="1"/>
      <x:c r="B23" s="1"/>
      <x:c r="C23" s="1"/>
      <x:c r="D23" s="1"/>
    </x:row>
    <x:row r="24" ht="15" customHeight="1">
      <x:c r="A24" s="1"/>
      <x:c r="B24" s="1"/>
      <x:c r="C24" s="1"/>
      <x:c r="D24" s="1"/>
    </x:row>
  </x:sheetData>
  <x:pageMargins left="0.7" right="0.7" top="0.75" bottom="0.75" header="0.3" footer="0.3"/>
</x:worksheet>
</file>