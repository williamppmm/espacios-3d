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d9eb1fb0d86432b" /></Relationships>
</file>

<file path=xl/workbook.xml><?xml version="1.0" encoding="utf-8"?>
<x:workbook xmlns:x="http://schemas.openxmlformats.org/spreadsheetml/2006/main">
  <x:sheets>
    <x:sheet xmlns:r="http://schemas.openxmlformats.org/officeDocument/2006/relationships" name="Despiece" sheetId="1" r:id="R1ba75d076de746ea"/>
    <x:sheet xmlns:r="http://schemas.openxmlformats.org/officeDocument/2006/relationships" name="Cantos" sheetId="2" r:id="R1a0492a542c040fc"/>
    <x:sheet xmlns:r="http://schemas.openxmlformats.org/officeDocument/2006/relationships" name="Compras" sheetId="3" r:id="Reff57e37f2bd4f6e"/>
    <x:sheet xmlns:r="http://schemas.openxmlformats.org/officeDocument/2006/relationships" name="Revisión" sheetId="4" r:id="R9e0ae39da29f4ad4"/>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000000"/>
    <x:numFmt numFmtId="201" formatCode="0.00"/>
    <x:numFmt numFmtId="202" formatCode="0.000"/>
    <x:numFmt numFmtId="203" formatCode="&quot;$&quot;#,##0"/>
  </x:numFmts>
  <x:fonts count="6">
    <x:font>
      <x:sz val="11"/>
      <x:name val="Carlito"/>
    </x:font>
    <x:font>
      <x:sz val="11"/>
      <x:name val="Arial"/>
    </x:font>
    <x:font>
      <x:sz val="10"/>
      <x:name val="Arial"/>
    </x:font>
    <x:font>
      <x:sz val="16"/>
      <x:name val="Arial"/>
    </x:font>
    <x:font>
      <x:sz val="10"/>
      <x:color rgb="FFFFFFFF"/>
      <x:name val="Arial"/>
    </x:font>
    <x:font>
      <x:b/>
      <x:sz val="10"/>
      <x:color rgb="FFFFFFFF"/>
      <x:name val="Arial"/>
    </x:font>
  </x:fonts>
  <x:fills count="5">
    <x:fill>
      <x:patternFill patternType="none"/>
    </x:fill>
    <x:fill>
      <x:patternFill patternType="gray125"/>
    </x:fill>
    <x:fill>
      <x:patternFill patternType="solid">
        <x:fgColor rgb="FF253B35"/>
      </x:patternFill>
    </x:fill>
    <x:fill>
      <x:patternFill patternType="solid">
        <x:fgColor rgb="FFFFF2CC"/>
      </x:patternFill>
    </x:fill>
    <x:fill>
      <x:patternFill patternType="solid">
        <x:fgColor rgb="FFEAF0E3"/>
      </x:patternFill>
    </x:fill>
  </x:fills>
  <x:borders count="1">
    <x:border>
      <x:left/>
      <x:right/>
      <x:top/>
      <x:bottom/>
      <x:diagonal/>
    </x:border>
  </x:borders>
  <x:cellStyleXfs count="1">
    <x:xf numFmtId="0" fontId="0" fillId="0" borderId="0"/>
  </x:cellStyleXfs>
  <x:cellXfs count="18">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5" fillId="2" borderId="0"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200"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2" fillId="3" borderId="0" xfId="0" applyNumberFormat="1" applyFont="1" applyFill="1" applyBorder="1" applyAlignment="1">
      <x:alignment vertical="center"/>
    </x:xf>
    <x:xf numFmtId="202"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4" borderId="0" xfId="0" applyNumberFormat="1" applyFont="1" applyFill="1" applyBorder="1" applyAlignment="1">
      <x:alignment vertical="center"/>
    </x:xf>
    <x:xf numFmtId="203" fontId="2" fillId="4" borderId="0" xfId="0" applyNumberFormat="1" applyFont="1" applyFill="1" applyBorder="1" applyAlignment="1">
      <x:alignment vertical="center"/>
    </x:xf>
    <x:xf numFmtId="0" fontId="2" fillId="4"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5fb3f940de64f61" /><Relationship Type="http://schemas.openxmlformats.org/officeDocument/2006/relationships/theme" Target="/xl/theme/theme1.xml" Id="Rcf2408c886a24038" /><Relationship Type="http://schemas.openxmlformats.org/officeDocument/2006/relationships/sharedStrings" Target="/xl/sharedStrings.xml" Id="Rcbf3ec349e174b47" /><Relationship Type="http://schemas.openxmlformats.org/officeDocument/2006/relationships/worksheet" Target="/xl/worksheets/sheet1.xml" Id="R1ba75d076de746ea" /><Relationship Type="http://schemas.openxmlformats.org/officeDocument/2006/relationships/worksheet" Target="/xl/worksheets/sheet2.xml" Id="R1a0492a542c040fc" /><Relationship Type="http://schemas.openxmlformats.org/officeDocument/2006/relationships/worksheet" Target="/xl/worksheets/sheet3.xml" Id="Reff57e37f2bd4f6e" /><Relationship Type="http://schemas.openxmlformats.org/officeDocument/2006/relationships/worksheet" Target="/xl/worksheets/sheet4.xml" Id="R9e0ae39da29f4ad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10" hidden="0" customWidth="1"/>
    <x:col min="2" max="2" width="12" hidden="0" customWidth="1"/>
    <x:col min="3" max="3" width="32" hidden="0" customWidth="1"/>
    <x:col min="4" max="4" width="8" hidden="0" customWidth="1"/>
    <x:col min="5" max="5" width="13" hidden="0" customWidth="1"/>
    <x:col min="6" max="6" width="13" hidden="0" customWidth="1"/>
    <x:col min="7" max="7" width="12" hidden="0" customWidth="1"/>
    <x:col min="8" max="8" width="12" hidden="0" customWidth="1"/>
    <x:col min="9" max="9" width="11" hidden="0" customWidth="1"/>
    <x:col min="10" max="10" width="11" hidden="0" customWidth="1"/>
    <x:col min="11" max="11" width="11" hidden="0" customWidth="1"/>
    <x:col min="12" max="12" width="11" hidden="0" customWidth="1"/>
    <x:col min="13" max="13" width="14" hidden="0" customWidth="1"/>
    <x:col min="14" max="14" width="14" hidden="0" customWidth="1"/>
    <x:col min="15" max="15" width="24" hidden="0" customWidth="1"/>
    <x:col min="16" max="16" width="85" hidden="0" customWidth="1"/>
  </x:cols>
  <x:sheetData>
    <x:row r="1">
      <x:c r="A1" s="3"/>
      <x:c r="B1" s="3"/>
      <x:c r="C1" s="3"/>
      <x:c r="D1" s="3"/>
      <x:c r="E1" s="3"/>
      <x:c r="F1" s="3"/>
      <x:c r="G1" s="3"/>
      <x:c r="H1" s="3"/>
      <x:c r="I1" s="3"/>
      <x:c r="J1" s="3"/>
      <x:c r="K1" s="3"/>
      <x:c r="L1" s="3"/>
      <x:c r="M1" s="3"/>
      <x:c r="N1" s="3"/>
      <x:c r="O1" s="3"/>
      <x:c r="P1" s="3"/>
    </x:row>
    <x:row r="2">
      <x:c r="A2" s="4" t="str">
        <x:v>Clóset principal 195: despiece independiente</x:v>
      </x:c>
      <x:c r="B2" s="3"/>
      <x:c r="C2" s="3"/>
      <x:c r="D2" s="3"/>
      <x:c r="E2" s="3"/>
      <x:c r="F2" s="3"/>
      <x:c r="G2" s="3"/>
      <x:c r="H2" s="3"/>
      <x:c r="I2" s="3"/>
      <x:c r="J2" s="3"/>
      <x:c r="K2" s="3"/>
      <x:c r="L2" s="3"/>
      <x:c r="M2" s="3"/>
      <x:c r="N2" s="3"/>
      <x:c r="O2" s="3"/>
      <x:c r="P2" s="3"/>
    </x:row>
    <x:row r="3">
      <x:c r="A3" s="3" t="str">
        <x:v>Cuerpo 195 × 56 × 238 cm; 58,5 cm hasta las manijas. RH15 como cocina. Despiece exclusivo del clóset.</x:v>
      </x:c>
      <x:c r="B3" s="3"/>
      <x:c r="C3" s="3"/>
      <x:c r="D3" s="3"/>
      <x:c r="E3" s="3"/>
      <x:c r="F3" s="3"/>
      <x:c r="G3" s="3"/>
      <x:c r="H3" s="3"/>
      <x:c r="I3" s="3"/>
      <x:c r="J3" s="3"/>
      <x:c r="K3" s="3"/>
      <x:c r="L3" s="3"/>
      <x:c r="M3" s="3"/>
      <x:c r="N3" s="3"/>
      <x:c r="O3" s="3"/>
      <x:c r="P3" s="3"/>
    </x:row>
    <x:row r="4">
      <x:c r="A4" s="3" t="str">
        <x:v>E/F: medidas terminadas y veta en E. I/J paralelos a E, K/L paralelos a F. Cortes teóricos sin sierra ni refilado.</x:v>
      </x:c>
      <x:c r="B4" s="3"/>
      <x:c r="C4" s="3"/>
      <x:c r="D4" s="3"/>
      <x:c r="E4" s="3"/>
      <x:c r="F4" s="3"/>
      <x:c r="G4" s="3"/>
      <x:c r="H4" s="3"/>
      <x:c r="I4" s="3"/>
      <x:c r="J4" s="3"/>
      <x:c r="K4" s="3"/>
      <x:c r="L4" s="3"/>
      <x:c r="M4" s="3"/>
      <x:c r="N4" s="3"/>
      <x:c r="O4" s="3"/>
      <x:c r="P4" s="3"/>
    </x:row>
    <x:row r="5">
      <x:c r="A5" s="3"/>
      <x:c r="B5" s="3"/>
      <x:c r="C5" s="3"/>
      <x:c r="D5" s="3"/>
      <x:c r="E5" s="3"/>
      <x:c r="F5" s="3"/>
      <x:c r="G5" s="3"/>
      <x:c r="H5" s="3"/>
      <x:c r="I5" s="3"/>
      <x:c r="J5" s="3"/>
      <x:c r="K5" s="3"/>
      <x:c r="L5" s="3"/>
      <x:c r="M5" s="3"/>
      <x:c r="N5" s="3"/>
      <x:c r="O5" s="3"/>
      <x:c r="P5" s="3"/>
    </x:row>
    <x:row r="6" ht="42" customHeight="1">
      <x:c r="A6" s="8" t="str">
        <x:v>ID</x:v>
      </x:c>
      <x:c r="B6" s="8" t="str">
        <x:v>Grupo</x:v>
      </x:c>
      <x:c r="C6" s="8" t="str">
        <x:v>Pieza</x:v>
      </x:c>
      <x:c r="D6" s="8" t="str">
        <x:v>Cant.</x:v>
      </x:c>
      <x:c r="E6" s="8" t="str">
        <x:v>Largo veta mm</x:v>
      </x:c>
      <x:c r="F6" s="8" t="str">
        <x:v>Ancho mm</x:v>
      </x:c>
      <x:c r="G6" s="8" t="str">
        <x:v>Espesor mm</x:v>
      </x:c>
      <x:c r="H6" s="8" t="str">
        <x:v>Área m²</x:v>
      </x:c>
      <x:c r="I6" s="8" t="str">
        <x:v>Canto L1</x:v>
      </x:c>
      <x:c r="J6" s="8" t="str">
        <x:v>Canto L2</x:v>
      </x:c>
      <x:c r="K6" s="8" t="str">
        <x:v>Canto A1</x:v>
      </x:c>
      <x:c r="L6" s="8" t="str">
        <x:v>Canto A2</x:v>
      </x:c>
      <x:c r="M6" s="8" t="str">
        <x:v>Corte largo mm</x:v>
      </x:c>
      <x:c r="N6" s="8" t="str">
        <x:v>Corte ancho mm</x:v>
      </x:c>
      <x:c r="O6" s="8" t="str">
        <x:v>Estado</x:v>
      </x:c>
      <x:c r="P6" s="8" t="str">
        <x:v>Nota de fabricación</x:v>
      </x:c>
    </x:row>
    <x:row r="7" ht="54" customHeight="1">
      <x:c r="A7" s="3" t="str">
        <x:v>C3-001</x:v>
      </x:c>
      <x:c r="B7" s="3" t="str">
        <x:v>EST</x:v>
      </x:c>
      <x:c r="C7" s="9" t="str">
        <x:v>Lateral exterior</x:v>
      </x:c>
      <x:c r="D7" s="3" t="n">
        <x:v>2</x:v>
      </x:c>
      <x:c r="E7" s="3" t="n">
        <x:v>2280</x:v>
      </x:c>
      <x:c r="F7" s="3" t="n">
        <x:v>560</x:v>
      </x:c>
      <x:c r="G7" s="3" t="n">
        <x:v>15</x:v>
      </x:c>
      <x:c r="H7" s="10" t="n">
        <x:f>D7*E7*F7/1000000</x:f>
        <x:v>2.5536</x:v>
      </x:c>
      <x:c r="I7" s="3" t="str">
        <x:v>2</x:v>
      </x:c>
      <x:c r="J7" s="3" t="str">
        <x:v>0.45</x:v>
      </x:c>
      <x:c r="K7" s="3" t="str">
        <x:v>0.45</x:v>
      </x:c>
      <x:c r="L7" s="3" t="str">
        <x:v>0.45</x:v>
      </x:c>
      <x:c r="M7" s="11" t="n">
        <x:f>E7-0.45-0.45</x:f>
        <x:v>2279.1000000000004</x:v>
      </x:c>
      <x:c r="N7" s="11" t="n">
        <x:f>F7-2-0.45</x:f>
        <x:v>557.55</x:v>
      </x:c>
      <x:c r="O7" s="12" t="str">
        <x:v>Diseño elegido</x:v>
      </x:c>
      <x:c r="P7" s="9" t="str">
        <x:v>Cuerpo de 56 cm; hojas hasta 55 cm. Las manijas sobresalen hasta 58,5 cm desde el fondo.</x:v>
      </x:c>
    </x:row>
    <x:row r="8" ht="54" customHeight="1">
      <x:c r="A8" s="3" t="str">
        <x:v>C3-002</x:v>
      </x:c>
      <x:c r="B8" s="3" t="str">
        <x:v>EST</x:v>
      </x:c>
      <x:c r="C8" s="9" t="str">
        <x:v>Divisor central</x:v>
      </x:c>
      <x:c r="D8" s="3" t="n">
        <x:v>1</x:v>
      </x:c>
      <x:c r="E8" s="3" t="n">
        <x:v>2280</x:v>
      </x:c>
      <x:c r="F8" s="3" t="n">
        <x:v>490</x:v>
      </x:c>
      <x:c r="G8" s="3" t="n">
        <x:v>15</x:v>
      </x:c>
      <x:c r="H8" s="10" t="n">
        <x:f>D8*E8*F8/1000000</x:f>
        <x:v>1.1172</x:v>
      </x:c>
      <x:c r="I8" s="3" t="str">
        <x:v>2</x:v>
      </x:c>
      <x:c r="J8" s="3" t="str">
        <x:v>0.45</x:v>
      </x:c>
      <x:c r="K8" s="3" t="str">
        <x:v>0.45</x:v>
      </x:c>
      <x:c r="L8" s="3" t="str">
        <x:v>0.45</x:v>
      </x:c>
      <x:c r="M8" s="11" t="n">
        <x:f>E8-0.45-0.45</x:f>
        <x:v>2279.1000000000004</x:v>
      </x:c>
      <x:c r="N8" s="11" t="n">
        <x:f>F8-2-0.45</x:f>
        <x:v>487.55</x:v>
      </x:c>
      <x:c r="O8" s="12" t="str">
        <x:v>Diseño elegido</x:v>
      </x:c>
      <x:c r="P8" s="9" t="str">
        <x:v>Divisor de 49 cm: deja 10 mm respecto a la hoja interior, ubicada a 50 cm del fondo.</x:v>
      </x:c>
    </x:row>
    <x:row r="9" ht="54" customHeight="1">
      <x:c r="A9" s="3" t="str">
        <x:v>C3-003</x:v>
      </x:c>
      <x:c r="B9" s="3" t="str">
        <x:v>B1</x:v>
      </x:c>
      <x:c r="C9" s="9" t="str">
        <x:v>Piso sobre base</x:v>
      </x:c>
      <x:c r="D9" s="3" t="n">
        <x:v>1</x:v>
      </x:c>
      <x:c r="E9" s="3" t="n">
        <x:v>830</x:v>
      </x:c>
      <x:c r="F9" s="3" t="n">
        <x:v>560</x:v>
      </x:c>
      <x:c r="G9" s="3" t="n">
        <x:v>15</x:v>
      </x:c>
      <x:c r="H9" s="10" t="n">
        <x:f>D9*E9*F9/1000000</x:f>
        <x:v>0.4648</x:v>
      </x:c>
      <x:c r="I9" s="3" t="str">
        <x:v>2</x:v>
      </x:c>
      <x:c r="J9" s="3" t="str">
        <x:v>0.45</x:v>
      </x:c>
      <x:c r="K9" s="3" t="str">
        <x:v>0.45</x:v>
      </x:c>
      <x:c r="L9" s="3" t="str">
        <x:v>0.45</x:v>
      </x:c>
      <x:c r="M9" s="11" t="n">
        <x:f>E9-0.45-0.45</x:f>
        <x:v>829.0999999999999</x:v>
      </x:c>
      <x:c r="N9" s="11" t="n">
        <x:f>F9-2-0.45</x:f>
        <x:v>557.55</x:v>
      </x:c>
      <x:c r="O9" s="12" t="str">
        <x:v>Diseño elegido</x:v>
      </x:c>
      <x:c r="P9" s="9" t="str">
        <x:v>Uniones y mecanizados según montaje.</x:v>
      </x:c>
    </x:row>
    <x:row r="10" ht="54" customHeight="1">
      <x:c r="A10" s="3" t="str">
        <x:v>C3-004</x:v>
      </x:c>
      <x:c r="B10" s="3" t="str">
        <x:v>B1</x:v>
      </x:c>
      <x:c r="C10" s="9" t="str">
        <x:v>Tapa superior</x:v>
      </x:c>
      <x:c r="D10" s="3" t="n">
        <x:v>1</x:v>
      </x:c>
      <x:c r="E10" s="3" t="n">
        <x:v>830</x:v>
      </x:c>
      <x:c r="F10" s="3" t="n">
        <x:v>560</x:v>
      </x:c>
      <x:c r="G10" s="3" t="n">
        <x:v>15</x:v>
      </x:c>
      <x:c r="H10" s="10" t="n">
        <x:f>D10*E10*F10/1000000</x:f>
        <x:v>0.4648</x:v>
      </x:c>
      <x:c r="I10" s="3" t="str">
        <x:v>2</x:v>
      </x:c>
      <x:c r="J10" s="3" t="str">
        <x:v>0.45</x:v>
      </x:c>
      <x:c r="K10" s="3" t="str">
        <x:v>0.45</x:v>
      </x:c>
      <x:c r="L10" s="3" t="str">
        <x:v>0.45</x:v>
      </x:c>
      <x:c r="M10" s="11" t="n">
        <x:f>E10-0.45-0.45</x:f>
        <x:v>829.0999999999999</x:v>
      </x:c>
      <x:c r="N10" s="11" t="n">
        <x:f>F10-2-0.45</x:f>
        <x:v>557.55</x:v>
      </x:c>
      <x:c r="O10" s="12" t="str">
        <x:v>Diseño elegido</x:v>
      </x:c>
      <x:c r="P10" s="9" t="str">
        <x:v>Recibe el sistema colgante. Definir uniones, apoyo de riel y fijaciones según fabricante.</x:v>
      </x:c>
    </x:row>
    <x:row r="11" ht="54" customHeight="1">
      <x:c r="A11" s="3" t="str">
        <x:v>C3-005</x:v>
      </x:c>
      <x:c r="B11" s="3" t="str">
        <x:v>B1</x:v>
      </x:c>
      <x:c r="C11" s="9" t="str">
        <x:v>Fondo RH15</x:v>
      </x:c>
      <x:c r="D11" s="3" t="n">
        <x:v>1</x:v>
      </x:c>
      <x:c r="E11" s="3" t="n">
        <x:v>2250</x:v>
      </x:c>
      <x:c r="F11" s="3" t="n">
        <x:v>830</x:v>
      </x:c>
      <x:c r="G11" s="3" t="n">
        <x:v>15</x:v>
      </x:c>
      <x:c r="H11" s="10" t="n">
        <x:f>D11*E11*F11/1000000</x:f>
        <x:v>1.8675</x:v>
      </x:c>
      <x:c r="I11" s="3" t="str">
        <x:v>0.45</x:v>
      </x:c>
      <x:c r="J11" s="3" t="str">
        <x:v>0.45</x:v>
      </x:c>
      <x:c r="K11" s="3" t="str">
        <x:v>0.45</x:v>
      </x:c>
      <x:c r="L11" s="3" t="str">
        <x:v>0.45</x:v>
      </x:c>
      <x:c r="M11" s="11" t="n">
        <x:f>E11-0.45-0.45</x:f>
        <x:v>2249.1000000000004</x:v>
      </x:c>
      <x:c r="N11" s="11" t="n">
        <x:f>F11-0.45-0.45</x:f>
        <x:v>829.0999999999999</x:v>
      </x:c>
      <x:c r="O11" s="12" t="str">
        <x:v>Diseño elegido</x:v>
      </x:c>
      <x:c r="P11" s="9" t="str">
        <x:v>Panel trasero del mismo RH15 y acabado. Útil de colgado hasta la hoja trasera: 485 mm.</x:v>
      </x:c>
    </x:row>
    <x:row r="12" ht="54" customHeight="1">
      <x:c r="A12" s="3" t="str">
        <x:v>C3-006</x:v>
      </x:c>
      <x:c r="B12" s="3" t="str">
        <x:v>B1</x:v>
      </x:c>
      <x:c r="C12" s="9" t="str">
        <x:v>Piso de maletero</x:v>
      </x:c>
      <x:c r="D12" s="3" t="n">
        <x:v>1</x:v>
      </x:c>
      <x:c r="E12" s="3" t="n">
        <x:v>830</x:v>
      </x:c>
      <x:c r="F12" s="3" t="n">
        <x:v>475</x:v>
      </x:c>
      <x:c r="G12" s="3" t="n">
        <x:v>15</x:v>
      </x:c>
      <x:c r="H12" s="10" t="n">
        <x:f>D12*E12*F12/1000000</x:f>
        <x:v>0.39425</x:v>
      </x:c>
      <x:c r="I12" s="3" t="str">
        <x:v>2</x:v>
      </x:c>
      <x:c r="J12" s="3" t="str">
        <x:v>0.45</x:v>
      </x:c>
      <x:c r="K12" s="3" t="str">
        <x:v>0.45</x:v>
      </x:c>
      <x:c r="L12" s="3" t="str">
        <x:v>0.45</x:v>
      </x:c>
      <x:c r="M12" s="11" t="n">
        <x:f>E12-0.45-0.45</x:f>
        <x:v>829.0999999999999</x:v>
      </x:c>
      <x:c r="N12" s="11" t="n">
        <x:f>F12-2-0.45</x:f>
        <x:v>472.55</x:v>
      </x:c>
      <x:c r="O12" s="12" t="str">
        <x:v>Diseño elegido</x:v>
      </x:c>
      <x:c r="P12" s="9" t="str">
        <x:v>Maletero interior accesible por las hojas corredizas; carga liviana.</x:v>
      </x:c>
    </x:row>
    <x:row r="13" ht="54" customHeight="1">
      <x:c r="A13" s="3" t="str">
        <x:v>C3-007</x:v>
      </x:c>
      <x:c r="B13" s="3" t="str">
        <x:v>B1</x:v>
      </x:c>
      <x:c r="C13" s="9" t="str">
        <x:v>Refuerzo frontal de maletero</x:v>
      </x:c>
      <x:c r="D13" s="3" t="n">
        <x:v>1</x:v>
      </x:c>
      <x:c r="E13" s="3" t="n">
        <x:v>830</x:v>
      </x:c>
      <x:c r="F13" s="3" t="n">
        <x:v>80</x:v>
      </x:c>
      <x:c r="G13" s="3" t="n">
        <x:v>15</x:v>
      </x:c>
      <x:c r="H13" s="10" t="n">
        <x:f>D13*E13*F13/1000000</x:f>
        <x:v>0.0664</x:v>
      </x:c>
      <x:c r="I13" s="3" t="str">
        <x:v>0.45</x:v>
      </x:c>
      <x:c r="J13" s="3" t="str">
        <x:v>0.45</x:v>
      </x:c>
      <x:c r="K13" s="3" t="str">
        <x:v>0.45</x:v>
      </x:c>
      <x:c r="L13" s="3" t="str">
        <x:v>0.45</x:v>
      </x:c>
      <x:c r="M13" s="11" t="n">
        <x:f>E13-0.45-0.45</x:f>
        <x:v>829.0999999999999</x:v>
      </x:c>
      <x:c r="N13" s="11" t="n">
        <x:f>F13-0.45-0.45</x:f>
        <x:v>79.1</x:v>
      </x:c>
      <x:c r="O13" s="12" t="str">
        <x:v>Diseño elegido</x:v>
      </x:c>
      <x:c r="P13" s="9" t="str">
        <x:v>De canto. Apoyos y unión al tablero por definir antes de fabricar.</x:v>
      </x:c>
    </x:row>
    <x:row r="14" ht="54" customHeight="1">
      <x:c r="A14" s="3" t="str">
        <x:v>C3-008</x:v>
      </x:c>
      <x:c r="B14" s="3" t="str">
        <x:v>B1</x:v>
      </x:c>
      <x:c r="C14" s="9" t="str">
        <x:v>Refuerzo trasero de maletero</x:v>
      </x:c>
      <x:c r="D14" s="3" t="n">
        <x:v>1</x:v>
      </x:c>
      <x:c r="E14" s="3" t="n">
        <x:v>830</x:v>
      </x:c>
      <x:c r="F14" s="3" t="n">
        <x:v>100</x:v>
      </x:c>
      <x:c r="G14" s="3" t="n">
        <x:v>15</x:v>
      </x:c>
      <x:c r="H14" s="10" t="n">
        <x:f>D14*E14*F14/1000000</x:f>
        <x:v>0.083</x:v>
      </x:c>
      <x:c r="I14" s="3" t="str">
        <x:v>0.45</x:v>
      </x:c>
      <x:c r="J14" s="3" t="str">
        <x:v>0.45</x:v>
      </x:c>
      <x:c r="K14" s="3" t="str">
        <x:v>0.45</x:v>
      </x:c>
      <x:c r="L14" s="3" t="str">
        <x:v>0.45</x:v>
      </x:c>
      <x:c r="M14" s="11" t="n">
        <x:f>E14-0.45-0.45</x:f>
        <x:v>829.0999999999999</x:v>
      </x:c>
      <x:c r="N14" s="11" t="n">
        <x:f>F14-0.45-0.45</x:f>
        <x:v>99.1</x:v>
      </x:c>
      <x:c r="O14" s="12" t="str">
        <x:v>Diseño elegido</x:v>
      </x:c>
      <x:c r="P14" s="9" t="str">
        <x:v>De canto. No atribuir rigidez al pegado sobre canto decorativo.</x:v>
      </x:c>
    </x:row>
    <x:row r="15" ht="54" customHeight="1">
      <x:c r="A15" s="3" t="str">
        <x:v>C3-009</x:v>
      </x:c>
      <x:c r="B15" s="3" t="str">
        <x:v>B2</x:v>
      </x:c>
      <x:c r="C15" s="9" t="str">
        <x:v>Piso sobre base</x:v>
      </x:c>
      <x:c r="D15" s="3" t="n">
        <x:v>1</x:v>
      </x:c>
      <x:c r="E15" s="3" t="n">
        <x:v>1075</x:v>
      </x:c>
      <x:c r="F15" s="3" t="n">
        <x:v>560</x:v>
      </x:c>
      <x:c r="G15" s="3" t="n">
        <x:v>15</x:v>
      </x:c>
      <x:c r="H15" s="10" t="n">
        <x:f>D15*E15*F15/1000000</x:f>
        <x:v>0.602</x:v>
      </x:c>
      <x:c r="I15" s="3" t="str">
        <x:v>2</x:v>
      </x:c>
      <x:c r="J15" s="3" t="str">
        <x:v>0.45</x:v>
      </x:c>
      <x:c r="K15" s="3" t="str">
        <x:v>0.45</x:v>
      </x:c>
      <x:c r="L15" s="3" t="str">
        <x:v>0.45</x:v>
      </x:c>
      <x:c r="M15" s="11" t="n">
        <x:f>E15-0.45-0.45</x:f>
        <x:v>1074.1</x:v>
      </x:c>
      <x:c r="N15" s="11" t="n">
        <x:f>F15-2-0.45</x:f>
        <x:v>557.55</x:v>
      </x:c>
      <x:c r="O15" s="12" t="str">
        <x:v>Diseño elegido</x:v>
      </x:c>
      <x:c r="P15" s="9" t="str">
        <x:v>Uniones y mecanizados según montaje.</x:v>
      </x:c>
    </x:row>
    <x:row r="16" ht="54" customHeight="1">
      <x:c r="A16" s="3" t="str">
        <x:v>C3-010</x:v>
      </x:c>
      <x:c r="B16" s="3" t="str">
        <x:v>B2</x:v>
      </x:c>
      <x:c r="C16" s="9" t="str">
        <x:v>Tapa superior</x:v>
      </x:c>
      <x:c r="D16" s="3" t="n">
        <x:v>1</x:v>
      </x:c>
      <x:c r="E16" s="3" t="n">
        <x:v>1075</x:v>
      </x:c>
      <x:c r="F16" s="3" t="n">
        <x:v>560</x:v>
      </x:c>
      <x:c r="G16" s="3" t="n">
        <x:v>15</x:v>
      </x:c>
      <x:c r="H16" s="10" t="n">
        <x:f>D16*E16*F16/1000000</x:f>
        <x:v>0.602</x:v>
      </x:c>
      <x:c r="I16" s="3" t="str">
        <x:v>2</x:v>
      </x:c>
      <x:c r="J16" s="3" t="str">
        <x:v>0.45</x:v>
      </x:c>
      <x:c r="K16" s="3" t="str">
        <x:v>0.45</x:v>
      </x:c>
      <x:c r="L16" s="3" t="str">
        <x:v>0.45</x:v>
      </x:c>
      <x:c r="M16" s="11" t="n">
        <x:f>E16-0.45-0.45</x:f>
        <x:v>1074.1</x:v>
      </x:c>
      <x:c r="N16" s="11" t="n">
        <x:f>F16-2-0.45</x:f>
        <x:v>557.55</x:v>
      </x:c>
      <x:c r="O16" s="12" t="str">
        <x:v>Diseño elegido</x:v>
      </x:c>
      <x:c r="P16" s="9" t="str">
        <x:v>Recibe el sistema colgante. Definir uniones, apoyo de riel y fijaciones según fabricante.</x:v>
      </x:c>
    </x:row>
    <x:row r="17" ht="54" customHeight="1">
      <x:c r="A17" s="3" t="str">
        <x:v>C3-011</x:v>
      </x:c>
      <x:c r="B17" s="3" t="str">
        <x:v>B2</x:v>
      </x:c>
      <x:c r="C17" s="9" t="str">
        <x:v>Fondo RH15</x:v>
      </x:c>
      <x:c r="D17" s="3" t="n">
        <x:v>1</x:v>
      </x:c>
      <x:c r="E17" s="3" t="n">
        <x:v>2250</x:v>
      </x:c>
      <x:c r="F17" s="3" t="n">
        <x:v>1075</x:v>
      </x:c>
      <x:c r="G17" s="3" t="n">
        <x:v>15</x:v>
      </x:c>
      <x:c r="H17" s="10" t="n">
        <x:f>D17*E17*F17/1000000</x:f>
        <x:v>2.41875</x:v>
      </x:c>
      <x:c r="I17" s="3" t="str">
        <x:v>0.45</x:v>
      </x:c>
      <x:c r="J17" s="3" t="str">
        <x:v>0.45</x:v>
      </x:c>
      <x:c r="K17" s="3" t="str">
        <x:v>0.45</x:v>
      </x:c>
      <x:c r="L17" s="3" t="str">
        <x:v>0.45</x:v>
      </x:c>
      <x:c r="M17" s="11" t="n">
        <x:f>E17-0.45-0.45</x:f>
        <x:v>2249.1000000000004</x:v>
      </x:c>
      <x:c r="N17" s="11" t="n">
        <x:f>F17-0.45-0.45</x:f>
        <x:v>1074.1</x:v>
      </x:c>
      <x:c r="O17" s="12" t="str">
        <x:v>Diseño elegido</x:v>
      </x:c>
      <x:c r="P17" s="9" t="str">
        <x:v>Panel trasero del mismo RH15 y acabado. Útil de colgado hasta la hoja trasera: 485 mm.</x:v>
      </x:c>
    </x:row>
    <x:row r="18" ht="54" customHeight="1">
      <x:c r="A18" s="3" t="str">
        <x:v>C3-012</x:v>
      </x:c>
      <x:c r="B18" s="3" t="str">
        <x:v>B2</x:v>
      </x:c>
      <x:c r="C18" s="9" t="str">
        <x:v>Piso de maletero</x:v>
      </x:c>
      <x:c r="D18" s="3" t="n">
        <x:v>1</x:v>
      </x:c>
      <x:c r="E18" s="3" t="n">
        <x:v>1075</x:v>
      </x:c>
      <x:c r="F18" s="3" t="n">
        <x:v>475</x:v>
      </x:c>
      <x:c r="G18" s="3" t="n">
        <x:v>15</x:v>
      </x:c>
      <x:c r="H18" s="10" t="n">
        <x:f>D18*E18*F18/1000000</x:f>
        <x:v>0.510625</x:v>
      </x:c>
      <x:c r="I18" s="3" t="str">
        <x:v>2</x:v>
      </x:c>
      <x:c r="J18" s="3" t="str">
        <x:v>0.45</x:v>
      </x:c>
      <x:c r="K18" s="3" t="str">
        <x:v>0.45</x:v>
      </x:c>
      <x:c r="L18" s="3" t="str">
        <x:v>0.45</x:v>
      </x:c>
      <x:c r="M18" s="11" t="n">
        <x:f>E18-0.45-0.45</x:f>
        <x:v>1074.1</x:v>
      </x:c>
      <x:c r="N18" s="11" t="n">
        <x:f>F18-2-0.45</x:f>
        <x:v>472.55</x:v>
      </x:c>
      <x:c r="O18" s="12" t="str">
        <x:v>Diseño elegido</x:v>
      </x:c>
      <x:c r="P18" s="9" t="str">
        <x:v>Maletero interior accesible por las hojas corredizas; carga liviana.</x:v>
      </x:c>
    </x:row>
    <x:row r="19" ht="54" customHeight="1">
      <x:c r="A19" s="3" t="str">
        <x:v>C3-013</x:v>
      </x:c>
      <x:c r="B19" s="3" t="str">
        <x:v>B2</x:v>
      </x:c>
      <x:c r="C19" s="9" t="str">
        <x:v>Refuerzo frontal de maletero</x:v>
      </x:c>
      <x:c r="D19" s="3" t="n">
        <x:v>1</x:v>
      </x:c>
      <x:c r="E19" s="3" t="n">
        <x:v>1075</x:v>
      </x:c>
      <x:c r="F19" s="3" t="n">
        <x:v>80</x:v>
      </x:c>
      <x:c r="G19" s="3" t="n">
        <x:v>15</x:v>
      </x:c>
      <x:c r="H19" s="10" t="n">
        <x:f>D19*E19*F19/1000000</x:f>
        <x:v>0.086</x:v>
      </x:c>
      <x:c r="I19" s="3" t="str">
        <x:v>0.45</x:v>
      </x:c>
      <x:c r="J19" s="3" t="str">
        <x:v>0.45</x:v>
      </x:c>
      <x:c r="K19" s="3" t="str">
        <x:v>0.45</x:v>
      </x:c>
      <x:c r="L19" s="3" t="str">
        <x:v>0.45</x:v>
      </x:c>
      <x:c r="M19" s="11" t="n">
        <x:f>E19-0.45-0.45</x:f>
        <x:v>1074.1</x:v>
      </x:c>
      <x:c r="N19" s="11" t="n">
        <x:f>F19-0.45-0.45</x:f>
        <x:v>79.1</x:v>
      </x:c>
      <x:c r="O19" s="12" t="str">
        <x:v>Diseño elegido</x:v>
      </x:c>
      <x:c r="P19" s="9" t="str">
        <x:v>De canto. Apoyos y unión al tablero por definir antes de fabricar.</x:v>
      </x:c>
    </x:row>
    <x:row r="20" ht="54" customHeight="1">
      <x:c r="A20" s="3" t="str">
        <x:v>C3-014</x:v>
      </x:c>
      <x:c r="B20" s="3" t="str">
        <x:v>B2</x:v>
      </x:c>
      <x:c r="C20" s="9" t="str">
        <x:v>Refuerzo trasero de maletero</x:v>
      </x:c>
      <x:c r="D20" s="3" t="n">
        <x:v>1</x:v>
      </x:c>
      <x:c r="E20" s="3" t="n">
        <x:v>1075</x:v>
      </x:c>
      <x:c r="F20" s="3" t="n">
        <x:v>100</x:v>
      </x:c>
      <x:c r="G20" s="3" t="n">
        <x:v>15</x:v>
      </x:c>
      <x:c r="H20" s="10" t="n">
        <x:f>D20*E20*F20/1000000</x:f>
        <x:v>0.1075</x:v>
      </x:c>
      <x:c r="I20" s="3" t="str">
        <x:v>0.45</x:v>
      </x:c>
      <x:c r="J20" s="3" t="str">
        <x:v>0.45</x:v>
      </x:c>
      <x:c r="K20" s="3" t="str">
        <x:v>0.45</x:v>
      </x:c>
      <x:c r="L20" s="3" t="str">
        <x:v>0.45</x:v>
      </x:c>
      <x:c r="M20" s="11" t="n">
        <x:f>E20-0.45-0.45</x:f>
        <x:v>1074.1</x:v>
      </x:c>
      <x:c r="N20" s="11" t="n">
        <x:f>F20-0.45-0.45</x:f>
        <x:v>99.1</x:v>
      </x:c>
      <x:c r="O20" s="12" t="str">
        <x:v>Diseño elegido</x:v>
      </x:c>
      <x:c r="P20" s="9" t="str">
        <x:v>De canto. No atribuir rigidez al pegado sobre canto decorativo.</x:v>
      </x:c>
    </x:row>
    <x:row r="21" ht="54" customHeight="1">
      <x:c r="A21" s="3" t="str">
        <x:v>C3-015</x:v>
      </x:c>
      <x:c r="B21" s="3" t="str">
        <x:v>B1</x:v>
      </x:c>
      <x:c r="C21" s="9" t="str">
        <x:v>Frente de cajón</x:v>
      </x:c>
      <x:c r="D21" s="3" t="n">
        <x:v>3</x:v>
      </x:c>
      <x:c r="E21" s="3" t="n">
        <x:v>824</x:v>
      </x:c>
      <x:c r="F21" s="3" t="n">
        <x:v>210</x:v>
      </x:c>
      <x:c r="G21" s="3" t="n">
        <x:v>15</x:v>
      </x:c>
      <x:c r="H21" s="10" t="n">
        <x:f>D21*E21*F21/1000000</x:f>
        <x:v>0.51912</x:v>
      </x:c>
      <x:c r="I21" s="3" t="str">
        <x:v>2</x:v>
      </x:c>
      <x:c r="J21" s="3" t="str">
        <x:v>2</x:v>
      </x:c>
      <x:c r="K21" s="3" t="str">
        <x:v>2</x:v>
      </x:c>
      <x:c r="L21" s="3" t="str">
        <x:v>2</x:v>
      </x:c>
      <x:c r="M21" s="11" t="n">
        <x:f>E21-2-2</x:f>
        <x:v>820</x:v>
      </x:c>
      <x:c r="N21" s="11" t="n">
        <x:f>F21-2-2</x:f>
        <x:v>206</x:v>
      </x:c>
      <x:c r="O21" s="12" t="str">
        <x:v>Diseño elegido</x:v>
      </x:c>
      <x:c r="P21" s="9" t="str">
        <x:v>Sin manija. Separación vertical de 30 mm. Se añadieron 50 mm de tolerancia lateral al cajonero: frente termina en x842 y hoja abierta comienza en x910 (68 mm libres).</x:v>
      </x:c>
    </x:row>
    <x:row r="22" ht="54" customHeight="1">
      <x:c r="A22" s="3" t="str">
        <x:v>C3-016</x:v>
      </x:c>
      <x:c r="B22" s="3" t="str">
        <x:v>B1</x:v>
      </x:c>
      <x:c r="C22" s="9" t="str">
        <x:v>Costado de cajón</x:v>
      </x:c>
      <x:c r="D22" s="3" t="n">
        <x:v>6</x:v>
      </x:c>
      <x:c r="E22" s="3" t="n">
        <x:v>450</x:v>
      </x:c>
      <x:c r="F22" s="3" t="n">
        <x:v>155</x:v>
      </x:c>
      <x:c r="G22" s="3" t="n">
        <x:v>15</x:v>
      </x:c>
      <x:c r="H22" s="10" t="n">
        <x:f>D22*E22*F22/1000000</x:f>
        <x:v>0.4185</x:v>
      </x:c>
      <x:c r="I22" s="3" t="str">
        <x:v>0.45</x:v>
      </x:c>
      <x:c r="J22" s="3" t="str">
        <x:v>0.45</x:v>
      </x:c>
      <x:c r="K22" s="3" t="str">
        <x:v>0.45</x:v>
      </x:c>
      <x:c r="L22" s="3" t="str">
        <x:v>0.45</x:v>
      </x:c>
      <x:c r="M22" s="11" t="n">
        <x:f>E22-0.45-0.45</x:f>
        <x:v>449.1</x:v>
      </x:c>
      <x:c r="N22" s="11" t="n">
        <x:f>F22-0.45-0.45</x:f>
        <x:v>154.10000000000002</x:v>
      </x:c>
      <x:c r="O22" s="12" t="str">
        <x:v>Diseño elegido</x:v>
      </x:c>
      <x:c r="P22" s="9" t="str">
        <x:v>Uniones y mecanizados según montaje.</x:v>
      </x:c>
    </x:row>
    <x:row r="23" ht="54" customHeight="1">
      <x:c r="A23" s="3" t="str">
        <x:v>C3-017</x:v>
      </x:c>
      <x:c r="B23" s="3" t="str">
        <x:v>B1</x:v>
      </x:c>
      <x:c r="C23" s="9" t="str">
        <x:v>Base aplicada de cajón</x:v>
      </x:c>
      <x:c r="D23" s="3" t="n">
        <x:v>3</x:v>
      </x:c>
      <x:c r="E23" s="3" t="n">
        <x:v>803</x:v>
      </x:c>
      <x:c r="F23" s="3" t="n">
        <x:v>450</x:v>
      </x:c>
      <x:c r="G23" s="3" t="n">
        <x:v>15</x:v>
      </x:c>
      <x:c r="H23" s="10" t="n">
        <x:f>D23*E23*F23/1000000</x:f>
        <x:v>1.08405</x:v>
      </x:c>
      <x:c r="I23" s="3" t="str">
        <x:v>0.45</x:v>
      </x:c>
      <x:c r="J23" s="3" t="str">
        <x:v>0.45</x:v>
      </x:c>
      <x:c r="K23" s="3" t="str">
        <x:v>0.45</x:v>
      </x:c>
      <x:c r="L23" s="3" t="str">
        <x:v>0.45</x:v>
      </x:c>
      <x:c r="M23" s="11" t="n">
        <x:f>E23-0.45-0.45</x:f>
        <x:v>802.0999999999999</x:v>
      </x:c>
      <x:c r="N23" s="11" t="n">
        <x:f>F23-0.45-0.45</x:f>
        <x:v>449.1</x:v>
      </x:c>
      <x:c r="O23" s="12" t="str">
        <x:v>Diseño elegido</x:v>
      </x:c>
      <x:c r="P23" s="9" t="str">
        <x:v>Caja exterior 803 × 450: vano 830 menos 27 mm de riel lateral HRE320.</x:v>
      </x:c>
    </x:row>
    <x:row r="24" ht="54" customHeight="1">
      <x:c r="A24" s="3" t="str">
        <x:v>C3-018</x:v>
      </x:c>
      <x:c r="B24" s="3" t="str">
        <x:v>B1</x:v>
      </x:c>
      <x:c r="C24" s="9" t="str">
        <x:v>Frente / trasero interior de cajón</x:v>
      </x:c>
      <x:c r="D24" s="3" t="n">
        <x:v>6</x:v>
      </x:c>
      <x:c r="E24" s="3" t="n">
        <x:v>773</x:v>
      </x:c>
      <x:c r="F24" s="3" t="n">
        <x:v>155</x:v>
      </x:c>
      <x:c r="G24" s="3" t="n">
        <x:v>15</x:v>
      </x:c>
      <x:c r="H24" s="10" t="n">
        <x:f>D24*E24*F24/1000000</x:f>
        <x:v>0.71889</x:v>
      </x:c>
      <x:c r="I24" s="3" t="str">
        <x:v>0.45</x:v>
      </x:c>
      <x:c r="J24" s="3" t="str">
        <x:v>0.45</x:v>
      </x:c>
      <x:c r="K24" s="3" t="str">
        <x:v>0.45</x:v>
      </x:c>
      <x:c r="L24" s="3" t="str">
        <x:v>0.45</x:v>
      </x:c>
      <x:c r="M24" s="11" t="n">
        <x:f>E24-0.45-0.45</x:f>
        <x:v>772.0999999999999</x:v>
      </x:c>
      <x:c r="N24" s="11" t="n">
        <x:f>F24-0.45-0.45</x:f>
        <x:v>154.10000000000002</x:v>
      </x:c>
      <x:c r="O24" s="12" t="str">
        <x:v>Diseño elegido</x:v>
      </x:c>
      <x:c r="P24" s="9" t="str">
        <x:v>Uniones y mecanizados según montaje.</x:v>
      </x:c>
    </x:row>
    <x:row r="25" ht="54" customHeight="1">
      <x:c r="A25" s="3" t="str">
        <x:v>C3-019</x:v>
      </x:c>
      <x:c r="B25" s="3" t="str">
        <x:v>B1</x:v>
      </x:c>
      <x:c r="C25" s="9" t="str">
        <x:v>Refuerzo bajo base de cajón</x:v>
      </x:c>
      <x:c r="D25" s="3" t="n">
        <x:v>3</x:v>
      </x:c>
      <x:c r="E25" s="3" t="n">
        <x:v>803</x:v>
      </x:c>
      <x:c r="F25" s="3" t="n">
        <x:v>40</x:v>
      </x:c>
      <x:c r="G25" s="3" t="n">
        <x:v>15</x:v>
      </x:c>
      <x:c r="H25" s="10" t="n">
        <x:f>D25*E25*F25/1000000</x:f>
        <x:v>0.09636</x:v>
      </x:c>
      <x:c r="I25" s="3" t="str">
        <x:v>0.45</x:v>
      </x:c>
      <x:c r="J25" s="3" t="str">
        <x:v>0.45</x:v>
      </x:c>
      <x:c r="K25" s="3" t="str">
        <x:v>0.45</x:v>
      </x:c>
      <x:c r="L25" s="3" t="str">
        <x:v>0.45</x:v>
      </x:c>
      <x:c r="M25" s="11" t="n">
        <x:f>E25-0.45-0.45</x:f>
        <x:v>802.0999999999999</x:v>
      </x:c>
      <x:c r="N25" s="11" t="n">
        <x:f>F25-0.45-0.45</x:f>
        <x:v>39.099999999999994</x:v>
      </x:c>
      <x:c r="O25" s="12" t="str">
        <x:v>Diseño elegido</x:v>
      </x:c>
      <x:c r="P25" s="9" t="str">
        <x:v>De canto. Uniones por dimensionar; la capacidad del riel no certifica la caja.</x:v>
      </x:c>
    </x:row>
    <x:row r="26" ht="54" customHeight="1">
      <x:c r="A26" s="3" t="str">
        <x:v>C3-020</x:v>
      </x:c>
      <x:c r="B26" s="3" t="str">
        <x:v>BASE</x:v>
      </x:c>
      <x:c r="C26" s="9" t="str">
        <x:v>Zócalo frontal</x:v>
      </x:c>
      <x:c r="D26" s="3" t="n">
        <x:v>1</x:v>
      </x:c>
      <x:c r="E26" s="3" t="n">
        <x:v>1950</x:v>
      </x:c>
      <x:c r="F26" s="3" t="n">
        <x:v>92</x:v>
      </x:c>
      <x:c r="G26" s="3" t="n">
        <x:v>15</x:v>
      </x:c>
      <x:c r="H26" s="10" t="n">
        <x:f>D26*E26*F26/1000000</x:f>
        <x:v>0.1794</x:v>
      </x:c>
      <x:c r="I26" s="3" t="str">
        <x:v>0.45</x:v>
      </x:c>
      <x:c r="J26" s="3" t="str">
        <x:v>0.45</x:v>
      </x:c>
      <x:c r="K26" s="3" t="str">
        <x:v>0.45</x:v>
      </x:c>
      <x:c r="L26" s="3" t="str">
        <x:v>0.45</x:v>
      </x:c>
      <x:c r="M26" s="11" t="n">
        <x:f>E26-0.45-0.45</x:f>
        <x:v>1949.1</x:v>
      </x:c>
      <x:c r="N26" s="11" t="n">
        <x:f>F26-0.45-0.45</x:f>
        <x:v>91.1</x:v>
      </x:c>
      <x:c r="O26" s="12" t="str">
        <x:v>Diseño elegido</x:v>
      </x:c>
      <x:c r="P26" s="9" t="str">
        <x:v>Uniones y mecanizados según montaje.</x:v>
      </x:c>
    </x:row>
    <x:row r="27" ht="54" customHeight="1">
      <x:c r="A27" s="3" t="str">
        <x:v>C3-021</x:v>
      </x:c>
      <x:c r="B27" s="3" t="str">
        <x:v>BASE</x:v>
      </x:c>
      <x:c r="C27" s="9" t="str">
        <x:v>Travesaño trasero de base</x:v>
      </x:c>
      <x:c r="D27" s="3" t="n">
        <x:v>1</x:v>
      </x:c>
      <x:c r="E27" s="3" t="n">
        <x:v>1950</x:v>
      </x:c>
      <x:c r="F27" s="3" t="n">
        <x:v>80</x:v>
      </x:c>
      <x:c r="G27" s="3" t="n">
        <x:v>15</x:v>
      </x:c>
      <x:c r="H27" s="10" t="n">
        <x:f>D27*E27*F27/1000000</x:f>
        <x:v>0.156</x:v>
      </x:c>
      <x:c r="I27" s="3" t="str">
        <x:v>0.45</x:v>
      </x:c>
      <x:c r="J27" s="3" t="str">
        <x:v>0.45</x:v>
      </x:c>
      <x:c r="K27" s="3" t="str">
        <x:v>0.45</x:v>
      </x:c>
      <x:c r="L27" s="3" t="str">
        <x:v>0.45</x:v>
      </x:c>
      <x:c r="M27" s="11" t="n">
        <x:f>E27-0.45-0.45</x:f>
        <x:v>1949.1</x:v>
      </x:c>
      <x:c r="N27" s="11" t="n">
        <x:f>F27-0.45-0.45</x:f>
        <x:v>79.1</x:v>
      </x:c>
      <x:c r="O27" s="12" t="str">
        <x:v>Diseño elegido</x:v>
      </x:c>
      <x:c r="P27" s="9" t="str">
        <x:v>Uniones y mecanizados según montaje.</x:v>
      </x:c>
    </x:row>
    <x:row r="28" ht="54" customHeight="1">
      <x:c r="A28" s="3" t="str">
        <x:v>C3-022</x:v>
      </x:c>
      <x:c r="B28" s="3" t="str">
        <x:v>BASE</x:v>
      </x:c>
      <x:c r="C28" s="9" t="str">
        <x:v>Travesaño de base</x:v>
      </x:c>
      <x:c r="D28" s="3" t="n">
        <x:v>3</x:v>
      </x:c>
      <x:c r="E28" s="3" t="n">
        <x:v>480</x:v>
      </x:c>
      <x:c r="F28" s="3" t="n">
        <x:v>80</x:v>
      </x:c>
      <x:c r="G28" s="3" t="n">
        <x:v>15</x:v>
      </x:c>
      <x:c r="H28" s="10" t="n">
        <x:f>D28*E28*F28/1000000</x:f>
        <x:v>0.1152</x:v>
      </x:c>
      <x:c r="I28" s="3" t="str">
        <x:v>0.45</x:v>
      </x:c>
      <x:c r="J28" s="3" t="str">
        <x:v>0.45</x:v>
      </x:c>
      <x:c r="K28" s="3" t="str">
        <x:v>0.45</x:v>
      </x:c>
      <x:c r="L28" s="3" t="str">
        <x:v>0.45</x:v>
      </x:c>
      <x:c r="M28" s="11" t="n">
        <x:f>E28-0.45-0.45</x:f>
        <x:v>479.1</x:v>
      </x:c>
      <x:c r="N28" s="11" t="n">
        <x:f>F28-0.45-0.45</x:f>
        <x:v>79.1</x:v>
      </x:c>
      <x:c r="O28" s="12" t="str">
        <x:v>Diseño elegido</x:v>
      </x:c>
      <x:c r="P28" s="9" t="str">
        <x:v>Uniones y mecanizados según montaje.</x:v>
      </x:c>
    </x:row>
    <x:row r="29" ht="54" customHeight="1">
      <x:c r="A29" s="3" t="str">
        <x:v>C3-023</x:v>
      </x:c>
      <x:c r="B29" s="3" t="str">
        <x:v>PUERTAS</x:v>
      </x:c>
      <x:c r="C29" s="9" t="str">
        <x:v>Hoja corrediza RH15</x:v>
      </x:c>
      <x:c r="D29" s="3" t="n">
        <x:v>2</x:v>
      </x:c>
      <x:c r="E29" s="3" t="n">
        <x:v>2200</x:v>
      </x:c>
      <x:c r="F29" s="3" t="n">
        <x:v>975</x:v>
      </x:c>
      <x:c r="G29" s="3" t="n">
        <x:v>15</x:v>
      </x:c>
      <x:c r="H29" s="10" t="n">
        <x:f>D29*E29*F29/1000000</x:f>
        <x:v>4.29</x:v>
      </x:c>
      <x:c r="I29" s="3" t="str">
        <x:v>2</x:v>
      </x:c>
      <x:c r="J29" s="3" t="str">
        <x:v>2</x:v>
      </x:c>
      <x:c r="K29" s="3" t="str">
        <x:v>2</x:v>
      </x:c>
      <x:c r="L29" s="3" t="str">
        <x:v>2</x:v>
      </x:c>
      <x:c r="M29" s="11" t="n">
        <x:f>E29-2-2</x:f>
        <x:v>2196</x:v>
      </x:c>
      <x:c r="N29" s="11" t="n">
        <x:f>F29-2-2</x:f>
        <x:v>971</x:v>
      </x:c>
      <x:c r="O29" s="12" t="str">
        <x:v>Pendiente plantilla</x:v>
      </x:c>
      <x:c r="P29" s="9" t="str">
        <x:v>PROVISIONAL para corte: 2200 × 975, solape 30. Sin perfil vertical en esta propuesta basada en el clóset del usuario. Confirmar taladros, altura, canto y suspensión. Tope conserva desfase de 50 mm entre hojas.</x:v>
      </x:c>
    </x:row>
    <x:row r="30">
      <x:c r="A30" s="3"/>
      <x:c r="B30" s="3"/>
      <x:c r="C30" s="3"/>
      <x:c r="D30" s="3"/>
      <x:c r="E30" s="3"/>
      <x:c r="F30" s="3"/>
      <x:c r="G30" s="3"/>
      <x:c r="H30" s="10"/>
      <x:c r="I30" s="3"/>
      <x:c r="J30" s="3"/>
      <x:c r="K30" s="3"/>
      <x:c r="L30" s="3"/>
      <x:c r="M30" s="3"/>
      <x:c r="N30" s="3"/>
      <x:c r="O30" s="3"/>
      <x:c r="P30" s="3"/>
    </x:row>
    <x:row r="31">
      <x:c r="A31" s="3"/>
      <x:c r="B31" s="3"/>
      <x:c r="C31" s="3" t="str">
        <x:v>TOTAL RH15</x:v>
      </x:c>
      <x:c r="D31" s="3" t="n">
        <x:f>SUM(D7:D29)</x:f>
        <x:v>43</x:v>
      </x:c>
      <x:c r="E31" s="3"/>
      <x:c r="F31" s="3"/>
      <x:c r="G31" s="3" t="str">
        <x:v>Área neta</x:v>
      </x:c>
      <x:c r="H31" s="10" t="n">
        <x:f>SUM(H7:H29)</x:f>
        <x:v>18.915944999999997</x:v>
      </x:c>
      <x:c r="I31" s="3"/>
      <x:c r="J31" s="3"/>
      <x:c r="K31" s="3"/>
      <x:c r="L31" s="3"/>
      <x:c r="M31" s="3"/>
      <x:c r="N31" s="3"/>
      <x:c r="O31" s="3"/>
      <x:c r="P31" s="3"/>
    </x:row>
    <x:row r="32">
      <x:c r="A32" s="3"/>
      <x:c r="B32" s="3"/>
      <x:c r="C32" s="3"/>
      <x:c r="D32" s="3"/>
      <x:c r="E32" s="3"/>
      <x:c r="F32" s="3"/>
      <x:c r="G32" s="3"/>
      <x:c r="H32" s="3"/>
      <x:c r="I32" s="3"/>
      <x:c r="J32" s="3"/>
      <x:c r="K32" s="3"/>
      <x:c r="L32" s="3"/>
      <x:c r="M32" s="3"/>
      <x:c r="N32" s="3"/>
      <x:c r="O32" s="3"/>
      <x:c r="P32" s="3"/>
    </x:row>
    <x:row r="33">
      <x:c r="A33" s="3"/>
      <x:c r="B33" s="3"/>
      <x:c r="C33" s="3"/>
      <x:c r="D33" s="3"/>
      <x:c r="E33" s="3"/>
      <x:c r="F33" s="3"/>
      <x:c r="G33" s="3"/>
      <x:c r="H33" s="3"/>
      <x:c r="I33" s="3"/>
      <x:c r="J33" s="3"/>
      <x:c r="K33" s="3"/>
      <x:c r="L33" s="3"/>
      <x:c r="M33" s="3"/>
      <x:c r="N33" s="3"/>
      <x:c r="O33" s="3"/>
      <x:c r="P33" s="3"/>
    </x:row>
    <x:row r="34">
      <x:c r="A34" s="3"/>
      <x:c r="B34" s="3"/>
      <x:c r="C34" s="3"/>
      <x:c r="D34" s="3"/>
      <x:c r="E34" s="3"/>
      <x:c r="F34" s="3"/>
      <x:c r="G34" s="3"/>
      <x:c r="H34" s="3"/>
      <x:c r="I34" s="3"/>
      <x:c r="J34" s="3"/>
      <x:c r="K34" s="3"/>
      <x:c r="L34" s="3"/>
      <x:c r="M34" s="3"/>
      <x:c r="N34" s="3"/>
      <x:c r="O34" s="3"/>
      <x:c r="P34" s="3"/>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22" hidden="0" customWidth="1"/>
    <x:col min="2" max="2" width="75" hidden="0" customWidth="1"/>
    <x:col min="3" max="3" width="16" hidden="0" customWidth="1"/>
    <x:col min="4" max="4" width="14" hidden="0" customWidth="1"/>
    <x:col min="5" max="5" width="17" hidden="0" customWidth="1"/>
    <x:col min="6" max="6" width="17" hidden="0" customWidth="1"/>
    <x:col min="7" max="7" width="15" hidden="0" customWidth="1"/>
    <x:col min="8" max="8" width="12" hidden="0" customWidth="1"/>
    <x:col min="9" max="9" width="14" hidden="0" customWidth="1"/>
  </x:cols>
  <x:sheetData>
    <x:row r="1">
      <x:c r="A1" s="3"/>
      <x:c r="B1" s="3"/>
      <x:c r="C1" s="3"/>
      <x:c r="D1" s="3"/>
      <x:c r="E1" s="3"/>
      <x:c r="F1" s="3"/>
      <x:c r="G1" s="3"/>
      <x:c r="H1" s="3"/>
      <x:c r="I1" s="3"/>
    </x:row>
    <x:row r="2">
      <x:c r="A2" s="4" t="str">
        <x:v>Clóset compacto: cantos exclusivos</x:v>
      </x:c>
      <x:c r="B2" s="3"/>
      <x:c r="C2" s="3"/>
      <x:c r="D2" s="3"/>
      <x:c r="E2" s="3"/>
      <x:c r="F2" s="3"/>
      <x:c r="G2" s="3"/>
      <x:c r="H2" s="3" t="str">
        <x:v>Reserva/borde m</x:v>
      </x:c>
      <x:c r="I2" s="3" t="n">
        <x:v>0.05</x:v>
      </x:c>
    </x:row>
    <x:row r="3">
      <x:c r="A3" s="3" t="str">
        <x:v>Rígido 2 mm en caras vistas; flexible 0,45 en bordes restantes. Reserva editable, 5 cm por borde.</x:v>
      </x:c>
      <x:c r="B3" s="3"/>
      <x:c r="C3" s="3"/>
      <x:c r="D3" s="3"/>
      <x:c r="E3" s="3"/>
      <x:c r="F3" s="3"/>
      <x:c r="G3" s="3"/>
      <x:c r="H3" s="3"/>
      <x:c r="I3" s="3"/>
    </x:row>
    <x:row r="4">
      <x:c r="A4" s="3"/>
      <x:c r="B4" s="3"/>
      <x:c r="C4" s="3"/>
      <x:c r="D4" s="3"/>
      <x:c r="E4" s="3"/>
      <x:c r="F4" s="3"/>
      <x:c r="G4" s="3"/>
      <x:c r="H4" s="3"/>
      <x:c r="I4" s="3"/>
    </x:row>
    <x:row r="5">
      <x:c r="A5" s="3"/>
      <x:c r="B5" s="3"/>
      <x:c r="C5" s="3"/>
      <x:c r="D5" s="3"/>
      <x:c r="E5" s="3"/>
      <x:c r="F5" s="3"/>
      <x:c r="G5" s="3"/>
      <x:c r="H5" s="3"/>
      <x:c r="I5" s="3"/>
    </x:row>
    <x:row r="6" ht="42" customHeight="1">
      <x:c r="A6" s="8" t="str">
        <x:v>Tipo</x:v>
      </x:c>
      <x:c r="B6" s="8" t="str">
        <x:v>Aplicación</x:v>
      </x:c>
      <x:c r="C6" s="8" t="str">
        <x:v>Metros netos</x:v>
      </x:c>
      <x:c r="D6" s="8" t="str">
        <x:v>Bordes</x:v>
      </x:c>
      <x:c r="E6" s="8" t="str">
        <x:v>Reserva m</x:v>
      </x:c>
      <x:c r="F6" s="8" t="str">
        <x:v>Metros a pedir</x:v>
      </x:c>
      <x:c r="G6" s="8" t="str">
        <x:v>m por rollo</x:v>
      </x:c>
      <x:c r="H6" s="8" t="str">
        <x:v>Rollos</x:v>
      </x:c>
      <x:c r="I6" s="3"/>
    </x:row>
    <x:row r="7" ht="60" customHeight="1">
      <x:c r="A7" s="3" t="str">
        <x:v>Rígido 19 × 2</x:v>
      </x:c>
      <x:c r="B7" s="9" t="str">
        <x:v>Hojas, frentes y bordes vistos de estructura</x:v>
      </x:c>
      <x:c r="C7" s="13" t="n">
        <x:f>SUMPRODUCT(Despiece!$D$7:$D$29,Despiece!$E$7:$E$29,(Despiece!$I$7:$I$29="2")+(Despiece!$J$7:$J$29="2"))/1000+SUMPRODUCT(Despiece!$D$7:$D$29,Despiece!$F$7:$F$29,(Despiece!$K$7:$K$29="2")+(Despiece!$L$7:$L$29="2"))/1000</x:f>
        <x:v>31.459</x:v>
      </x:c>
      <x:c r="D7" s="3" t="n">
        <x:f>SUMPRODUCT(Despiece!$D$7:$D$29,(Despiece!$I$7:$I$29="2")+(Despiece!$J$7:$J$29="2")+(Despiece!$K$7:$K$29="2")+(Despiece!$L$7:$L$29="2"))</x:f>
        <x:v>29</x:v>
      </x:c>
      <x:c r="E7" s="11" t="n">
        <x:f>D7*$I$2</x:f>
        <x:v>1.4500000000000002</x:v>
      </x:c>
      <x:c r="F7" s="3" t="n">
        <x:f>ROUNDUP((C7+E7)/5,0)*5</x:f>
        <x:v>35</x:v>
      </x:c>
      <x:c r="G7" s="3" t="n">
        <x:v>100</x:v>
      </x:c>
      <x:c r="H7" s="3" t="n">
        <x:f>ROUNDUP(F7/G7,0)</x:f>
        <x:v>1</x:v>
      </x:c>
      <x:c r="I7" s="3"/>
    </x:row>
    <x:row r="8" ht="60" customHeight="1">
      <x:c r="A8" s="3" t="str">
        <x:v>Flexible 19 × 0,45</x:v>
      </x:c>
      <x:c r="B8" s="9" t="str">
        <x:v>Fondo, interiores y listones</x:v>
      </x:c>
      <x:c r="C8" s="13" t="n">
        <x:f>SUMPRODUCT(Despiece!$D$7:$D$29,Despiece!$E$7:$E$29,(Despiece!$I$7:$I$29="0.45")+(Despiece!$J$7:$J$29="0.45"))/1000+SUMPRODUCT(Despiece!$D$7:$D$29,Despiece!$F$7:$F$29,(Despiece!$K$7:$K$29="0.45")+(Despiece!$L$7:$L$29="0.45"))/1000</x:f>
        <x:v>85.781</x:v>
      </x:c>
      <x:c r="D8" s="3" t="n">
        <x:f>SUMPRODUCT(Despiece!$D$7:$D$29,(Despiece!$I$7:$I$29="0.45")+(Despiece!$J$7:$J$29="0.45")+(Despiece!$K$7:$K$29="0.45")+(Despiece!$L$7:$L$29="0.45"))</x:f>
        <x:v>143</x:v>
      </x:c>
      <x:c r="E8" s="11" t="n">
        <x:f>D8*$I$2</x:f>
        <x:v>7.15</x:v>
      </x:c>
      <x:c r="F8" s="3" t="n">
        <x:f>ROUNDUP((C8+E8)/5,0)*5</x:f>
        <x:v>95</x:v>
      </x:c>
      <x:c r="G8" s="3" t="n">
        <x:v>200</x:v>
      </x:c>
      <x:c r="H8" s="3" t="n">
        <x:f>ROUNDUP(F8/G8,0)</x:f>
        <x:v>1</x:v>
      </x:c>
      <x:c r="I8" s="3"/>
    </x:row>
    <x:row r="9">
      <x:c r="A9" s="3"/>
      <x:c r="B9" s="3"/>
      <x:c r="C9" s="3"/>
      <x:c r="D9" s="3"/>
      <x:c r="E9" s="3"/>
      <x:c r="F9" s="3"/>
      <x:c r="G9" s="3"/>
      <x:c r="H9" s="3"/>
      <x:c r="I9" s="3"/>
    </x:row>
    <x:row r="10">
      <x:c r="A10" s="3" t="str">
        <x:v>Piezas estrechas y superficies de unión: confirmar canteado y preparación con el taller.</x:v>
      </x:c>
      <x:c r="B10" s="3"/>
      <x:c r="C10" s="3"/>
      <x:c r="D10" s="3"/>
      <x:c r="E10" s="3"/>
      <x:c r="F10" s="3"/>
      <x:c r="G10" s="3"/>
      <x:c r="H10" s="3"/>
      <x:c r="I10" s="3"/>
    </x:row>
    <x:row r="11">
      <x:c r="A11" s="3"/>
      <x:c r="B11" s="3"/>
      <x:c r="C11" s="3"/>
      <x:c r="D11" s="3"/>
      <x:c r="E11" s="3"/>
      <x:c r="F11" s="3"/>
      <x:c r="G11" s="3"/>
      <x:c r="H11" s="3"/>
      <x:c r="I11" s="3"/>
    </x:row>
    <x:row r="12">
      <x:c r="A12" s="3"/>
      <x:c r="B12" s="3"/>
      <x:c r="C12" s="3"/>
      <x:c r="D12" s="3"/>
      <x:c r="E12" s="3"/>
      <x:c r="F12" s="3"/>
      <x:c r="G12" s="3"/>
      <x:c r="H12" s="3"/>
      <x:c r="I12" s="3"/>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25" hidden="0" customWidth="1"/>
    <x:col min="2" max="2" width="32" hidden="0" customWidth="1"/>
    <x:col min="3" max="3" width="12" hidden="0" customWidth="1"/>
    <x:col min="4" max="4" width="13" hidden="0" customWidth="1"/>
    <x:col min="5" max="5" width="17" hidden="0" customWidth="1"/>
    <x:col min="6" max="6" width="18" hidden="0" customWidth="1"/>
    <x:col min="7" max="7" width="24" hidden="0" customWidth="1"/>
    <x:col min="8" max="8" width="86" hidden="0" customWidth="1"/>
    <x:col min="9" max="9" width="3" hidden="0" customWidth="1"/>
    <x:col min="10" max="10" width="80" hidden="0" customWidth="1"/>
  </x:cols>
  <x:sheetData>
    <x:row r="1">
      <x:c r="A1" s="3"/>
      <x:c r="B1" s="3"/>
      <x:c r="C1" s="3"/>
      <x:c r="D1" s="3"/>
      <x:c r="E1" s="3"/>
      <x:c r="F1" s="3"/>
      <x:c r="G1" s="3"/>
      <x:c r="H1" s="3"/>
      <x:c r="I1" s="3"/>
      <x:c r="J1" s="3"/>
    </x:row>
    <x:row r="2">
      <x:c r="A2" s="4" t="str">
        <x:v>Clóset compacto: compras independientes</x:v>
      </x:c>
      <x:c r="B2" s="3"/>
      <x:c r="C2" s="3"/>
      <x:c r="D2" s="3"/>
      <x:c r="E2" s="3"/>
      <x:c r="F2" s="3"/>
      <x:c r="G2" s="3"/>
      <x:c r="H2" s="3"/>
      <x:c r="I2" s="3"/>
      <x:c r="J2" s="3"/>
    </x:row>
    <x:row r="3">
      <x:c r="A3" s="3" t="str">
        <x:v>Presupuesto parcial de esta opción. Precios de referencia; no combina materiales con cocina ni baño.</x:v>
      </x:c>
      <x:c r="B3" s="3"/>
      <x:c r="C3" s="3"/>
      <x:c r="D3" s="3"/>
      <x:c r="E3" s="3"/>
      <x:c r="F3" s="3"/>
      <x:c r="G3" s="3"/>
      <x:c r="H3" s="3"/>
      <x:c r="I3" s="3"/>
      <x:c r="J3" s="3"/>
    </x:row>
    <x:row r="4">
      <x:c r="A4" s="3" t="str">
        <x:v>Cinco láminas es un encaje encontrado sin rotar por veta; no representa un mínimo demostrado.</x:v>
      </x:c>
      <x:c r="B4" s="3"/>
      <x:c r="C4" s="3"/>
      <x:c r="D4" s="3"/>
      <x:c r="E4" s="3"/>
      <x:c r="F4" s="3"/>
      <x:c r="G4" s="3"/>
      <x:c r="H4" s="3"/>
      <x:c r="I4" s="3"/>
      <x:c r="J4" s="3"/>
    </x:row>
    <x:row r="5">
      <x:c r="A5" s="3"/>
      <x:c r="B5" s="3"/>
      <x:c r="C5" s="3"/>
      <x:c r="D5" s="3"/>
      <x:c r="E5" s="3"/>
      <x:c r="F5" s="3"/>
      <x:c r="G5" s="3"/>
      <x:c r="H5" s="3"/>
      <x:c r="I5" s="3"/>
      <x:c r="J5" s="3"/>
    </x:row>
    <x:row r="6" ht="42" customHeight="1">
      <x:c r="A6" s="8" t="str">
        <x:v>Referencia</x:v>
      </x:c>
      <x:c r="B6" s="8" t="str">
        <x:v>Uso</x:v>
      </x:c>
      <x:c r="C6" s="8" t="str">
        <x:v>Cantidad</x:v>
      </x:c>
      <x:c r="D6" s="8" t="str">
        <x:v>Unidad</x:v>
      </x:c>
      <x:c r="E6" s="8" t="str">
        <x:v>Precio COP</x:v>
      </x:c>
      <x:c r="F6" s="8" t="str">
        <x:v>Importe COP</x:v>
      </x:c>
      <x:c r="G6" s="8" t="str">
        <x:v>Estado</x:v>
      </x:c>
      <x:c r="H6" s="8" t="str">
        <x:v>Detalle</x:v>
      </x:c>
      <x:c r="I6" s="3"/>
      <x:c r="J6" s="3" t="str">
        <x:v>Fuente / fecha</x:v>
      </x:c>
    </x:row>
    <x:row r="7" ht="80" customHeight="1">
      <x:c r="A7" s="3" t="str">
        <x:v>RH15 Cartagena</x:v>
      </x:c>
      <x:c r="B7" s="9" t="str">
        <x:v>Tablero 2440 × 2150</x:v>
      </x:c>
      <x:c r="C7" s="3" t="n">
        <x:v>5</x:v>
      </x:c>
      <x:c r="D7" s="3" t="str">
        <x:v>lámina</x:v>
      </x:c>
      <x:c r="E7" s="14" t="n">
        <x:v>365872</x:v>
      </x:c>
      <x:c r="F7" s="14" t="n">
        <x:f>IF(COUNT(C7,E7)=2,C7*E7,"Por cotizar")</x:f>
        <x:v>1829360</x:v>
      </x:c>
      <x:c r="G7" s="9" t="str">
        <x:v>Misma referencia cocina</x:v>
      </x:c>
      <x:c r="H7" s="9" t="str">
        <x:v>43 piezas RH15. Encaje encontrado en 5 láminas, con sierra 4 mm y refilado 10 mm por lado. La presencia de fondos y hojas grandes aumenta consumo. Proveedor define plano final.</x:v>
      </x:c>
      <x:c r="I7" s="3"/>
      <x:c r="J7" s="9" t="str">
        <x:v>despiece-propuesta.xlsx, Compras fila2; precio de referencia27/10/2026.</x:v>
      </x:c>
    </x:row>
    <x:row r="8" ht="80" customHeight="1">
      <x:c r="A8" s="3" t="str">
        <x:v>Canto rígido Cartagena</x:v>
      </x:c>
      <x:c r="B8" s="9" t="str">
        <x:v>Rollo 19 × 2 mm</x:v>
      </x:c>
      <x:c r="C8" s="3" t="n">
        <x:f>'Cantos'!H7</x:f>
        <x:v>1</x:v>
      </x:c>
      <x:c r="D8" s="3" t="str">
        <x:v>rollo</x:v>
      </x:c>
      <x:c r="E8" s="14" t="n">
        <x:v>531600</x:v>
      </x:c>
      <x:c r="F8" s="14" t="n">
        <x:f>IF(COUNT(C8,E8)=2,C8*E8,"Por cotizar")</x:f>
        <x:v>531600</x:v>
      </x:c>
      <x:c r="G8" s="9" t="str">
        <x:v>Referencia cocina</x:v>
      </x:c>
      <x:c r="H8" s="9" t="str">
        <x:v>Cantidad exclusiva de este clóset, calculada en Cantos. No se han descontado sobrantes de otros muebles.</x:v>
      </x:c>
      <x:c r="I8" s="3"/>
      <x:c r="J8" s="9" t="str">
        <x:v>despiece-propuesta.xlsx, Compras fila4.</x:v>
      </x:c>
    </x:row>
    <x:row r="9" ht="80" customHeight="1">
      <x:c r="A9" s="3" t="str">
        <x:v>Canto flexible Cartagena</x:v>
      </x:c>
      <x:c r="B9" s="9" t="str">
        <x:v>Rollo 19 × 0,45 mm</x:v>
      </x:c>
      <x:c r="C9" s="3" t="n">
        <x:f>'Cantos'!H8</x:f>
        <x:v>1</x:v>
      </x:c>
      <x:c r="D9" s="3" t="str">
        <x:v>rollo</x:v>
      </x:c>
      <x:c r="E9" s="14" t="n">
        <x:v>285600</x:v>
      </x:c>
      <x:c r="F9" s="14" t="n">
        <x:f>IF(COUNT(C9,E9)=2,C9*E9,"Por cotizar")</x:f>
        <x:v>285600</x:v>
      </x:c>
      <x:c r="G9" s="9" t="str">
        <x:v>Referencia cocina</x:v>
      </x:c>
      <x:c r="H9" s="9" t="str">
        <x:v>Confirmar SKU, suministro y canteado de piezas estrechas.</x:v>
      </x:c>
      <x:c r="I9" s="3"/>
      <x:c r="J9" s="9" t="str">
        <x:v>despiece-propuesta.xlsx, Compras fila5.</x:v>
      </x:c>
    </x:row>
    <x:row r="10" ht="80" customHeight="1">
      <x:c r="A10" s="3" t="str">
        <x:v>HRE320-45</x:v>
      </x:c>
      <x:c r="B10" s="9" t="str">
        <x:v>Riel lateral 450 mm</x:v>
      </x:c>
      <x:c r="C10" s="3" t="n">
        <x:v>3</x:v>
      </x:c>
      <x:c r="D10" s="3" t="str">
        <x:v>par</x:v>
      </x:c>
      <x:c r="E10" s="14" t="n">
        <x:v>11287</x:v>
      </x:c>
      <x:c r="F10" s="14" t="n">
        <x:f>IF(COUNT(C10,E10)=2,C10*E10,"Por cotizar")</x:f>
        <x:v>33861</x:v>
      </x:c>
      <x:c r="G10" s="9" t="str">
        <x:v>Precio aportado</x:v>
      </x:c>
      <x:c r="H10" s="9" t="str">
        <x:v>Vano 830−27 = caja 803×450.45 kg nominales del par no certifican caja ni carga útil. Incluye 12 tornillos de 12 mm por par. Confirmar uniones.</x:v>
      </x:c>
      <x:c r="I10" s="3"/>
      <x:c r="J10" s="9" t="str">
        <x:v>Usuario; ficha HRE320/330 rev.15/05/25.</x:v>
      </x:c>
    </x:row>
    <x:row r="11" ht="80" customHeight="1">
      <x:c r="A11" s="3" t="str">
        <x:v>FSCPCM20</x:v>
      </x:c>
      <x:c r="B11" s="9" t="str">
        <x:v>Kit Peralma para dos hojas</x:v>
      </x:c>
      <x:c r="C11" s="3" t="n">
        <x:v>1</x:v>
      </x:c>
      <x:c r="D11" s="3" t="str">
        <x:v>kit</x:v>
      </x:c>
      <x:c r="E11" s="14" t="n">
        <x:v>12730</x:v>
      </x:c>
      <x:c r="F11" s="14" t="n">
        <x:f>IF(COUNT(C11,E11)=2,C11*E11,"Por cotizar")</x:f>
        <x:v>12730</x:v>
      </x:c>
      <x:c r="G11" s="9" t="str">
        <x:v>Candidato</x:v>
      </x:c>
      <x:c r="H11" s="9" t="str">
        <x:v>Kit publicado:4 rodamientos,1 guía,1 tope y tornillos. Identificar si coinciden con la guía y el amortiguador descritos por el usuario, antes de añadir accesorios. Cada hoja RH pesa 20,9 kg sin herrajes; validar carga total y suspensión.</x:v>
      </x:c>
      <x:c r="I11" s="3"/>
      <x:c r="J11" s="9" t="str">
        <x:v>https://madecentro.com/products/kit-de-accesorios-para-sistema-colgante; precio aportado por usuario.</x:v>
      </x:c>
    </x:row>
    <x:row r="12" ht="80" customHeight="1">
      <x:c r="A12" s="3" t="str">
        <x:v>PERALMA50B · 2 m</x:v>
      </x:c>
      <x:c r="B12" s="9" t="str">
        <x:v>Riel colgante superior para 2 hojas</x:v>
      </x:c>
      <x:c r="C12" s="3" t="n">
        <x:v>1</x:v>
      </x:c>
      <x:c r="D12" s="3" t="str">
        <x:v>barra</x:v>
      </x:c>
      <x:c r="E12" s="14" t="n">
        <x:v>33278</x:v>
      </x:c>
      <x:c r="F12" s="14" t="n">
        <x:f>IF(COUNT(C12,E12)=2,C12*E12,"Por cotizar")</x:f>
        <x:v>33278</x:v>
      </x:c>
      <x:c r="G12" s="9" t="str">
        <x:v>Precio aportado</x:v>
      </x:c>
      <x:c r="H12" s="9" t="str">
        <x:v>Barra 2 m para recorrido 1920 mm. Referencia real: zona de 70 mm de fondo, hojas entre 500 y 550 mm, cuerpo hasta 560. Guía inferior sin apoyo de peso; no hay riel inferior de carga. Confirmar sección y taladros del sistema.</x:v>
      </x:c>
      <x:c r="I12" s="3"/>
      <x:c r="J12" s="9" t="str">
        <x:v>https://madecentro.com/products/sistema-corredizo-colgate-x-3mtr</x:v>
      </x:c>
    </x:row>
    <x:row r="13" ht="80" customHeight="1">
      <x:c r="A13" s="3" t="str">
        <x:v>HMA310-02</x:v>
      </x:c>
      <x:c r="B13" s="9" t="str">
        <x:v>Manija tubular CC96 mm</x:v>
      </x:c>
      <x:c r="C13" s="3" t="n">
        <x:v>2</x:v>
      </x:c>
      <x:c r="D13" s="3" t="str">
        <x:v>unidad</x:v>
      </x:c>
      <x:c r="E13" s="14" t="n">
        <x:v>2743</x:v>
      </x:c>
      <x:c r="F13" s="14" t="n">
        <x:f>IF(COUNT(C13,E13)=2,C13*E13,"Por cotizar")</x:f>
        <x:v>5486</x:v>
      </x:c>
      <x:c r="G13" s="9" t="str">
        <x:v>Elegida como propuesta</x:v>
      </x:c>
      <x:c r="H13" s="9" t="str">
        <x:v>Una manija vertical en el extremo exterior de cada hoja.35 mm de saliente: fondo máximo 585 mm. Dos centros 96 mm; largo representado 119 mm. Las manijas no sustituyen una certificación de rigidez del tablero.</x:v>
      </x:c>
      <x:c r="I13" s="3"/>
      <x:c r="J13" s="9" t="str">
        <x:v>Usuario: $2.743/unidad. https://madecentro.com/products/hma310-02-manija-310-acero-inox-cc-96-mm-rectangular-alta</x:v>
      </x:c>
    </x:row>
    <x:row r="14" ht="80" customHeight="1">
      <x:c r="A14" s="3" t="str">
        <x:v>Verificar con FSCPCM20</x:v>
      </x:c>
      <x:c r="B14" s="9" t="str">
        <x:v>Tope plástico amortiguado</x:v>
      </x:c>
      <x:c r="C14" s="3"/>
      <x:c r="D14" s="3" t="str">
        <x:v>conjunto</x:v>
      </x:c>
      <x:c r="E14" s="14"/>
      <x:c r="F14" s="14" t="str">
        <x:f>IF(COUNT(C14,E14)=2,C14*E14,"Por cotizar")</x:f>
        <x:v>Por cotizar</x:v>
      </x:c>
      <x:c r="G14" s="9" t="str">
        <x:v>Verificar incluido</x:v>
      </x:c>
      <x:c r="H14" s="9" t="str">
        <x:v>Detrás de la hoja exterior, conserva 50 mm de desfase y evita invertir el orden de hojas. Cota de pérdida de recorrido aportada por el usuario. Verificar si viene en el kit; no duplicar compra. La guía inferior tampoco se compra dos veces.</x:v>
      </x:c>
      <x:c r="I14" s="3"/>
      <x:c r="J14" s="9" t="str">
        <x:v>Descripción y fotos del clóset real del usuario; referencia comercial pendiente.</x:v>
      </x:c>
    </x:row>
    <x:row r="15" ht="80" customHeight="1">
      <x:c r="A15" s="3" t="str">
        <x:v>Por elegir</x:v>
      </x:c>
      <x:c r="B15" s="9" t="str">
        <x:v>Barras para colgar</x:v>
      </x:c>
      <x:c r="C15" s="3" t="n">
        <x:v>3</x:v>
      </x:c>
      <x:c r="D15" s="3" t="str">
        <x:v>tramo</x:v>
      </x:c>
      <x:c r="E15" s="14"/>
      <x:c r="F15" s="14" t="str">
        <x:f>IF(COUNT(C15,E15)=2,C15*E15,"Por cotizar")</x:f>
        <x:v>Por cotizar</x:v>
      </x:c>
      <x:c r="G15" s="9" t="str">
        <x:v>Cotizar</x:v>
      </x:c>
      <x:c r="H15" s="9" t="str">
        <x:v>Una ilustrada 810 mm y dos 1055 mm. Barra baja derecha desmontable. Medidas de corte reales según soportes elegidos.</x:v>
      </x:c>
      <x:c r="I15" s="3"/>
      <x:c r="J15" s="9" t="str">
        <x:v>Modelo; no representa una referencia comercial confirmada.</x:v>
      </x:c>
    </x:row>
    <x:row r="16" ht="80" customHeight="1">
      <x:c r="A16" s="3" t="str">
        <x:v>Por elegir</x:v>
      </x:c>
      <x:c r="B16" s="9" t="str">
        <x:v>Soportes de barra</x:v>
      </x:c>
      <x:c r="C16" s="3" t="n">
        <x:v>6</x:v>
      </x:c>
      <x:c r="D16" s="3" t="str">
        <x:v>unidad</x:v>
      </x:c>
      <x:c r="E16" s="14"/>
      <x:c r="F16" s="14" t="str">
        <x:f>IF(COUNT(C16,E16)=2,C16*E16,"Por cotizar")</x:f>
        <x:v>Por cotizar</x:v>
      </x:c>
      <x:c r="G16" s="9" t="str">
        <x:v>Cotizar</x:v>
      </x:c>
      <x:c r="H16" s="9" t="str">
        <x:v>Dos por barra. Fijación y carga para RH15 por confirmar.</x:v>
      </x:c>
      <x:c r="I16" s="3"/>
      <x:c r="J16" s="9" t="str">
        <x:v>Montaje pendiente.</x:v>
      </x:c>
    </x:row>
    <x:row r="17" ht="80" customHeight="1">
      <x:c r="A17" s="3" t="str">
        <x:v>Por dimensionar</x:v>
      </x:c>
      <x:c r="B17" s="9" t="str">
        <x:v>Apoyos de base</x:v>
      </x:c>
      <x:c r="C17" s="3" t="n">
        <x:v>6</x:v>
      </x:c>
      <x:c r="D17" s="3" t="str">
        <x:v>unidad</x:v>
      </x:c>
      <x:c r="E17" s="14"/>
      <x:c r="F17" s="14" t="str">
        <x:f>IF(COUNT(C17,E17)=2,C17*E17,"Por cotizar")</x:f>
        <x:v>Por cotizar</x:v>
      </x:c>
      <x:c r="G17" s="9" t="str">
        <x:v>Cotizar</x:v>
      </x:c>
      <x:c r="H17" s="9" t="str">
        <x:v>Dos bajo cada lateral/divisor. El modelo dibuja 20 mm de apoyo y base total 100 mm; producto y regulación por elegir.</x:v>
      </x:c>
      <x:c r="I17" s="3"/>
      <x:c r="J17" s="9" t="str">
        <x:v>Geometría propuesta.</x:v>
      </x:c>
    </x:row>
    <x:row r="18" ht="80" customHeight="1">
      <x:c r="A18" s="3" t="str">
        <x:v>Por dimensionar</x:v>
      </x:c>
      <x:c r="B18" s="9" t="str">
        <x:v>Uniones y anclajes</x:v>
      </x:c>
      <x:c r="C18" s="3" t="n">
        <x:v>1</x:v>
      </x:c>
      <x:c r="D18" s="3" t="str">
        <x:v>lote</x:v>
      </x:c>
      <x:c r="E18" s="14"/>
      <x:c r="F18" s="14" t="str">
        <x:f>IF(COUNT(C18,E18)=2,C18*E18,"Por cotizar")</x:f>
        <x:v>Por cotizar</x:v>
      </x:c>
      <x:c r="G18" s="9" t="str">
        <x:v>Cotizar</x:v>
      </x:c>
      <x:c r="H18" s="9" t="str">
        <x:v>Incluye fijación de fondos, estructura, listones y soporte del riel colgante. El extremo derecho queda libre: no puede anclarse al muro lateral derecho como en la opción 2. Definir anclaje posterior y lateral izquierdo según muro.</x:v>
      </x:c>
      <x:c r="I18" s="3"/>
      <x:c r="J18" s="9" t="str">
        <x:v>Montaje y sustrato real.</x:v>
      </x:c>
    </x:row>
    <x:row r="19" ht="80" customHeight="1">
      <x:c r="A19" s="3" t="str">
        <x:v>Por cotizar</x:v>
      </x:c>
      <x:c r="B19" s="9" t="str">
        <x:v>Corte, canteado e instalación</x:v>
      </x:c>
      <x:c r="C19" s="3" t="n">
        <x:v>1</x:v>
      </x:c>
      <x:c r="D19" s="3" t="str">
        <x:v>servicio</x:v>
      </x:c>
      <x:c r="E19" s="14"/>
      <x:c r="F19" s="14" t="str">
        <x:f>IF(COUNT(C19,E19)=2,C19*E19,"Por cotizar")</x:f>
        <x:v>Por cotizar</x:v>
      </x:c>
      <x:c r="G19" s="9" t="str">
        <x:v>Cotizar</x:v>
      </x:c>
      <x:c r="H19" s="9" t="str">
        <x:v>Confirmar plantilla de las hojas y perfiles, guías y topes adicionales, veta y suministro. Mantener todo este presupuesto independiente.</x:v>
      </x:c>
      <x:c r="I19" s="3"/>
      <x:c r="J19" s="9" t="str">
        <x:v>Proveedor.</x:v>
      </x:c>
    </x:row>
    <x:row r="20">
      <x:c r="A20" s="15" t="str">
        <x:v>SUBTOTAL PARCIAL</x:v>
      </x:c>
      <x:c r="B20" s="15"/>
      <x:c r="C20" s="15"/>
      <x:c r="D20" s="15"/>
      <x:c r="E20" s="16"/>
      <x:c r="F20" s="16" t="n">
        <x:f>SUM(F7:F19)</x:f>
        <x:v>2731915</x:v>
      </x:c>
      <x:c r="G20" s="15"/>
      <x:c r="H20" s="17" t="str">
        <x:v>Incluye2 manijas por$5.486. Quedan barras, apoyos, uniones, anclajes y servicios. Verificar accesorios incluidos. No hay PERALM93 presupuestado en esta alternativa.</x:v>
      </x:c>
      <x:c r="I20" s="3"/>
      <x:c r="J20" s="3"/>
    </x:row>
    <x:row r="21">
      <x:c r="A21" s="3"/>
      <x:c r="B21" s="3"/>
      <x:c r="C21" s="3"/>
      <x:c r="D21" s="3"/>
      <x:c r="E21" s="3"/>
      <x:c r="F21" s="3"/>
      <x:c r="G21" s="3"/>
      <x:c r="H21" s="3"/>
      <x:c r="I21" s="3"/>
      <x:c r="J21" s="3"/>
    </x:row>
    <x:row r="22">
      <x:c r="A22" s="3"/>
      <x:c r="B22" s="3"/>
      <x:c r="C22" s="3"/>
      <x:c r="D22" s="3"/>
      <x:c r="E22" s="3"/>
      <x:c r="F22" s="3"/>
      <x:c r="G22" s="3"/>
      <x:c r="H22" s="3"/>
      <x:c r="I22" s="3"/>
      <x:c r="J22" s="3"/>
    </x:row>
    <x:row r="23">
      <x:c r="A23" s="3"/>
      <x:c r="B23" s="3"/>
      <x:c r="C23" s="3"/>
      <x:c r="D23" s="3"/>
      <x:c r="E23" s="3"/>
      <x:c r="F23" s="3"/>
      <x:c r="G23" s="3"/>
      <x:c r="H23" s="3"/>
      <x:c r="I23" s="3"/>
      <x:c r="J23" s="3"/>
    </x:row>
    <x:row r="24">
      <x:c r="A24" s="3"/>
      <x:c r="B24" s="3"/>
      <x:c r="C24" s="3"/>
      <x:c r="D24" s="3"/>
      <x:c r="E24" s="3"/>
      <x:c r="F24" s="3"/>
      <x:c r="G24" s="3"/>
      <x:c r="H24" s="3"/>
      <x:c r="I24" s="3"/>
      <x:c r="J24" s="3"/>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20" hidden="0" customWidth="1"/>
    <x:col min="2" max="2" width="29" hidden="0" customWidth="1"/>
    <x:col min="3" max="3" width="112" hidden="0" customWidth="1"/>
    <x:col min="4" max="4" width="44" hidden="0" customWidth="1"/>
  </x:cols>
  <x:sheetData>
    <x:row r="1">
      <x:c r="A1" s="3"/>
      <x:c r="B1" s="3"/>
      <x:c r="C1" s="3"/>
      <x:c r="D1" s="3"/>
    </x:row>
    <x:row r="2">
      <x:c r="A2" s="4" t="str">
        <x:v>Clóset compacto: cálculo y fabricación</x:v>
      </x:c>
      <x:c r="B2" s="3"/>
      <x:c r="C2" s="3"/>
      <x:c r="D2" s="3"/>
    </x:row>
    <x:row r="3">
      <x:c r="A3" s="3" t="str">
        <x:v>Opción 3 elegida como principal. Plantillas y montaje por validar. Despiece independiente; alternativas 1 y 2 conservadas.</x:v>
      </x:c>
      <x:c r="B3" s="3"/>
      <x:c r="C3" s="3"/>
      <x:c r="D3" s="3"/>
    </x:row>
    <x:row r="4">
      <x:c r="A4" s="3"/>
      <x:c r="B4" s="3"/>
      <x:c r="C4" s="3"/>
      <x:c r="D4" s="3"/>
    </x:row>
    <x:row r="5">
      <x:c r="A5" s="3"/>
      <x:c r="B5" s="3"/>
      <x:c r="C5" s="3"/>
      <x:c r="D5" s="3"/>
    </x:row>
    <x:row r="6" ht="42" customHeight="1">
      <x:c r="A6" s="8" t="str">
        <x:v>Estado</x:v>
      </x:c>
      <x:c r="B6" s="8" t="str">
        <x:v>Tema</x:v>
      </x:c>
      <x:c r="C6" s="8" t="str">
        <x:v>Resultado / condición</x:v>
      </x:c>
      <x:c r="D6" s="8" t="str">
        <x:v>Fuente</x:v>
      </x:c>
    </x:row>
    <x:row r="7" ht="72" customHeight="1">
      <x:c r="A7" s="3" t="str">
        <x:v>Confirmado</x:v>
      </x:c>
      <x:c r="B7" s="9" t="str">
        <x:v>Puerta de habitación</x:v>
      </x:c>
      <x:c r="C7" s="9" t="str">
        <x:v>Hoja 900 mm; eje a 520 mm del muro donde apoya el fondo del clóset.</x:v>
      </x:c>
      <x:c r="D7" s="9" t="str">
        <x:v>Confirmación del usuario 27/10/2026.</x:v>
      </x:c>
    </x:row>
    <x:row r="8" ht="72" customHeight="1">
      <x:c r="A8" s="3" t="str">
        <x:v>Calculado</x:v>
      </x:c>
      <x:c r="B8" s="9" t="str">
        <x:v>Ancho propuesto</x:v>
      </x:c>
      <x:c r="C8" s="9" t="str">
        <x:v>El modelo sitúa el eje a 2880 mm del muro izquierdo. Extremo del giro=2880−900=1980. Restando 10 mm de separación izquierda y 20 mm de margen: ancho 1950 mm. Confirmar posición lateral del eje antes de fabricar.</x:v>
      </x:c>
      <x:c r="D8" s="9" t="str">
        <x:v>Geometría de la terraza y medidas confirmadas.</x:v>
      </x:c>
    </x:row>
    <x:row r="9" ht="72" customHeight="1">
      <x:c r="A9" s="3" t="str">
        <x:v>Elegido</x:v>
      </x:c>
      <x:c r="B9" s="9" t="str">
        <x:v>Ubicación y franja libre</x:v>
      </x:c>
      <x:c r="C9" s="9" t="str">
        <x:v>1+195+94=290 cm. Se reduce 93 cm respecto a 288. El hueco derecho es reserva de giro; no un paso peatonal libre de 94 cm.</x:v>
      </x:c>
      <x:c r="D9" s="9" t="str">
        <x:v>Cálculo de ubicación.</x:v>
      </x:c>
    </x:row>
    <x:row r="10" ht="72" customHeight="1">
      <x:c r="A10" s="3" t="str">
        <x:v>Elegido</x:v>
      </x:c>
      <x:c r="B10" s="9" t="str">
        <x:v>Fondo interior</x:v>
      </x:c>
      <x:c r="C10" s="9" t="str">
        <x:v>Zona de referencia 490–560 mm. Hoja interior 500–515; exterior 535–550. Cuerpo 560 y manijas hasta 585. Fondo RH15 de 0–15 deja 485 mm útiles. Los 7 cm son la zona de referencia del marco, no un espesor adicional del cuerpo.</x:v>
      </x:c>
      <x:c r="D10" s="9" t="str">
        <x:v>Medidas y aclaraciones del usuario / modelo.</x:v>
      </x:c>
    </x:row>
    <x:row r="11" ht="72" customHeight="1">
      <x:c r="A11" s="3" t="str">
        <x:v>Aplicado</x:v>
      </x:c>
      <x:c r="B11" s="9" t="str">
        <x:v>Distribución</x:v>
      </x:c>
      <x:c r="C11" s="9" t="str">
        <x:v>Útiles 830 y 1075 mm. Se redujo el cajonero de 880 a 830 mm para sumar 50 mm de tolerancia de instalación, además del descuento ya aplicado por el tope. Se mantienen 1950 mm exteriores. Colgado corto arriba, doble colgado derecho con barra inferior desmontable y maleteros interiores.</x:v>
      </x:c>
      <x:c r="D11" s="9" t="str">
        <x:v>Geometría opción 3.</x:v>
      </x:c>
    </x:row>
    <x:row r="12" ht="72" customHeight="1">
      <x:c r="A12" s="3" t="str">
        <x:v>Aplicado</x:v>
      </x:c>
      <x:c r="B12" s="9" t="str">
        <x:v>Acceso a cajones</x:v>
      </x:c>
      <x:c r="C12" s="9" t="str">
        <x:v>Hoja exterior izquierda e interior derecha; anchos 975, solape 30 y desfase mínimo 50. Desplazamiento y abertura libre 895. Frentes 824 en cuerpo 830: máximo x 842, hoja apilada comienza en x 910, dejando 68 mm de margen al tablero. Incluso con 50 mm adicionales de pérdida de recorrido quedaría un margen geométrico de 18 mm. El visor bloquea cruce de hojas y cajones tapados.</x:v>
      </x:c>
      <x:c r="D12" s="9" t="str">
        <x:v>Tope descrito por el usuario y control geométrico.</x:v>
      </x:c>
    </x:row>
    <x:row r="13" ht="72" customHeight="1">
      <x:c r="A13" s="3" t="str">
        <x:v>Aplicado</x:v>
      </x:c>
      <x:c r="B13" s="9" t="str">
        <x:v>Cajas y correderas</x:v>
      </x:c>
      <x:c r="C13" s="9" t="str">
        <x:v>Exterior 803×450; base RH15 aplicada, paredes 155 y refuerzo 40 inferior. Frente 824×210. Tres frentes con 30 mm de separación, sin manijas.803=830−27 de la familia HRE320. Confirmar fijación y carga útil.</x:v>
      </x:c>
      <x:c r="D13" s="9" t="str">
        <x:v>Geometría y ficha de rieles.</x:v>
      </x:c>
    </x:row>
    <x:row r="14" ht="72" customHeight="1">
      <x:c r="A14" s="3" t="str">
        <x:v>Por validar</x:v>
      </x:c>
      <x:c r="B14" s="9" t="str">
        <x:v>Hojas y sistema corredizo</x:v>
      </x:c>
      <x:c r="C14" s="9" t="str">
        <x:v>Hojas 2200×975×15 representadas sin perfiles verticales, siguiendo el clóset real del usuario (hojas 80×220 con 4 años sin pandeo). Las nuevas son más anchas; validar tablero, altura, uniones, carga y suspensión. Esta alternativa no se presenta como cumplimiento de la recomendación de PERALM93 publicada por Madecentro.</x:v>
      </x:c>
      <x:c r="D14" s="9" t="str">
        <x:v>Referencia aportada por el usuario; validación del proveedor pendiente.</x:v>
      </x:c>
    </x:row>
    <x:row r="15" ht="72" customHeight="1">
      <x:c r="A15" s="3" t="str">
        <x:v>Por validar</x:v>
      </x:c>
      <x:c r="B15" s="9" t="str">
        <x:v>Cargas y anclajes</x:v>
      </x:c>
      <x:c r="C15" s="9" t="str">
        <x:v>Las hojas cuelgan del sistema superior; la guía inferior solo limita oscilación. El riel cuelga de la tapa y transmite esfuerzos a la estructura. Definir refuerzo/fijación del riel, apoyo de tapas, uniones de fondos y anclajes al muro posterior e izquierdo. No hay apoyo en el muro derecho.</x:v>
      </x:c>
      <x:c r="D15" s="9" t="str">
        <x:v>Montaje pendiente.</x:v>
      </x:c>
    </x:row>
    <x:row r="16" ht="72" customHeight="1">
      <x:c r="A16" s="3" t="str">
        <x:v>Aplicado</x:v>
      </x:c>
      <x:c r="B16" s="9" t="str">
        <x:v>Material y alcance</x:v>
      </x:c>
      <x:c r="C16" s="9" t="str">
        <x:v>Misma referencia RH15 Cartagena que la cocina final. Despiece y compras exclusivos del clóset compacto; no se han fusionado con cocina ni baño.</x:v>
      </x:c>
      <x:c r="D16" s="9" t="str">
        <x:v>Solicitud del usuario y Excel de cocina.</x:v>
      </x:c>
    </x:row>
    <x:row r="17" ht="72" customHeight="1">
      <x:c r="A17" s="3" t="str">
        <x:v>Por validar</x:v>
      </x:c>
      <x:c r="B17" s="9" t="str">
        <x:v>Montaje en altura</x:v>
      </x:c>
      <x:c r="C17" s="9" t="str">
        <x:v>Altura exterior 2380 en hueco 2400. Diagonal 2380×560≈2445 mm: armar de pie o por partes. La nivelación consume los 20 mm superiores.</x:v>
      </x:c>
      <x:c r="D17" s="9" t="str">
        <x:v>Cálculo geométrico.</x:v>
      </x:c>
    </x:row>
    <x:row r="18" ht="72" customHeight="1">
      <x:c r="A18" s="3" t="str">
        <x:v>Por validar</x:v>
      </x:c>
      <x:c r="B18" s="9" t="str">
        <x:v>Cantos y corte</x:v>
      </x:c>
      <x:c r="C18" s="9" t="str">
        <x:v>Medidas terminadas. Descuentos teóricos de canto sin sierra ni refilado. Proveedor confirma canteado, preparación de uniones y veta. Cinco láminas es un encaje encontrado, no prueba de mínimo.</x:v>
      </x:c>
      <x:c r="D18" s="9" t="str">
        <x:v>Planificación independiente.</x:v>
      </x:c>
    </x:row>
    <x:row r="19">
      <x:c r="A19" s="3"/>
      <x:c r="B19" s="3"/>
      <x:c r="C19" s="3"/>
      <x:c r="D19" s="3"/>
    </x:row>
    <x:row r="20" ht="72" customHeight="1">
      <x:c r="A20" s="3"/>
      <x:c r="B20" s="9" t="str">
        <x:v>Cotas del accesorio</x:v>
      </x:c>
      <x:c r="C20" s="9" t="str">
        <x:v>Tope50mm, centros de manija96mm y saliente35mm. Ubicación del bloque, diámetro del tubo y taladros dibujados son esquemáticos; ajustar al accesorio real. No usar las manijas como topes.</x:v>
      </x:c>
      <x:c r="D20" s="9"/>
    </x:row>
    <x:row r="21">
      <x:c r="A21" s="3"/>
      <x:c r="B21" s="3"/>
      <x:c r="C21" s="3"/>
      <x:c r="D21" s="3"/>
    </x:row>
    <x:row r="22">
      <x:c r="A22" s="3"/>
      <x:c r="B22" s="3"/>
      <x:c r="C22" s="3"/>
      <x:c r="D22" s="3"/>
    </x:row>
    <x:row r="23">
      <x:c r="A23" s="3"/>
      <x:c r="B23" s="3"/>
      <x:c r="C23" s="3"/>
      <x:c r="D23" s="3"/>
    </x:row>
    <x:row r="24">
      <x:c r="A24" s="3"/>
      <x:c r="B24" s="3"/>
      <x:c r="C24" s="3"/>
      <x:c r="D24" s="3"/>
    </x:row>
  </x:sheetData>
  <x:pageMargins left="0.7" right="0.7" top="0.75" bottom="0.75" header="0.3" footer="0.3"/>
</x:worksheet>
</file>