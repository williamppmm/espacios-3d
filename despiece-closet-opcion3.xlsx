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espiece" sheetId="1" state="visible" r:id="rId3"/>
    <sheet name="Cantos" sheetId="2" state="visible" r:id="rId4"/>
    <sheet name="Compras" sheetId="3" state="visible" r:id="rId5"/>
    <sheet name="Revisión" sheetId="4" state="visible" r:id="rId6"/>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<sst xmlns="http://schemas.openxmlformats.org/spreadsheetml/2006/main" count="418" uniqueCount="239">
  <si>
    <t xml:space="preserve">Clóset principal 195: despiece independiente</t>
  </si>
  <si>
    <t xml:space="preserve">Cuerpo 195 × 56 × 238 cm; 58,5 cm hasta las manijas. RH15 como cocina. Despiece exclusivo del clóset.</t>
  </si>
  <si>
    <t xml:space="preserve">E/F: medidas terminadas y veta en E. I/J paralelos a E, K/L paralelos a F. Cortes teóricos sin sierra ni refilado.</t>
  </si>
  <si>
    <t xml:space="preserve">ID</t>
  </si>
  <si>
    <t xml:space="preserve">Grupo</t>
  </si>
  <si>
    <t xml:space="preserve">Pieza</t>
  </si>
  <si>
    <t xml:space="preserve">Cant.</t>
  </si>
  <si>
    <t xml:space="preserve">Largo veta mm</t>
  </si>
  <si>
    <t xml:space="preserve">Ancho mm</t>
  </si>
  <si>
    <t xml:space="preserve">Espesor mm</t>
  </si>
  <si>
    <t xml:space="preserve">Área m²</t>
  </si>
  <si>
    <t xml:space="preserve">Canto L1</t>
  </si>
  <si>
    <t xml:space="preserve">Canto L2</t>
  </si>
  <si>
    <t xml:space="preserve">Canto A1</t>
  </si>
  <si>
    <t xml:space="preserve">Canto A2</t>
  </si>
  <si>
    <t xml:space="preserve">Corte largo mm</t>
  </si>
  <si>
    <t xml:space="preserve">Corte ancho mm</t>
  </si>
  <si>
    <t xml:space="preserve">Estado</t>
  </si>
  <si>
    <t xml:space="preserve">Nota de fabricación</t>
  </si>
  <si>
    <t xml:space="preserve">C3-001</t>
  </si>
  <si>
    <t xml:space="preserve">EST</t>
  </si>
  <si>
    <t xml:space="preserve">Lateral exterior</t>
  </si>
  <si>
    <t xml:space="preserve">2</t>
  </si>
  <si>
    <t xml:space="preserve">0.45</t>
  </si>
  <si>
    <t xml:space="preserve">Diseño elegido</t>
  </si>
  <si>
    <t xml:space="preserve">Cuerpo de 56 cm; hojas hasta 55 cm. Las manijas sobresalen hasta 58,5 cm desde el fondo.</t>
  </si>
  <si>
    <t xml:space="preserve">C3-002</t>
  </si>
  <si>
    <t xml:space="preserve">Divisor central</t>
  </si>
  <si>
    <t xml:space="preserve">Divisor de 49 cm: deja 10 mm respecto a la hoja interior, ubicada a 50 cm del fondo.</t>
  </si>
  <si>
    <t xml:space="preserve">C3-003</t>
  </si>
  <si>
    <t xml:space="preserve">B1</t>
  </si>
  <si>
    <t xml:space="preserve">Piso sobre base</t>
  </si>
  <si>
    <t xml:space="preserve">Uniones y mecanizados según montaje.</t>
  </si>
  <si>
    <t xml:space="preserve">C3-004</t>
  </si>
  <si>
    <t xml:space="preserve">Tapa superior</t>
  </si>
  <si>
    <t xml:space="preserve">Tapa de 505 mm: llega hasta el listón de pino 4×4 cm (P3-01), que sostiene el riel. Se une a laterales y divisor; el listón queda a ras de su cara superior.</t>
  </si>
  <si>
    <t xml:space="preserve">C3-005</t>
  </si>
  <si>
    <t xml:space="preserve">Fondo RH15</t>
  </si>
  <si>
    <t xml:space="preserve">Panel trasero del mismo RH15 y acabado. Útil de colgado hasta la hoja trasera: 485 mm.</t>
  </si>
  <si>
    <t xml:space="preserve">C3-006</t>
  </si>
  <si>
    <t xml:space="preserve">Piso de maletero</t>
  </si>
  <si>
    <t xml:space="preserve">Maletero interior accesible por las hojas corredizas; carga liviana.</t>
  </si>
  <si>
    <t xml:space="preserve">C3-007</t>
  </si>
  <si>
    <t xml:space="preserve">Refuerzo frontal de maletero</t>
  </si>
  <si>
    <t xml:space="preserve">De canto. Apoyos y unión al tablero por definir antes de fabricar.</t>
  </si>
  <si>
    <t xml:space="preserve">C3-008</t>
  </si>
  <si>
    <t xml:space="preserve">Refuerzo trasero de maletero</t>
  </si>
  <si>
    <t xml:space="preserve">De canto. No atribuir rigidez al pegado sobre canto decorativo.</t>
  </si>
  <si>
    <t xml:space="preserve">C3-009</t>
  </si>
  <si>
    <t xml:space="preserve">B2</t>
  </si>
  <si>
    <t xml:space="preserve">C3-010</t>
  </si>
  <si>
    <t xml:space="preserve">C3-011</t>
  </si>
  <si>
    <t xml:space="preserve">C3-012</t>
  </si>
  <si>
    <t xml:space="preserve">C3-013</t>
  </si>
  <si>
    <t xml:space="preserve">C3-014</t>
  </si>
  <si>
    <t xml:space="preserve">C3-015</t>
  </si>
  <si>
    <t xml:space="preserve">Frente de cajón</t>
  </si>
  <si>
    <t xml:space="preserve">Sin manija. Separación vertical de 30 mm. Se añadieron 50 mm de tolerancia lateral al cajonero: frente termina en x842 y hoja abierta comienza en x910 (68 mm libres).</t>
  </si>
  <si>
    <t xml:space="preserve">C3-016</t>
  </si>
  <si>
    <t xml:space="preserve">Costado de cajón</t>
  </si>
  <si>
    <t xml:space="preserve">C3-017</t>
  </si>
  <si>
    <t xml:space="preserve">Base aplicada de cajón</t>
  </si>
  <si>
    <t xml:space="preserve">Caja exterior 803 × 450: vano 830 menos 27 mm de riel lateral HRE320.</t>
  </si>
  <si>
    <t xml:space="preserve">C3-018</t>
  </si>
  <si>
    <t xml:space="preserve">Frente / trasero interior de cajón</t>
  </si>
  <si>
    <t xml:space="preserve">C3-019</t>
  </si>
  <si>
    <t xml:space="preserve">Refuerzo bajo base de cajón</t>
  </si>
  <si>
    <t xml:space="preserve">De canto. Uniones por dimensionar; la capacidad del riel no certifica la caja.</t>
  </si>
  <si>
    <t xml:space="preserve">C3-020</t>
  </si>
  <si>
    <t xml:space="preserve">BASE</t>
  </si>
  <si>
    <t xml:space="preserve">Zócalo frontal</t>
  </si>
  <si>
    <t xml:space="preserve">C3-021</t>
  </si>
  <si>
    <t xml:space="preserve">Travesaño trasero de base</t>
  </si>
  <si>
    <t xml:space="preserve">C3-022</t>
  </si>
  <si>
    <t xml:space="preserve">Travesaño de base</t>
  </si>
  <si>
    <t xml:space="preserve">C3-023</t>
  </si>
  <si>
    <t xml:space="preserve">PUERTAS</t>
  </si>
  <si>
    <t xml:space="preserve">Hoja corrediza RH15</t>
  </si>
  <si>
    <t xml:space="preserve">Pendiente plantilla</t>
  </si>
  <si>
    <t xml:space="preserve">PROVISIONAL para corte: 2175 × 975, solape 30. Altura = hueco bajo el listón (2340−115) menos 50 mm del sistema. Sin perfil vertical en esta propuesta basada en el clóset del usuario. Confirmar taladros, altura, canto y suspensión. Tope conserva desfase de 50 mm entre hojas.</t>
  </si>
  <si>
    <t xml:space="preserve">C3-024</t>
  </si>
  <si>
    <t xml:space="preserve">Solapa frontal</t>
  </si>
  <si>
    <t xml:space="preserve">Cubre el frente superior (riel y borde alto de las hojas), como en el clóset real: 12 cm de alto, sobresale 15 mm delante del cuerpo de 56 cm. Se fija a los cantos delanteros de los laterales y a dos tacos de pino de 15 mm (sobrantes del listón) atornillados al frente del listón. Canto rígido abajo y en los extremos; el borde alto va contra el cielo raso.</t>
  </si>
  <si>
    <t xml:space="preserve">TOTAL RH15</t>
  </si>
  <si>
    <t xml:space="preserve">Área neta</t>
  </si>
  <si>
    <t xml:space="preserve">Listón de pino (bastidor del riel) fuera de este total: ver hoja Compras.</t>
  </si>
  <si>
    <t xml:space="preserve">Clóset compacto: cantos exclusivos</t>
  </si>
  <si>
    <t xml:space="preserve">Reserva/borde m</t>
  </si>
  <si>
    <t xml:space="preserve">Rígido 2 mm en caras vistas; flexible 0,45 en bordes restantes. Reserva editable, 5 cm por borde.</t>
  </si>
  <si>
    <t xml:space="preserve">Tipo</t>
  </si>
  <si>
    <t xml:space="preserve">Aplicación</t>
  </si>
  <si>
    <t xml:space="preserve">Metros netos</t>
  </si>
  <si>
    <t xml:space="preserve">Bordes</t>
  </si>
  <si>
    <t xml:space="preserve">Reserva m</t>
  </si>
  <si>
    <t xml:space="preserve">Metros a pedir</t>
  </si>
  <si>
    <t xml:space="preserve">m por rollo</t>
  </si>
  <si>
    <t xml:space="preserve">Rollos</t>
  </si>
  <si>
    <t xml:space="preserve">Rígido 19 × 2</t>
  </si>
  <si>
    <t xml:space="preserve">Hojas, frentes y bordes vistos de estructura</t>
  </si>
  <si>
    <t xml:space="preserve">Flexible 19 × 0,45</t>
  </si>
  <si>
    <t xml:space="preserve">Fondo, interiores y listones</t>
  </si>
  <si>
    <t xml:space="preserve">Piezas estrechas y superficies de unión: confirmar canteado y preparación con el taller.</t>
  </si>
  <si>
    <t xml:space="preserve">Clóset compacto: compras independientes</t>
  </si>
  <si>
    <t xml:space="preserve">Presupuesto parcial de esta opción. Precios de referencia; no combina materiales con cocina ni baño.</t>
  </si>
  <si>
    <t xml:space="preserve">Cinco láminas es un encaje encontrado sin rotar por veta; no representa un mínimo demostrado.</t>
  </si>
  <si>
    <t xml:space="preserve">Referencia</t>
  </si>
  <si>
    <t xml:space="preserve">Uso</t>
  </si>
  <si>
    <t xml:space="preserve">Cantidad</t>
  </si>
  <si>
    <t xml:space="preserve">Unidad</t>
  </si>
  <si>
    <t xml:space="preserve">Precio COP</t>
  </si>
  <si>
    <t xml:space="preserve">Importe COP</t>
  </si>
  <si>
    <t xml:space="preserve">Detalle</t>
  </si>
  <si>
    <t xml:space="preserve">Fuente / fecha</t>
  </si>
  <si>
    <t xml:space="preserve">RH15 Cartagena</t>
  </si>
  <si>
    <t xml:space="preserve">Tablero 2440 × 2150</t>
  </si>
  <si>
    <t xml:space="preserve">lámina</t>
  </si>
  <si>
    <t xml:space="preserve">Misma referencia cocina</t>
  </si>
  <si>
    <t xml:space="preserve">44 piezas RH15, más el listón de pino del bastidor (fila Pino). Encaje encontrado en 5 láminas, con sierra 4 mm y refilado 10 mm por lado. La presencia de fondos y hojas grandes aumenta consumo. Proveedor define plano final.</t>
  </si>
  <si>
    <t xml:space="preserve">despiece-propuesta.xlsx, Compras fila2; precio de referencia27/10/2026.</t>
  </si>
  <si>
    <t xml:space="preserve">Canto rígido Cartagena</t>
  </si>
  <si>
    <t xml:space="preserve">Rollo 19 × 2 mm</t>
  </si>
  <si>
    <t xml:space="preserve">rollo</t>
  </si>
  <si>
    <t xml:space="preserve">Referencia cocina</t>
  </si>
  <si>
    <t xml:space="preserve">Cantidad exclusiva de este clóset, calculada en Cantos. No se han descontado sobrantes de otros muebles.</t>
  </si>
  <si>
    <t xml:space="preserve">despiece-propuesta.xlsx, Compras fila4.</t>
  </si>
  <si>
    <t xml:space="preserve">Canto flexible Cartagena</t>
  </si>
  <si>
    <t xml:space="preserve">Rollo 19 × 0,45 mm</t>
  </si>
  <si>
    <t xml:space="preserve">Confirmar SKU, suministro y canteado de piezas estrechas.</t>
  </si>
  <si>
    <t xml:space="preserve">despiece-propuesta.xlsx, Compras fila5.</t>
  </si>
  <si>
    <t xml:space="preserve">HRE320-45</t>
  </si>
  <si>
    <t xml:space="preserve">Riel lateral 450 mm</t>
  </si>
  <si>
    <t xml:space="preserve">par</t>
  </si>
  <si>
    <t xml:space="preserve">Precio aportado</t>
  </si>
  <si>
    <t xml:space="preserve">Vano 830−27 = caja 803×450.45 kg nominales del par no certifican caja ni carga útil. Incluye 12 tornillos de 12 mm por par. Confirmar uniones.</t>
  </si>
  <si>
    <t xml:space="preserve">Usuario; ficha HRE320/330 rev.15/05/25.</t>
  </si>
  <si>
    <t xml:space="preserve">FSCPCM20</t>
  </si>
  <si>
    <t xml:space="preserve">Kit Peralma para dos hojas</t>
  </si>
  <si>
    <t xml:space="preserve">kit</t>
  </si>
  <si>
    <t xml:space="preserve">Candidato</t>
  </si>
  <si>
    <t xml:space="preserve">Kit publicado: 4 rodamientos, 1 guía, 1 tope y tornillos. Identificar si coinciden con la guía y el amortiguador descritos por el usuario, antes de añadir accesorios. Cada hoja RH pesa 21,3 kg sin herrajes (10,05 kg/m², dato de Madecentro); el kit indica 30 kg: preguntar si es por hoja o por kit de dos.</t>
  </si>
  <si>
    <t xml:space="preserve">https://madecentro.com/products/kit-de-accesorios-para-sistema-colgante; precio aportado por usuario.</t>
  </si>
  <si>
    <t xml:space="preserve">PERALMA50B · 2 m</t>
  </si>
  <si>
    <t xml:space="preserve">Riel colgante superior para 2 hojas</t>
  </si>
  <si>
    <t xml:space="preserve">barra</t>
  </si>
  <si>
    <t xml:space="preserve">Barra 2 m para recorrido 1920 mm. Referencia real: zona de 70 mm de fondo, hojas entre 500 y 550 mm, cuerpo hasta 560. El riel se atornilla al listón de pino del bastidor (no a la tapa). Guía inferior sin apoyo de peso; no hay riel inferior de carga. Confirmar sección y taladros del sistema.</t>
  </si>
  <si>
    <t xml:space="preserve">https://madecentro.com/products/sistema-corredizo-colgate-x-3mtr</t>
  </si>
  <si>
    <t xml:space="preserve">HMA310-02</t>
  </si>
  <si>
    <t xml:space="preserve">Manija tubular CC96 mm</t>
  </si>
  <si>
    <t xml:space="preserve">unidad</t>
  </si>
  <si>
    <t xml:space="preserve">Elegida como propuesta</t>
  </si>
  <si>
    <t xml:space="preserve">Una manija vertical en el extremo exterior de cada hoja.35 mm de saliente: fondo máximo 585 mm. Dos centros 96 mm; largo representado 119 mm. Las manijas no sustituyen una certificación de rigidez del tablero.</t>
  </si>
  <si>
    <t xml:space="preserve">Usuario: $2.743/unidad. https://madecentro.com/products/hma310-02-manija-310-acero-inox-cc-96-mm-rectangular-alta</t>
  </si>
  <si>
    <t xml:space="preserve">Verificar con FSCPCM20</t>
  </si>
  <si>
    <t xml:space="preserve">Tope plástico amortiguado</t>
  </si>
  <si>
    <t xml:space="preserve">conjunto</t>
  </si>
  <si>
    <t xml:space="preserve">Verificar incluido</t>
  </si>
  <si>
    <t xml:space="preserve">Detrás de la hoja exterior, conserva 50 mm de desfase y evita invertir el orden de hojas. Cota de pérdida de recorrido aportada por el usuario. Verificar si viene en el kit; no duplicar compra. La guía inferior tampoco se compra dos veces.</t>
  </si>
  <si>
    <t xml:space="preserve">Descripción y fotos del clóset real del usuario; referencia comercial pendiente.</t>
  </si>
  <si>
    <t xml:space="preserve">Por elegir</t>
  </si>
  <si>
    <t xml:space="preserve">Barras para colgar</t>
  </si>
  <si>
    <t xml:space="preserve">tramo</t>
  </si>
  <si>
    <t xml:space="preserve">Cotizar</t>
  </si>
  <si>
    <t xml:space="preserve">Una ilustrada 810 mm y dos 1055 mm. Barra baja derecha desmontable. Medidas de corte reales según soportes elegidos.</t>
  </si>
  <si>
    <t xml:space="preserve">Modelo; no representa una referencia comercial confirmada.</t>
  </si>
  <si>
    <t xml:space="preserve">Soportes de barra</t>
  </si>
  <si>
    <t xml:space="preserve">Dos por barra. Fijación y carga para RH15 por confirmar.</t>
  </si>
  <si>
    <t xml:space="preserve">Montaje pendiente.</t>
  </si>
  <si>
    <t xml:space="preserve">Por dimensionar</t>
  </si>
  <si>
    <t xml:space="preserve">Apoyos de base</t>
  </si>
  <si>
    <t xml:space="preserve">Dos bajo cada lateral/divisor. El modelo dibuja 20 mm de apoyo y base total 100 mm; producto y regulación por elegir.</t>
  </si>
  <si>
    <t xml:space="preserve">Geometría propuesta.</t>
  </si>
  <si>
    <t xml:space="preserve">Uniones y anclajes</t>
  </si>
  <si>
    <t xml:space="preserve">lote</t>
  </si>
  <si>
    <t xml:space="preserve">Incluye fijación de fondos, estructura y refuerzos de RH; el bastidor del riel se lista aparte. El extremo derecho queda libre: no puede anclarse al muro lateral derecho como en la opción 2. Definir anclaje posterior y lateral izquierdo según muro.</t>
  </si>
  <si>
    <t xml:space="preserve">Montaje y sustrato real.</t>
  </si>
  <si>
    <t xml:space="preserve">Pino · por cotizar</t>
  </si>
  <si>
    <t xml:space="preserve">Listón 4×4 cm · bastidor del riel</t>
  </si>
  <si>
    <t xml:space="preserve">listón</t>
  </si>
  <si>
    <t xml:space="preserve">Listón de pino de 4×4 cm que va de lateral a lateral: 1920 mm libres más el encaje en cada lateral (máx. 7 mm por lado). Pedir de 2,0 m o más, recto, seco y sin nudos grandes; sobra para 2 tacos de 15 mm. Va encajonado y atornillado a los laterales; el riel (50 mm) se atornilla a su cara inferior y sobresale ~5 mm por lado. El clóset real usa 7×3 cm; se cambió a 4×4 por disponibilidad. Confirmar rebaje y tornillos con el instalador.</t>
  </si>
  <si>
    <t xml:space="preserve">Descripción del clóset real del usuario, 27/10/2026; precio pendiente.</t>
  </si>
  <si>
    <t xml:space="preserve">Tornillos del bastidor y del riel</t>
  </si>
  <si>
    <t xml:space="preserve">Tornillos para madera y aglomerado en cada extremo del listón y para el riel; el kit del sistema puede traer los suyos. Escuadras solo si el rebaje en los laterales queda corto.</t>
  </si>
  <si>
    <t xml:space="preserve">Por cotizar</t>
  </si>
  <si>
    <t xml:space="preserve">Corte, canteado e instalación</t>
  </si>
  <si>
    <t xml:space="preserve">servicio</t>
  </si>
  <si>
    <t xml:space="preserve">Confirmar plantilla de las hojas y perfiles, guías y topes adicionales, veta y suministro. Mantener todo este presupuesto independiente.</t>
  </si>
  <si>
    <t xml:space="preserve">Proveedor.</t>
  </si>
  <si>
    <t xml:space="preserve">SUBTOTAL PARCIAL</t>
  </si>
  <si>
    <t xml:space="preserve">Incluye 2 manijas por $5.486. Quedan listón de pino, tornillos, barras, apoyos, uniones, anclajes y servicios. Verificar accesorios incluidos. No hay PERALM93 presupuestado en esta alternativa.</t>
  </si>
  <si>
    <t xml:space="preserve">Clóset compacto: cálculo y fabricación</t>
  </si>
  <si>
    <t xml:space="preserve">Opción 3 elegida como principal. Plantillas y montaje por validar. Despiece independiente; alternativas 1 y 2 conservadas.</t>
  </si>
  <si>
    <t xml:space="preserve">Tema</t>
  </si>
  <si>
    <t xml:space="preserve">Resultado / condición</t>
  </si>
  <si>
    <t xml:space="preserve">Fuente</t>
  </si>
  <si>
    <t xml:space="preserve">Confirmado</t>
  </si>
  <si>
    <t xml:space="preserve">Puerta de habitación</t>
  </si>
  <si>
    <t xml:space="preserve">Hoja 900 mm; eje a 520 mm del muro donde apoya el fondo del clóset.</t>
  </si>
  <si>
    <t xml:space="preserve">Confirmación del usuario 27/10/2026.</t>
  </si>
  <si>
    <t xml:space="preserve">Calculado</t>
  </si>
  <si>
    <t xml:space="preserve">Ancho propuesto</t>
  </si>
  <si>
    <t xml:space="preserve">El modelo sitúa el eje a 2880 mm del muro izquierdo. Extremo del giro=2880−900=1980. Restando 10 mm de separación izquierda y 20 mm de margen: ancho 1950 mm. Confirmar posición lateral del eje antes de fabricar.</t>
  </si>
  <si>
    <t xml:space="preserve">Geometría de la terraza y medidas confirmadas.</t>
  </si>
  <si>
    <t xml:space="preserve">Elegido</t>
  </si>
  <si>
    <t xml:space="preserve">Ubicación y franja libre</t>
  </si>
  <si>
    <t xml:space="preserve">1+195+94=290 cm. Se reduce 93 cm respecto a 288. El hueco derecho es reserva de giro; no un paso peatonal libre de 94 cm.</t>
  </si>
  <si>
    <t xml:space="preserve">Cálculo de ubicación.</t>
  </si>
  <si>
    <t xml:space="preserve">Fondo interior</t>
  </si>
  <si>
    <t xml:space="preserve">Zona de referencia 490–560 mm. Hoja interior 500–515; exterior 535–550. Cuerpo 560 y manijas hasta 585. Fondo RH15 de 0–15 deja 485 mm útiles. Los 7 cm son la zona de referencia del marco, no un espesor adicional del cuerpo.</t>
  </si>
  <si>
    <t xml:space="preserve">Medidas y aclaraciones del usuario / modelo.</t>
  </si>
  <si>
    <t xml:space="preserve">Aplicado</t>
  </si>
  <si>
    <t xml:space="preserve">Distribución</t>
  </si>
  <si>
    <t xml:space="preserve">Útiles 830 y 1075 mm. Se redujo el cajonero de 880 a 830 mm para sumar 50 mm de tolerancia de instalación, además del descuento ya aplicado por el tope. Se mantienen 1950 mm exteriores. Colgado corto arriba, doble colgado derecho con barra inferior desmontable y maleteros interiores.</t>
  </si>
  <si>
    <t xml:space="preserve">Geometría opción 3.</t>
  </si>
  <si>
    <t xml:space="preserve">Acceso a cajones</t>
  </si>
  <si>
    <t xml:space="preserve">Hoja exterior izquierda e interior derecha; anchos 975, solape 30 y desfase mínimo 50. Desplazamiento y abertura libre 895. Frentes 824 en cuerpo 830: máximo x 842, hoja apilada comienza en x 910, dejando 68 mm de margen al tablero. Incluso con 50 mm adicionales de pérdida de recorrido quedaría un margen geométrico de 18 mm. El visor bloquea cruce de hojas y cajones tapados.</t>
  </si>
  <si>
    <t xml:space="preserve">Tope descrito por el usuario y control geométrico.</t>
  </si>
  <si>
    <t xml:space="preserve">Cajas y correderas</t>
  </si>
  <si>
    <t xml:space="preserve">Exterior 803×450; base RH15 aplicada, paredes 155 y refuerzo 40 inferior. Frente 824×210. Tres frentes con 30 mm de separación, sin manijas.803=830−27 de la familia HRE320. Confirmar fijación y carga útil.</t>
  </si>
  <si>
    <t xml:space="preserve">Geometría y ficha de rieles.</t>
  </si>
  <si>
    <t xml:space="preserve">Por validar</t>
  </si>
  <si>
    <t xml:space="preserve">Hojas y sistema corredizo</t>
  </si>
  <si>
    <t xml:space="preserve">Hojas 2175×975×15 (21,3 kg cada una con 10,05 kg/m²) representadas sin perfiles verticales, siguiendo el clóset real del usuario (hojas 80×220 con 4 años sin pandeo). Las nuevas son más anchas; validar tablero, altura, uniones, carga y suspensión. Esta alternativa no se presenta como cumplimiento de la recomendación de PERALM93 publicada por Madecentro.</t>
  </si>
  <si>
    <t xml:space="preserve">Referencia aportada por el usuario; validación del proveedor pendiente.</t>
  </si>
  <si>
    <t xml:space="preserve">Cargas y anclajes</t>
  </si>
  <si>
    <t xml:space="preserve">Las hojas (≈43 kg en total) cuelgan del sistema superior; la guía inferior solo limita oscilación. El riel se atornilla a un listón de pino 4×4 cm que va de lateral a lateral, encajonado en un rebaje de cada lateral y atornillado, como en el clóset real del usuario (4 años de uso). Así la carga baja por los laterales y no la soporta la tapa. Definir rebaje, tornillos, uniones de fondos y anclajes al muro posterior e izquierdo. No hay apoyo en el muro derecho.</t>
  </si>
  <si>
    <t xml:space="preserve">Material y alcance</t>
  </si>
  <si>
    <t xml:space="preserve">Misma referencia RH15 Cartagena que la cocina final. Despiece y compras exclusivos del clóset compacto; no se han fusionado con cocina ni baño.</t>
  </si>
  <si>
    <t xml:space="preserve">Solicitud del usuario y Excel de cocina.</t>
  </si>
  <si>
    <t xml:space="preserve">Montaje en altura</t>
  </si>
  <si>
    <t xml:space="preserve">Altura exterior 2380 en hueco 2400. Diagonal 2380×560≈2445 mm: armar de pie o por partes. La nivelación consume los 20 mm superiores.</t>
  </si>
  <si>
    <t xml:space="preserve">Cálculo geométrico.</t>
  </si>
  <si>
    <t xml:space="preserve">Cantos y corte</t>
  </si>
  <si>
    <t xml:space="preserve">Medidas terminadas. Descuentos teóricos de canto sin sierra ni refilado. Proveedor confirma canteado, preparación de uniones y veta. Cinco láminas es un encaje encontrado, no prueba de mínimo.</t>
  </si>
  <si>
    <t xml:space="preserve">Planificación independiente.</t>
  </si>
  <si>
    <t xml:space="preserve">Bastidor del riel y solapa</t>
  </si>
  <si>
    <t xml:space="preserve">Listón de pino 4×4 cm (40 mm de fondo × 40 de alto) entre z 505 y 545, a ras de la cara superior (y 2340–2380). Las tapas llegan hasta él (505 mm de fondo); el riel va debajo y las hojas quedan de 2175. Solapa frontal de RH15 de 120 mm de alto y 15 mm de saliente (z 560–575) que tapa riel y borde alto de las hojas; se fija a los laterales y a dos tacos de pino sobre el frente del listón. Por validar: profundidad del rebaje en los laterales (máx. ≈7 mm), tornillos y cuánto baja el centro del listón con 43 kg: el 4×4 es solo ~35 % más rígido que el 7×3 acostado del clóset real, y aquí la luz es de 1,92 m. La solapa unida a su frente y el riel de aluminio lo rigidizan. Si en obra baja, añadir un apoyo bajo el listón en el divisor.</t>
  </si>
  <si>
    <t xml:space="preserve">Clóset real del usuario, 27/10/2026; modelo.</t>
  </si>
  <si>
    <t xml:space="preserve">Cotas del accesorio</t>
  </si>
  <si>
    <t xml:space="preserve">Tope50mm, centros de manija96mm y saliente35mm. Ubicación del bloque, diámetro del tubo y taladros dibujados son esquemáticos; ajustar al accesorio real. No usar las manijas como topes.</t>
  </si>
</sst>
</file>

<file path=xl/styles.xml><?xml version="1.0" encoding="utf-8"?>
<styleSheet xmlns="http://schemas.openxmlformats.org/spreadsheetml/2006/main">
  <numFmts count="5">
    <numFmt numFmtId="164" formatCode="General"/>
    <numFmt numFmtId="165" formatCode="0.000000"/>
    <numFmt numFmtId="166" formatCode="0.00"/>
    <numFmt numFmtId="167" formatCode="0.000"/>
    <numFmt numFmtId="168" formatCode="\$#,##0"/>
  </numFmts>
  <fonts count="7">
    <font>
      <sz val="10"/>
      <name val="Arial"/>
      <family val="2"/>
      <charset val="1"/>
    </font>
    <font>
      <sz val="10"/>
      <name val="Arial"/>
      <family val="0"/>
    </font>
    <font>
      <sz val="10"/>
      <name val="Arial"/>
      <family val="0"/>
    </font>
    <font>
      <sz val="10"/>
      <name val="Arial"/>
      <family val="0"/>
    </font>
    <font>
      <sz val="10"/>
      <name val="Arial"/>
      <family val="0"/>
      <charset val="1"/>
    </font>
    <font>
      <sz val="16"/>
      <name val="Arial"/>
      <family val="0"/>
      <charset val="1"/>
    </font>
    <font>
      <b val="true"/>
      <sz val="10"/>
      <color rgb="FFFFFFFF"/>
      <name val="Arial"/>
      <family val="0"/>
      <charset val="1"/>
    </font>
  </fonts>
  <fills count="5">
    <fill>
      <patternFill patternType="none"/>
    </fill>
    <fill>
      <patternFill patternType="gray125"/>
    </fill>
    <fill>
      <patternFill patternType="solid">
        <fgColor rgb="FF253B35"/>
        <bgColor rgb="FF333300"/>
      </patternFill>
    </fill>
    <fill>
      <patternFill patternType="solid">
        <fgColor rgb="FFFFF2CC"/>
        <bgColor rgb="FFEAF0E3"/>
      </patternFill>
    </fill>
    <fill>
      <patternFill patternType="solid">
        <fgColor rgb="FFEAF0E3"/>
        <bgColor rgb="FFFFF2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5" fontId="4" fillId="0" borderId="0" xfId="0" applyFont="true" applyBorder="false" applyAlignment="true" applyProtection="false">
      <alignment horizontal="general" vertical="center" textRotation="0" wrapText="false" indent="0" shrinkToFit="false"/>
      <protection locked="true" hidden="false"/>
    </xf>
    <xf numFmtId="166" fontId="4" fillId="0" borderId="0" xfId="0" applyFont="true" applyBorder="false" applyAlignment="true" applyProtection="false">
      <alignment horizontal="general" vertical="center" textRotation="0" wrapText="false" indent="0" shrinkToFit="false"/>
      <protection locked="true" hidden="false"/>
    </xf>
    <xf numFmtId="164" fontId="4" fillId="3" borderId="0" xfId="0" applyFont="true" applyBorder="false" applyAlignment="true" applyProtection="false">
      <alignment horizontal="general" vertical="center" textRotation="0" wrapText="false" indent="0" shrinkToFit="false"/>
      <protection locked="true" hidden="false"/>
    </xf>
    <xf numFmtId="167" fontId="4" fillId="0" borderId="0" xfId="0" applyFont="true" applyBorder="false" applyAlignment="true" applyProtection="false">
      <alignment horizontal="general" vertical="center" textRotation="0" wrapText="false" indent="0" shrinkToFit="false"/>
      <protection locked="true" hidden="false"/>
    </xf>
    <xf numFmtId="168" fontId="4" fillId="0" borderId="0" xfId="0" applyFont="true" applyBorder="false" applyAlignment="true" applyProtection="false">
      <alignment horizontal="general" vertical="center" textRotation="0" wrapText="false" indent="0" shrinkToFit="false"/>
      <protection locked="true" hidden="false"/>
    </xf>
    <xf numFmtId="164" fontId="4" fillId="4" borderId="0" xfId="0" applyFont="true" applyBorder="false" applyAlignment="true" applyProtection="false">
      <alignment horizontal="general" vertical="center" textRotation="0" wrapText="false" indent="0" shrinkToFit="false"/>
      <protection locked="true" hidden="false"/>
    </xf>
    <xf numFmtId="168" fontId="4" fillId="4" borderId="0" xfId="0" applyFont="true" applyBorder="false" applyAlignment="true" applyProtection="false">
      <alignment horizontal="general" vertical="center" textRotation="0" wrapText="false" indent="0" shrinkToFit="false"/>
      <protection locked="true" hidden="false"/>
    </xf>
    <xf numFmtId="164" fontId="4" fillId="4"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AF0E3"/>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53B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32"/>
    <col collapsed="false" customWidth="true" hidden="false" outlineLevel="0" max="4" min="4" style="1" width="8"/>
    <col collapsed="false" customWidth="true" hidden="false" outlineLevel="0" max="6" min="5" style="1" width="13"/>
    <col collapsed="false" customWidth="true" hidden="false" outlineLevel="0" max="8" min="7" style="1" width="12"/>
    <col collapsed="false" customWidth="true" hidden="false" outlineLevel="0" max="12" min="9" style="1" width="11"/>
    <col collapsed="false" customWidth="true" hidden="false" outlineLevel="0" max="14" min="13" style="1" width="14"/>
    <col collapsed="false" customWidth="true" hidden="false" outlineLevel="0" max="15" min="15" style="1" width="24"/>
    <col collapsed="false" customWidth="true" hidden="false" outlineLevel="0" max="16" min="16" style="1" width="85"/>
  </cols>
  <sheetData>
    <row r="1" customFormat="false" ht="15" hidden="false" customHeight="true" outlineLevel="0" collapsed="false">
      <c r="A1" s="2"/>
      <c r="B1" s="2"/>
      <c r="C1" s="2"/>
      <c r="D1" s="2"/>
      <c r="E1" s="2"/>
      <c r="F1" s="2"/>
      <c r="G1" s="2"/>
      <c r="H1" s="2"/>
      <c r="I1" s="2"/>
      <c r="J1" s="2"/>
      <c r="K1" s="2"/>
      <c r="L1" s="2"/>
      <c r="M1" s="2"/>
      <c r="N1" s="2"/>
      <c r="O1" s="2"/>
      <c r="P1" s="2"/>
    </row>
    <row r="2" customFormat="false" ht="19.5" hidden="false" customHeight="true" outlineLevel="0" collapsed="false">
      <c r="A2" s="3" t="s">
        <v>0</v>
      </c>
      <c r="B2" s="2"/>
      <c r="C2" s="2"/>
      <c r="D2" s="2"/>
      <c r="E2" s="2"/>
      <c r="F2" s="2"/>
      <c r="G2" s="2"/>
      <c r="H2" s="2"/>
      <c r="I2" s="2"/>
      <c r="J2" s="2"/>
      <c r="K2" s="2"/>
      <c r="L2" s="2"/>
      <c r="M2" s="2"/>
      <c r="N2" s="2"/>
      <c r="O2" s="2"/>
      <c r="P2" s="2"/>
    </row>
    <row r="3" customFormat="false" ht="15" hidden="false" customHeight="true" outlineLevel="0" collapsed="false">
      <c r="A3" s="2" t="s">
        <v>1</v>
      </c>
      <c r="B3" s="2"/>
      <c r="C3" s="2"/>
      <c r="D3" s="2"/>
      <c r="E3" s="2"/>
      <c r="F3" s="2"/>
      <c r="G3" s="2"/>
      <c r="H3" s="2"/>
      <c r="I3" s="2"/>
      <c r="J3" s="2"/>
      <c r="K3" s="2"/>
      <c r="L3" s="2"/>
      <c r="M3" s="2"/>
      <c r="N3" s="2"/>
      <c r="O3" s="2"/>
      <c r="P3" s="2"/>
    </row>
    <row r="4" customFormat="false" ht="15" hidden="false" customHeight="true" outlineLevel="0" collapsed="false">
      <c r="A4" s="2" t="s">
        <v>2</v>
      </c>
      <c r="B4" s="2"/>
      <c r="C4" s="2"/>
      <c r="D4" s="2"/>
      <c r="E4" s="2"/>
      <c r="F4" s="2"/>
      <c r="G4" s="2"/>
      <c r="H4" s="2"/>
      <c r="I4" s="2"/>
      <c r="J4" s="2"/>
      <c r="K4" s="2"/>
      <c r="L4" s="2"/>
      <c r="M4" s="2"/>
      <c r="N4" s="2"/>
      <c r="O4" s="2"/>
      <c r="P4" s="2"/>
    </row>
    <row r="5" customFormat="false" ht="15" hidden="false" customHeight="true" outlineLevel="0" collapsed="false">
      <c r="A5" s="2"/>
      <c r="B5" s="2"/>
      <c r="C5" s="2"/>
      <c r="D5" s="2"/>
      <c r="E5" s="2"/>
      <c r="F5" s="2"/>
      <c r="G5" s="2"/>
      <c r="H5" s="2"/>
      <c r="I5" s="2"/>
      <c r="J5" s="2"/>
      <c r="K5" s="2"/>
      <c r="L5" s="2"/>
      <c r="M5" s="2"/>
      <c r="N5" s="2"/>
      <c r="O5" s="2"/>
      <c r="P5" s="2"/>
    </row>
    <row r="6" customFormat="false" ht="42" hidden="false" customHeight="true" outlineLevel="0" collapsed="false">
      <c r="A6" s="4" t="s">
        <v>3</v>
      </c>
      <c r="B6" s="4" t="s">
        <v>4</v>
      </c>
      <c r="C6" s="4" t="s">
        <v>5</v>
      </c>
      <c r="D6" s="4" t="s">
        <v>6</v>
      </c>
      <c r="E6" s="4" t="s">
        <v>7</v>
      </c>
      <c r="F6" s="4" t="s">
        <v>8</v>
      </c>
      <c r="G6" s="4" t="s">
        <v>9</v>
      </c>
      <c r="H6" s="4" t="s">
        <v>10</v>
      </c>
      <c r="I6" s="4" t="s">
        <v>11</v>
      </c>
      <c r="J6" s="4" t="s">
        <v>12</v>
      </c>
      <c r="K6" s="4" t="s">
        <v>13</v>
      </c>
      <c r="L6" s="4" t="s">
        <v>14</v>
      </c>
      <c r="M6" s="4" t="s">
        <v>15</v>
      </c>
      <c r="N6" s="4" t="s">
        <v>16</v>
      </c>
      <c r="O6" s="4" t="s">
        <v>17</v>
      </c>
      <c r="P6" s="4" t="s">
        <v>18</v>
      </c>
    </row>
    <row r="7" customFormat="false" ht="54" hidden="false" customHeight="true" outlineLevel="0" collapsed="false">
      <c r="A7" s="2" t="s">
        <v>19</v>
      </c>
      <c r="B7" s="2" t="s">
        <v>20</v>
      </c>
      <c r="C7" s="5" t="s">
        <v>21</v>
      </c>
      <c r="D7" s="2" t="n">
        <v>2</v>
      </c>
      <c r="E7" s="2" t="n">
        <v>2280</v>
      </c>
      <c r="F7" s="2" t="n">
        <v>560</v>
      </c>
      <c r="G7" s="2" t="n">
        <v>15</v>
      </c>
      <c r="H7" s="6" t="n">
        <f aca="false">D7*E7*F7/1000000</f>
        <v>2.5536</v>
      </c>
      <c r="I7" s="2" t="s">
        <v>22</v>
      </c>
      <c r="J7" s="2" t="s">
        <v>23</v>
      </c>
      <c r="K7" s="2" t="s">
        <v>23</v>
      </c>
      <c r="L7" s="2" t="s">
        <v>23</v>
      </c>
      <c r="M7" s="7" t="n">
        <f aca="false">E7-0.45-0.45</f>
        <v>2279.1</v>
      </c>
      <c r="N7" s="7" t="n">
        <f aca="false">F7-2-0.45</f>
        <v>557.55</v>
      </c>
      <c r="O7" s="8" t="s">
        <v>24</v>
      </c>
      <c r="P7" s="5" t="s">
        <v>25</v>
      </c>
    </row>
    <row r="8" customFormat="false" ht="54" hidden="false" customHeight="true" outlineLevel="0" collapsed="false">
      <c r="A8" s="2" t="s">
        <v>26</v>
      </c>
      <c r="B8" s="2" t="s">
        <v>20</v>
      </c>
      <c r="C8" s="5" t="s">
        <v>27</v>
      </c>
      <c r="D8" s="2" t="n">
        <v>1</v>
      </c>
      <c r="E8" s="2" t="n">
        <v>2280</v>
      </c>
      <c r="F8" s="2" t="n">
        <v>490</v>
      </c>
      <c r="G8" s="2" t="n">
        <v>15</v>
      </c>
      <c r="H8" s="6" t="n">
        <f aca="false">D8*E8*F8/1000000</f>
        <v>1.1172</v>
      </c>
      <c r="I8" s="2" t="s">
        <v>22</v>
      </c>
      <c r="J8" s="2" t="s">
        <v>23</v>
      </c>
      <c r="K8" s="2" t="s">
        <v>23</v>
      </c>
      <c r="L8" s="2" t="s">
        <v>23</v>
      </c>
      <c r="M8" s="7" t="n">
        <f aca="false">E8-0.45-0.45</f>
        <v>2279.1</v>
      </c>
      <c r="N8" s="7" t="n">
        <f aca="false">F8-2-0.45</f>
        <v>487.55</v>
      </c>
      <c r="O8" s="8" t="s">
        <v>24</v>
      </c>
      <c r="P8" s="5" t="s">
        <v>28</v>
      </c>
    </row>
    <row r="9" customFormat="false" ht="54" hidden="false" customHeight="true" outlineLevel="0" collapsed="false">
      <c r="A9" s="2" t="s">
        <v>29</v>
      </c>
      <c r="B9" s="2" t="s">
        <v>30</v>
      </c>
      <c r="C9" s="5" t="s">
        <v>31</v>
      </c>
      <c r="D9" s="2" t="n">
        <v>1</v>
      </c>
      <c r="E9" s="2" t="n">
        <v>830</v>
      </c>
      <c r="F9" s="2" t="n">
        <v>560</v>
      </c>
      <c r="G9" s="2" t="n">
        <v>15</v>
      </c>
      <c r="H9" s="6" t="n">
        <f aca="false">D9*E9*F9/1000000</f>
        <v>0.4648</v>
      </c>
      <c r="I9" s="2" t="s">
        <v>22</v>
      </c>
      <c r="J9" s="2" t="s">
        <v>23</v>
      </c>
      <c r="K9" s="2" t="s">
        <v>23</v>
      </c>
      <c r="L9" s="2" t="s">
        <v>23</v>
      </c>
      <c r="M9" s="7" t="n">
        <f aca="false">E9-0.45-0.45</f>
        <v>829.1</v>
      </c>
      <c r="N9" s="7" t="n">
        <f aca="false">F9-2-0.45</f>
        <v>557.55</v>
      </c>
      <c r="O9" s="8" t="s">
        <v>24</v>
      </c>
      <c r="P9" s="5" t="s">
        <v>32</v>
      </c>
    </row>
    <row r="10" customFormat="false" ht="54" hidden="false" customHeight="true" outlineLevel="0" collapsed="false">
      <c r="A10" s="2" t="s">
        <v>33</v>
      </c>
      <c r="B10" s="2" t="s">
        <v>30</v>
      </c>
      <c r="C10" s="5" t="s">
        <v>34</v>
      </c>
      <c r="D10" s="2" t="n">
        <v>1</v>
      </c>
      <c r="E10" s="2" t="n">
        <v>830</v>
      </c>
      <c r="F10" s="2" t="n">
        <v>505</v>
      </c>
      <c r="G10" s="2" t="n">
        <v>15</v>
      </c>
      <c r="H10" s="6" t="n">
        <f aca="false">D10*E10*F10/1000000</f>
        <v>0.41915</v>
      </c>
      <c r="I10" s="2" t="s">
        <v>23</v>
      </c>
      <c r="J10" s="2" t="s">
        <v>23</v>
      </c>
      <c r="K10" s="2" t="s">
        <v>23</v>
      </c>
      <c r="L10" s="2" t="s">
        <v>23</v>
      </c>
      <c r="M10" s="7" t="n">
        <f aca="false">E10-0.45-0.45</f>
        <v>829.1</v>
      </c>
      <c r="N10" s="7" t="n">
        <f aca="false">F10-0.45-0.45</f>
        <v>504.1</v>
      </c>
      <c r="O10" s="8" t="s">
        <v>24</v>
      </c>
      <c r="P10" s="5" t="s">
        <v>35</v>
      </c>
    </row>
    <row r="11" customFormat="false" ht="54" hidden="false" customHeight="true" outlineLevel="0" collapsed="false">
      <c r="A11" s="2" t="s">
        <v>36</v>
      </c>
      <c r="B11" s="2" t="s">
        <v>30</v>
      </c>
      <c r="C11" s="5" t="s">
        <v>37</v>
      </c>
      <c r="D11" s="2" t="n">
        <v>1</v>
      </c>
      <c r="E11" s="2" t="n">
        <v>2250</v>
      </c>
      <c r="F11" s="2" t="n">
        <v>830</v>
      </c>
      <c r="G11" s="2" t="n">
        <v>15</v>
      </c>
      <c r="H11" s="6" t="n">
        <f aca="false">D11*E11*F11/1000000</f>
        <v>1.8675</v>
      </c>
      <c r="I11" s="2" t="s">
        <v>23</v>
      </c>
      <c r="J11" s="2" t="s">
        <v>23</v>
      </c>
      <c r="K11" s="2" t="s">
        <v>23</v>
      </c>
      <c r="L11" s="2" t="s">
        <v>23</v>
      </c>
      <c r="M11" s="7" t="n">
        <f aca="false">E11-0.45-0.45</f>
        <v>2249.1</v>
      </c>
      <c r="N11" s="7" t="n">
        <f aca="false">F11-0.45-0.45</f>
        <v>829.1</v>
      </c>
      <c r="O11" s="8" t="s">
        <v>24</v>
      </c>
      <c r="P11" s="5" t="s">
        <v>38</v>
      </c>
    </row>
    <row r="12" customFormat="false" ht="54" hidden="false" customHeight="true" outlineLevel="0" collapsed="false">
      <c r="A12" s="2" t="s">
        <v>39</v>
      </c>
      <c r="B12" s="2" t="s">
        <v>30</v>
      </c>
      <c r="C12" s="5" t="s">
        <v>40</v>
      </c>
      <c r="D12" s="2" t="n">
        <v>1</v>
      </c>
      <c r="E12" s="2" t="n">
        <v>830</v>
      </c>
      <c r="F12" s="2" t="n">
        <v>475</v>
      </c>
      <c r="G12" s="2" t="n">
        <v>15</v>
      </c>
      <c r="H12" s="6" t="n">
        <f aca="false">D12*E12*F12/1000000</f>
        <v>0.39425</v>
      </c>
      <c r="I12" s="2" t="s">
        <v>22</v>
      </c>
      <c r="J12" s="2" t="s">
        <v>23</v>
      </c>
      <c r="K12" s="2" t="s">
        <v>23</v>
      </c>
      <c r="L12" s="2" t="s">
        <v>23</v>
      </c>
      <c r="M12" s="7" t="n">
        <f aca="false">E12-0.45-0.45</f>
        <v>829.1</v>
      </c>
      <c r="N12" s="7" t="n">
        <f aca="false">F12-2-0.45</f>
        <v>472.55</v>
      </c>
      <c r="O12" s="8" t="s">
        <v>24</v>
      </c>
      <c r="P12" s="5" t="s">
        <v>41</v>
      </c>
    </row>
    <row r="13" customFormat="false" ht="54" hidden="false" customHeight="true" outlineLevel="0" collapsed="false">
      <c r="A13" s="2" t="s">
        <v>42</v>
      </c>
      <c r="B13" s="2" t="s">
        <v>30</v>
      </c>
      <c r="C13" s="5" t="s">
        <v>43</v>
      </c>
      <c r="D13" s="2" t="n">
        <v>1</v>
      </c>
      <c r="E13" s="2" t="n">
        <v>830</v>
      </c>
      <c r="F13" s="2" t="n">
        <v>80</v>
      </c>
      <c r="G13" s="2" t="n">
        <v>15</v>
      </c>
      <c r="H13" s="6" t="n">
        <f aca="false">D13*E13*F13/1000000</f>
        <v>0.0664</v>
      </c>
      <c r="I13" s="2" t="s">
        <v>23</v>
      </c>
      <c r="J13" s="2" t="s">
        <v>23</v>
      </c>
      <c r="K13" s="2" t="s">
        <v>23</v>
      </c>
      <c r="L13" s="2" t="s">
        <v>23</v>
      </c>
      <c r="M13" s="7" t="n">
        <f aca="false">E13-0.45-0.45</f>
        <v>829.1</v>
      </c>
      <c r="N13" s="7" t="n">
        <f aca="false">F13-0.45-0.45</f>
        <v>79.1</v>
      </c>
      <c r="O13" s="8" t="s">
        <v>24</v>
      </c>
      <c r="P13" s="5" t="s">
        <v>44</v>
      </c>
    </row>
    <row r="14" customFormat="false" ht="54" hidden="false" customHeight="true" outlineLevel="0" collapsed="false">
      <c r="A14" s="2" t="s">
        <v>45</v>
      </c>
      <c r="B14" s="2" t="s">
        <v>30</v>
      </c>
      <c r="C14" s="5" t="s">
        <v>46</v>
      </c>
      <c r="D14" s="2" t="n">
        <v>1</v>
      </c>
      <c r="E14" s="2" t="n">
        <v>830</v>
      </c>
      <c r="F14" s="2" t="n">
        <v>100</v>
      </c>
      <c r="G14" s="2" t="n">
        <v>15</v>
      </c>
      <c r="H14" s="6" t="n">
        <f aca="false">D14*E14*F14/1000000</f>
        <v>0.083</v>
      </c>
      <c r="I14" s="2" t="s">
        <v>23</v>
      </c>
      <c r="J14" s="2" t="s">
        <v>23</v>
      </c>
      <c r="K14" s="2" t="s">
        <v>23</v>
      </c>
      <c r="L14" s="2" t="s">
        <v>23</v>
      </c>
      <c r="M14" s="7" t="n">
        <f aca="false">E14-0.45-0.45</f>
        <v>829.1</v>
      </c>
      <c r="N14" s="7" t="n">
        <f aca="false">F14-0.45-0.45</f>
        <v>99.1</v>
      </c>
      <c r="O14" s="8" t="s">
        <v>24</v>
      </c>
      <c r="P14" s="5" t="s">
        <v>47</v>
      </c>
    </row>
    <row r="15" customFormat="false" ht="54" hidden="false" customHeight="true" outlineLevel="0" collapsed="false">
      <c r="A15" s="2" t="s">
        <v>48</v>
      </c>
      <c r="B15" s="2" t="s">
        <v>49</v>
      </c>
      <c r="C15" s="5" t="s">
        <v>31</v>
      </c>
      <c r="D15" s="2" t="n">
        <v>1</v>
      </c>
      <c r="E15" s="2" t="n">
        <v>1075</v>
      </c>
      <c r="F15" s="2" t="n">
        <v>560</v>
      </c>
      <c r="G15" s="2" t="n">
        <v>15</v>
      </c>
      <c r="H15" s="6" t="n">
        <f aca="false">D15*E15*F15/1000000</f>
        <v>0.602</v>
      </c>
      <c r="I15" s="2" t="s">
        <v>22</v>
      </c>
      <c r="J15" s="2" t="s">
        <v>23</v>
      </c>
      <c r="K15" s="2" t="s">
        <v>23</v>
      </c>
      <c r="L15" s="2" t="s">
        <v>23</v>
      </c>
      <c r="M15" s="7" t="n">
        <f aca="false">E15-0.45-0.45</f>
        <v>1074.1</v>
      </c>
      <c r="N15" s="7" t="n">
        <f aca="false">F15-2-0.45</f>
        <v>557.55</v>
      </c>
      <c r="O15" s="8" t="s">
        <v>24</v>
      </c>
      <c r="P15" s="5" t="s">
        <v>32</v>
      </c>
    </row>
    <row r="16" customFormat="false" ht="54" hidden="false" customHeight="true" outlineLevel="0" collapsed="false">
      <c r="A16" s="2" t="s">
        <v>50</v>
      </c>
      <c r="B16" s="2" t="s">
        <v>49</v>
      </c>
      <c r="C16" s="5" t="s">
        <v>34</v>
      </c>
      <c r="D16" s="2" t="n">
        <v>1</v>
      </c>
      <c r="E16" s="2" t="n">
        <v>1075</v>
      </c>
      <c r="F16" s="2" t="n">
        <v>505</v>
      </c>
      <c r="G16" s="2" t="n">
        <v>15</v>
      </c>
      <c r="H16" s="6" t="n">
        <f aca="false">D16*E16*F16/1000000</f>
        <v>0.542875</v>
      </c>
      <c r="I16" s="2" t="s">
        <v>23</v>
      </c>
      <c r="J16" s="2" t="s">
        <v>23</v>
      </c>
      <c r="K16" s="2" t="s">
        <v>23</v>
      </c>
      <c r="L16" s="2" t="s">
        <v>23</v>
      </c>
      <c r="M16" s="7" t="n">
        <f aca="false">E16-0.45-0.45</f>
        <v>1074.1</v>
      </c>
      <c r="N16" s="7" t="n">
        <f aca="false">F16-0.45-0.45</f>
        <v>504.1</v>
      </c>
      <c r="O16" s="8" t="s">
        <v>24</v>
      </c>
      <c r="P16" s="5" t="s">
        <v>35</v>
      </c>
    </row>
    <row r="17" customFormat="false" ht="54" hidden="false" customHeight="true" outlineLevel="0" collapsed="false">
      <c r="A17" s="2" t="s">
        <v>51</v>
      </c>
      <c r="B17" s="2" t="s">
        <v>49</v>
      </c>
      <c r="C17" s="5" t="s">
        <v>37</v>
      </c>
      <c r="D17" s="2" t="n">
        <v>1</v>
      </c>
      <c r="E17" s="2" t="n">
        <v>2250</v>
      </c>
      <c r="F17" s="2" t="n">
        <v>1075</v>
      </c>
      <c r="G17" s="2" t="n">
        <v>15</v>
      </c>
      <c r="H17" s="6" t="n">
        <f aca="false">D17*E17*F17/1000000</f>
        <v>2.41875</v>
      </c>
      <c r="I17" s="2" t="s">
        <v>23</v>
      </c>
      <c r="J17" s="2" t="s">
        <v>23</v>
      </c>
      <c r="K17" s="2" t="s">
        <v>23</v>
      </c>
      <c r="L17" s="2" t="s">
        <v>23</v>
      </c>
      <c r="M17" s="7" t="n">
        <f aca="false">E17-0.45-0.45</f>
        <v>2249.1</v>
      </c>
      <c r="N17" s="7" t="n">
        <f aca="false">F17-0.45-0.45</f>
        <v>1074.1</v>
      </c>
      <c r="O17" s="8" t="s">
        <v>24</v>
      </c>
      <c r="P17" s="5" t="s">
        <v>38</v>
      </c>
    </row>
    <row r="18" customFormat="false" ht="54" hidden="false" customHeight="true" outlineLevel="0" collapsed="false">
      <c r="A18" s="2" t="s">
        <v>52</v>
      </c>
      <c r="B18" s="2" t="s">
        <v>49</v>
      </c>
      <c r="C18" s="5" t="s">
        <v>40</v>
      </c>
      <c r="D18" s="2" t="n">
        <v>1</v>
      </c>
      <c r="E18" s="2" t="n">
        <v>1075</v>
      </c>
      <c r="F18" s="2" t="n">
        <v>475</v>
      </c>
      <c r="G18" s="2" t="n">
        <v>15</v>
      </c>
      <c r="H18" s="6" t="n">
        <f aca="false">D18*E18*F18/1000000</f>
        <v>0.510625</v>
      </c>
      <c r="I18" s="2" t="s">
        <v>22</v>
      </c>
      <c r="J18" s="2" t="s">
        <v>23</v>
      </c>
      <c r="K18" s="2" t="s">
        <v>23</v>
      </c>
      <c r="L18" s="2" t="s">
        <v>23</v>
      </c>
      <c r="M18" s="7" t="n">
        <f aca="false">E18-0.45-0.45</f>
        <v>1074.1</v>
      </c>
      <c r="N18" s="7" t="n">
        <f aca="false">F18-2-0.45</f>
        <v>472.55</v>
      </c>
      <c r="O18" s="8" t="s">
        <v>24</v>
      </c>
      <c r="P18" s="5" t="s">
        <v>41</v>
      </c>
    </row>
    <row r="19" customFormat="false" ht="54" hidden="false" customHeight="true" outlineLevel="0" collapsed="false">
      <c r="A19" s="2" t="s">
        <v>53</v>
      </c>
      <c r="B19" s="2" t="s">
        <v>49</v>
      </c>
      <c r="C19" s="5" t="s">
        <v>43</v>
      </c>
      <c r="D19" s="2" t="n">
        <v>1</v>
      </c>
      <c r="E19" s="2" t="n">
        <v>1075</v>
      </c>
      <c r="F19" s="2" t="n">
        <v>80</v>
      </c>
      <c r="G19" s="2" t="n">
        <v>15</v>
      </c>
      <c r="H19" s="6" t="n">
        <f aca="false">D19*E19*F19/1000000</f>
        <v>0.086</v>
      </c>
      <c r="I19" s="2" t="s">
        <v>23</v>
      </c>
      <c r="J19" s="2" t="s">
        <v>23</v>
      </c>
      <c r="K19" s="2" t="s">
        <v>23</v>
      </c>
      <c r="L19" s="2" t="s">
        <v>23</v>
      </c>
      <c r="M19" s="7" t="n">
        <f aca="false">E19-0.45-0.45</f>
        <v>1074.1</v>
      </c>
      <c r="N19" s="7" t="n">
        <f aca="false">F19-0.45-0.45</f>
        <v>79.1</v>
      </c>
      <c r="O19" s="8" t="s">
        <v>24</v>
      </c>
      <c r="P19" s="5" t="s">
        <v>44</v>
      </c>
    </row>
    <row r="20" customFormat="false" ht="54" hidden="false" customHeight="true" outlineLevel="0" collapsed="false">
      <c r="A20" s="2" t="s">
        <v>54</v>
      </c>
      <c r="B20" s="2" t="s">
        <v>49</v>
      </c>
      <c r="C20" s="5" t="s">
        <v>46</v>
      </c>
      <c r="D20" s="2" t="n">
        <v>1</v>
      </c>
      <c r="E20" s="2" t="n">
        <v>1075</v>
      </c>
      <c r="F20" s="2" t="n">
        <v>100</v>
      </c>
      <c r="G20" s="2" t="n">
        <v>15</v>
      </c>
      <c r="H20" s="6" t="n">
        <f aca="false">D20*E20*F20/1000000</f>
        <v>0.1075</v>
      </c>
      <c r="I20" s="2" t="s">
        <v>23</v>
      </c>
      <c r="J20" s="2" t="s">
        <v>23</v>
      </c>
      <c r="K20" s="2" t="s">
        <v>23</v>
      </c>
      <c r="L20" s="2" t="s">
        <v>23</v>
      </c>
      <c r="M20" s="7" t="n">
        <f aca="false">E20-0.45-0.45</f>
        <v>1074.1</v>
      </c>
      <c r="N20" s="7" t="n">
        <f aca="false">F20-0.45-0.45</f>
        <v>99.1</v>
      </c>
      <c r="O20" s="8" t="s">
        <v>24</v>
      </c>
      <c r="P20" s="5" t="s">
        <v>47</v>
      </c>
    </row>
    <row r="21" customFormat="false" ht="54" hidden="false" customHeight="true" outlineLevel="0" collapsed="false">
      <c r="A21" s="2" t="s">
        <v>55</v>
      </c>
      <c r="B21" s="2" t="s">
        <v>30</v>
      </c>
      <c r="C21" s="5" t="s">
        <v>56</v>
      </c>
      <c r="D21" s="2" t="n">
        <v>3</v>
      </c>
      <c r="E21" s="2" t="n">
        <v>824</v>
      </c>
      <c r="F21" s="2" t="n">
        <v>210</v>
      </c>
      <c r="G21" s="2" t="n">
        <v>15</v>
      </c>
      <c r="H21" s="6" t="n">
        <f aca="false">D21*E21*F21/1000000</f>
        <v>0.51912</v>
      </c>
      <c r="I21" s="2" t="s">
        <v>22</v>
      </c>
      <c r="J21" s="2" t="s">
        <v>22</v>
      </c>
      <c r="K21" s="2" t="s">
        <v>22</v>
      </c>
      <c r="L21" s="2" t="s">
        <v>22</v>
      </c>
      <c r="M21" s="7" t="n">
        <f aca="false">E21-2-2</f>
        <v>820</v>
      </c>
      <c r="N21" s="7" t="n">
        <f aca="false">F21-2-2</f>
        <v>206</v>
      </c>
      <c r="O21" s="8" t="s">
        <v>24</v>
      </c>
      <c r="P21" s="5" t="s">
        <v>57</v>
      </c>
    </row>
    <row r="22" customFormat="false" ht="54" hidden="false" customHeight="true" outlineLevel="0" collapsed="false">
      <c r="A22" s="2" t="s">
        <v>58</v>
      </c>
      <c r="B22" s="2" t="s">
        <v>30</v>
      </c>
      <c r="C22" s="5" t="s">
        <v>59</v>
      </c>
      <c r="D22" s="2" t="n">
        <v>6</v>
      </c>
      <c r="E22" s="2" t="n">
        <v>450</v>
      </c>
      <c r="F22" s="2" t="n">
        <v>155</v>
      </c>
      <c r="G22" s="2" t="n">
        <v>15</v>
      </c>
      <c r="H22" s="6" t="n">
        <f aca="false">D22*E22*F22/1000000</f>
        <v>0.4185</v>
      </c>
      <c r="I22" s="2" t="s">
        <v>23</v>
      </c>
      <c r="J22" s="2" t="s">
        <v>23</v>
      </c>
      <c r="K22" s="2" t="s">
        <v>23</v>
      </c>
      <c r="L22" s="2" t="s">
        <v>23</v>
      </c>
      <c r="M22" s="7" t="n">
        <f aca="false">E22-0.45-0.45</f>
        <v>449.1</v>
      </c>
      <c r="N22" s="7" t="n">
        <f aca="false">F22-0.45-0.45</f>
        <v>154.1</v>
      </c>
      <c r="O22" s="8" t="s">
        <v>24</v>
      </c>
      <c r="P22" s="5" t="s">
        <v>32</v>
      </c>
    </row>
    <row r="23" customFormat="false" ht="54" hidden="false" customHeight="true" outlineLevel="0" collapsed="false">
      <c r="A23" s="2" t="s">
        <v>60</v>
      </c>
      <c r="B23" s="2" t="s">
        <v>30</v>
      </c>
      <c r="C23" s="5" t="s">
        <v>61</v>
      </c>
      <c r="D23" s="2" t="n">
        <v>3</v>
      </c>
      <c r="E23" s="2" t="n">
        <v>803</v>
      </c>
      <c r="F23" s="2" t="n">
        <v>450</v>
      </c>
      <c r="G23" s="2" t="n">
        <v>15</v>
      </c>
      <c r="H23" s="6" t="n">
        <f aca="false">D23*E23*F23/1000000</f>
        <v>1.08405</v>
      </c>
      <c r="I23" s="2" t="s">
        <v>23</v>
      </c>
      <c r="J23" s="2" t="s">
        <v>23</v>
      </c>
      <c r="K23" s="2" t="s">
        <v>23</v>
      </c>
      <c r="L23" s="2" t="s">
        <v>23</v>
      </c>
      <c r="M23" s="7" t="n">
        <f aca="false">E23-0.45-0.45</f>
        <v>802.1</v>
      </c>
      <c r="N23" s="7" t="n">
        <f aca="false">F23-0.45-0.45</f>
        <v>449.1</v>
      </c>
      <c r="O23" s="8" t="s">
        <v>24</v>
      </c>
      <c r="P23" s="5" t="s">
        <v>62</v>
      </c>
    </row>
    <row r="24" customFormat="false" ht="54" hidden="false" customHeight="true" outlineLevel="0" collapsed="false">
      <c r="A24" s="2" t="s">
        <v>63</v>
      </c>
      <c r="B24" s="2" t="s">
        <v>30</v>
      </c>
      <c r="C24" s="5" t="s">
        <v>64</v>
      </c>
      <c r="D24" s="2" t="n">
        <v>6</v>
      </c>
      <c r="E24" s="2" t="n">
        <v>773</v>
      </c>
      <c r="F24" s="2" t="n">
        <v>155</v>
      </c>
      <c r="G24" s="2" t="n">
        <v>15</v>
      </c>
      <c r="H24" s="6" t="n">
        <f aca="false">D24*E24*F24/1000000</f>
        <v>0.71889</v>
      </c>
      <c r="I24" s="2" t="s">
        <v>23</v>
      </c>
      <c r="J24" s="2" t="s">
        <v>23</v>
      </c>
      <c r="K24" s="2" t="s">
        <v>23</v>
      </c>
      <c r="L24" s="2" t="s">
        <v>23</v>
      </c>
      <c r="M24" s="7" t="n">
        <f aca="false">E24-0.45-0.45</f>
        <v>772.1</v>
      </c>
      <c r="N24" s="7" t="n">
        <f aca="false">F24-0.45-0.45</f>
        <v>154.1</v>
      </c>
      <c r="O24" s="8" t="s">
        <v>24</v>
      </c>
      <c r="P24" s="5" t="s">
        <v>32</v>
      </c>
    </row>
    <row r="25" customFormat="false" ht="54" hidden="false" customHeight="true" outlineLevel="0" collapsed="false">
      <c r="A25" s="2" t="s">
        <v>65</v>
      </c>
      <c r="B25" s="2" t="s">
        <v>30</v>
      </c>
      <c r="C25" s="5" t="s">
        <v>66</v>
      </c>
      <c r="D25" s="2" t="n">
        <v>3</v>
      </c>
      <c r="E25" s="2" t="n">
        <v>803</v>
      </c>
      <c r="F25" s="2" t="n">
        <v>40</v>
      </c>
      <c r="G25" s="2" t="n">
        <v>15</v>
      </c>
      <c r="H25" s="6" t="n">
        <f aca="false">D25*E25*F25/1000000</f>
        <v>0.09636</v>
      </c>
      <c r="I25" s="2" t="s">
        <v>23</v>
      </c>
      <c r="J25" s="2" t="s">
        <v>23</v>
      </c>
      <c r="K25" s="2" t="s">
        <v>23</v>
      </c>
      <c r="L25" s="2" t="s">
        <v>23</v>
      </c>
      <c r="M25" s="7" t="n">
        <f aca="false">E25-0.45-0.45</f>
        <v>802.1</v>
      </c>
      <c r="N25" s="7" t="n">
        <f aca="false">F25-0.45-0.45</f>
        <v>39.1</v>
      </c>
      <c r="O25" s="8" t="s">
        <v>24</v>
      </c>
      <c r="P25" s="5" t="s">
        <v>67</v>
      </c>
    </row>
    <row r="26" customFormat="false" ht="54" hidden="false" customHeight="true" outlineLevel="0" collapsed="false">
      <c r="A26" s="2" t="s">
        <v>68</v>
      </c>
      <c r="B26" s="2" t="s">
        <v>69</v>
      </c>
      <c r="C26" s="5" t="s">
        <v>70</v>
      </c>
      <c r="D26" s="2" t="n">
        <v>1</v>
      </c>
      <c r="E26" s="2" t="n">
        <v>1950</v>
      </c>
      <c r="F26" s="2" t="n">
        <v>92</v>
      </c>
      <c r="G26" s="2" t="n">
        <v>15</v>
      </c>
      <c r="H26" s="6" t="n">
        <f aca="false">D26*E26*F26/1000000</f>
        <v>0.1794</v>
      </c>
      <c r="I26" s="2" t="s">
        <v>23</v>
      </c>
      <c r="J26" s="2" t="s">
        <v>23</v>
      </c>
      <c r="K26" s="2" t="s">
        <v>23</v>
      </c>
      <c r="L26" s="2" t="s">
        <v>23</v>
      </c>
      <c r="M26" s="7" t="n">
        <f aca="false">E26-0.45-0.45</f>
        <v>1949.1</v>
      </c>
      <c r="N26" s="7" t="n">
        <f aca="false">F26-0.45-0.45</f>
        <v>91.1</v>
      </c>
      <c r="O26" s="8" t="s">
        <v>24</v>
      </c>
      <c r="P26" s="5" t="s">
        <v>32</v>
      </c>
    </row>
    <row r="27" customFormat="false" ht="54" hidden="false" customHeight="true" outlineLevel="0" collapsed="false">
      <c r="A27" s="2" t="s">
        <v>71</v>
      </c>
      <c r="B27" s="2" t="s">
        <v>69</v>
      </c>
      <c r="C27" s="5" t="s">
        <v>72</v>
      </c>
      <c r="D27" s="2" t="n">
        <v>1</v>
      </c>
      <c r="E27" s="2" t="n">
        <v>1950</v>
      </c>
      <c r="F27" s="2" t="n">
        <v>80</v>
      </c>
      <c r="G27" s="2" t="n">
        <v>15</v>
      </c>
      <c r="H27" s="6" t="n">
        <f aca="false">D27*E27*F27/1000000</f>
        <v>0.156</v>
      </c>
      <c r="I27" s="2" t="s">
        <v>23</v>
      </c>
      <c r="J27" s="2" t="s">
        <v>23</v>
      </c>
      <c r="K27" s="2" t="s">
        <v>23</v>
      </c>
      <c r="L27" s="2" t="s">
        <v>23</v>
      </c>
      <c r="M27" s="7" t="n">
        <f aca="false">E27-0.45-0.45</f>
        <v>1949.1</v>
      </c>
      <c r="N27" s="7" t="n">
        <f aca="false">F27-0.45-0.45</f>
        <v>79.1</v>
      </c>
      <c r="O27" s="8" t="s">
        <v>24</v>
      </c>
      <c r="P27" s="5" t="s">
        <v>32</v>
      </c>
    </row>
    <row r="28" customFormat="false" ht="54" hidden="false" customHeight="true" outlineLevel="0" collapsed="false">
      <c r="A28" s="2" t="s">
        <v>73</v>
      </c>
      <c r="B28" s="2" t="s">
        <v>69</v>
      </c>
      <c r="C28" s="5" t="s">
        <v>74</v>
      </c>
      <c r="D28" s="2" t="n">
        <v>3</v>
      </c>
      <c r="E28" s="2" t="n">
        <v>480</v>
      </c>
      <c r="F28" s="2" t="n">
        <v>80</v>
      </c>
      <c r="G28" s="2" t="n">
        <v>15</v>
      </c>
      <c r="H28" s="6" t="n">
        <f aca="false">D28*E28*F28/1000000</f>
        <v>0.1152</v>
      </c>
      <c r="I28" s="2" t="s">
        <v>23</v>
      </c>
      <c r="J28" s="2" t="s">
        <v>23</v>
      </c>
      <c r="K28" s="2" t="s">
        <v>23</v>
      </c>
      <c r="L28" s="2" t="s">
        <v>23</v>
      </c>
      <c r="M28" s="7" t="n">
        <f aca="false">E28-0.45-0.45</f>
        <v>479.1</v>
      </c>
      <c r="N28" s="7" t="n">
        <f aca="false">F28-0.45-0.45</f>
        <v>79.1</v>
      </c>
      <c r="O28" s="8" t="s">
        <v>24</v>
      </c>
      <c r="P28" s="5" t="s">
        <v>32</v>
      </c>
    </row>
    <row r="29" customFormat="false" ht="54" hidden="false" customHeight="true" outlineLevel="0" collapsed="false">
      <c r="A29" s="2" t="s">
        <v>75</v>
      </c>
      <c r="B29" s="2" t="s">
        <v>76</v>
      </c>
      <c r="C29" s="5" t="s">
        <v>77</v>
      </c>
      <c r="D29" s="2" t="n">
        <v>2</v>
      </c>
      <c r="E29" s="2" t="n">
        <v>2175</v>
      </c>
      <c r="F29" s="2" t="n">
        <v>975</v>
      </c>
      <c r="G29" s="2" t="n">
        <v>15</v>
      </c>
      <c r="H29" s="6" t="n">
        <f aca="false">D29*E29*F29/1000000</f>
        <v>4.24125</v>
      </c>
      <c r="I29" s="2" t="s">
        <v>22</v>
      </c>
      <c r="J29" s="2" t="s">
        <v>22</v>
      </c>
      <c r="K29" s="2" t="s">
        <v>22</v>
      </c>
      <c r="L29" s="2" t="s">
        <v>22</v>
      </c>
      <c r="M29" s="7" t="n">
        <f aca="false">E29-2-2</f>
        <v>2171</v>
      </c>
      <c r="N29" s="7" t="n">
        <f aca="false">F29-2-2</f>
        <v>971</v>
      </c>
      <c r="O29" s="8" t="s">
        <v>78</v>
      </c>
      <c r="P29" s="5" t="s">
        <v>79</v>
      </c>
    </row>
    <row r="30" customFormat="false" ht="54" hidden="false" customHeight="true" outlineLevel="0" collapsed="false">
      <c r="A30" s="2" t="s">
        <v>80</v>
      </c>
      <c r="B30" s="2" t="s">
        <v>20</v>
      </c>
      <c r="C30" s="5" t="s">
        <v>81</v>
      </c>
      <c r="D30" s="2" t="n">
        <v>1</v>
      </c>
      <c r="E30" s="2" t="n">
        <v>1950</v>
      </c>
      <c r="F30" s="2" t="n">
        <v>120</v>
      </c>
      <c r="G30" s="2" t="n">
        <v>15</v>
      </c>
      <c r="H30" s="6" t="n">
        <f aca="false">D30*E30*F30/1000000</f>
        <v>0.234</v>
      </c>
      <c r="I30" s="2" t="s">
        <v>22</v>
      </c>
      <c r="J30" s="2" t="s">
        <v>23</v>
      </c>
      <c r="K30" s="2" t="s">
        <v>22</v>
      </c>
      <c r="L30" s="2" t="s">
        <v>22</v>
      </c>
      <c r="M30" s="7" t="n">
        <f aca="false">E30-2-2</f>
        <v>1946</v>
      </c>
      <c r="N30" s="7" t="n">
        <f aca="false">F30-2-0.45</f>
        <v>117.55</v>
      </c>
      <c r="O30" s="8" t="s">
        <v>24</v>
      </c>
      <c r="P30" s="5" t="s">
        <v>82</v>
      </c>
    </row>
    <row r="31" customFormat="false" ht="15" hidden="false" customHeight="true" outlineLevel="0" collapsed="false">
      <c r="A31" s="2"/>
      <c r="B31" s="2"/>
      <c r="C31" s="2"/>
      <c r="D31" s="2"/>
      <c r="E31" s="2"/>
      <c r="F31" s="2"/>
      <c r="G31" s="2"/>
      <c r="H31" s="6"/>
      <c r="I31" s="2"/>
      <c r="J31" s="2"/>
      <c r="K31" s="2"/>
      <c r="L31" s="2"/>
      <c r="M31" s="2"/>
      <c r="N31" s="2"/>
      <c r="O31" s="2"/>
      <c r="P31" s="2"/>
    </row>
    <row r="32" customFormat="false" ht="15" hidden="false" customHeight="true" outlineLevel="0" collapsed="false">
      <c r="A32" s="2"/>
      <c r="B32" s="2"/>
      <c r="C32" s="2" t="s">
        <v>83</v>
      </c>
      <c r="D32" s="2" t="n">
        <f aca="false">SUM(D7:D30)</f>
        <v>44</v>
      </c>
      <c r="E32" s="2"/>
      <c r="F32" s="2"/>
      <c r="G32" s="2" t="s">
        <v>84</v>
      </c>
      <c r="H32" s="6" t="n">
        <f aca="false">SUM(H7:H30)</f>
        <v>18.99642</v>
      </c>
      <c r="I32" s="2"/>
      <c r="J32" s="2"/>
      <c r="K32" s="2"/>
      <c r="L32" s="2"/>
      <c r="M32" s="2"/>
      <c r="N32" s="2"/>
      <c r="O32" s="2"/>
      <c r="P32" s="2"/>
    </row>
    <row r="33" customFormat="false" ht="15" hidden="false" customHeight="true" outlineLevel="0" collapsed="false">
      <c r="A33" s="2" t="s">
        <v>85</v>
      </c>
      <c r="B33" s="2"/>
      <c r="C33" s="2"/>
      <c r="D33" s="2"/>
      <c r="E33" s="2"/>
      <c r="F33" s="2"/>
      <c r="G33" s="2"/>
      <c r="H33" s="2"/>
      <c r="I33" s="2"/>
      <c r="J33" s="2"/>
      <c r="K33" s="2"/>
      <c r="L33" s="2"/>
      <c r="M33" s="2"/>
      <c r="N33" s="2"/>
      <c r="O33" s="2"/>
      <c r="P33" s="2"/>
    </row>
    <row r="34" customFormat="false" ht="15" hidden="false" customHeight="true" outlineLevel="0" collapsed="false">
      <c r="A34" s="2"/>
      <c r="B34" s="2"/>
      <c r="C34" s="2"/>
      <c r="D34" s="2"/>
      <c r="E34" s="2"/>
      <c r="F34" s="2"/>
      <c r="G34" s="2"/>
      <c r="H34" s="2"/>
      <c r="I34" s="2"/>
      <c r="J34" s="2"/>
      <c r="K34" s="2"/>
      <c r="L34" s="2"/>
      <c r="M34" s="2"/>
      <c r="N34" s="2"/>
      <c r="O34" s="2"/>
      <c r="P3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75"/>
    <col collapsed="false" customWidth="true" hidden="false" outlineLevel="0" max="3" min="3" style="1" width="16"/>
    <col collapsed="false" customWidth="true" hidden="false" outlineLevel="0" max="4" min="4" style="1" width="14"/>
    <col collapsed="false" customWidth="true" hidden="false" outlineLevel="0" max="6" min="5" style="1" width="17"/>
    <col collapsed="false" customWidth="true" hidden="false" outlineLevel="0" max="7" min="7" style="1" width="15"/>
    <col collapsed="false" customWidth="true" hidden="false" outlineLevel="0" max="8" min="8" style="1" width="12"/>
    <col collapsed="false" customWidth="true" hidden="false" outlineLevel="0" max="9" min="9" style="1" width="14"/>
  </cols>
  <sheetData>
    <row r="1" customFormat="false" ht="15" hidden="false" customHeight="true" outlineLevel="0" collapsed="false">
      <c r="A1" s="2"/>
      <c r="B1" s="2"/>
      <c r="C1" s="2"/>
      <c r="D1" s="2"/>
      <c r="E1" s="2"/>
      <c r="F1" s="2"/>
      <c r="G1" s="2"/>
      <c r="H1" s="2"/>
      <c r="I1" s="2"/>
    </row>
    <row r="2" customFormat="false" ht="19.5" hidden="false" customHeight="true" outlineLevel="0" collapsed="false">
      <c r="A2" s="3" t="s">
        <v>86</v>
      </c>
      <c r="B2" s="2"/>
      <c r="C2" s="2"/>
      <c r="D2" s="2"/>
      <c r="E2" s="2"/>
      <c r="F2" s="2"/>
      <c r="G2" s="2"/>
      <c r="H2" s="2" t="s">
        <v>87</v>
      </c>
      <c r="I2" s="2" t="n">
        <v>0.05</v>
      </c>
    </row>
    <row r="3" customFormat="false" ht="15" hidden="false" customHeight="true" outlineLevel="0" collapsed="false">
      <c r="A3" s="2" t="s">
        <v>88</v>
      </c>
      <c r="B3" s="2"/>
      <c r="C3" s="2"/>
      <c r="D3" s="2"/>
      <c r="E3" s="2"/>
      <c r="F3" s="2"/>
      <c r="G3" s="2"/>
      <c r="H3" s="2"/>
      <c r="I3" s="2"/>
    </row>
    <row r="4" customFormat="false" ht="15" hidden="false" customHeight="true" outlineLevel="0" collapsed="false">
      <c r="A4" s="2"/>
      <c r="B4" s="2"/>
      <c r="C4" s="2"/>
      <c r="D4" s="2"/>
      <c r="E4" s="2"/>
      <c r="F4" s="2"/>
      <c r="G4" s="2"/>
      <c r="H4" s="2"/>
      <c r="I4" s="2"/>
    </row>
    <row r="5" customFormat="false" ht="15" hidden="false" customHeight="true" outlineLevel="0" collapsed="false">
      <c r="A5" s="2"/>
      <c r="B5" s="2"/>
      <c r="C5" s="2"/>
      <c r="D5" s="2"/>
      <c r="E5" s="2"/>
      <c r="F5" s="2"/>
      <c r="G5" s="2"/>
      <c r="H5" s="2"/>
      <c r="I5" s="2"/>
    </row>
    <row r="6" customFormat="false" ht="42" hidden="false" customHeight="true" outlineLevel="0" collapsed="false">
      <c r="A6" s="4" t="s">
        <v>89</v>
      </c>
      <c r="B6" s="4" t="s">
        <v>90</v>
      </c>
      <c r="C6" s="4" t="s">
        <v>91</v>
      </c>
      <c r="D6" s="4" t="s">
        <v>92</v>
      </c>
      <c r="E6" s="4" t="s">
        <v>93</v>
      </c>
      <c r="F6" s="4" t="s">
        <v>94</v>
      </c>
      <c r="G6" s="4" t="s">
        <v>95</v>
      </c>
      <c r="H6" s="4" t="s">
        <v>96</v>
      </c>
      <c r="I6" s="2"/>
    </row>
    <row r="7" customFormat="false" ht="60" hidden="false" customHeight="true" outlineLevel="0" collapsed="false">
      <c r="A7" s="2" t="s">
        <v>97</v>
      </c>
      <c r="B7" s="5" t="s">
        <v>98</v>
      </c>
      <c r="C7" s="9" t="n">
        <f aca="false">SUMPRODUCT(Despiece!$D$7:$D$30,Despiece!$E$7:$E$30,(Despiece!$I$7:$I$30="2")+(Despiece!$J$7:$J$30="2"))/1000+SUMPRODUCT(Despiece!$D$7:$D$30,Despiece!$F$7:$F$30,(Despiece!$K$7:$K$30="2")+(Despiece!$L$7:$L$30="2"))/1000</f>
        <v>31.644</v>
      </c>
      <c r="D7" s="2" t="n">
        <f aca="false">SUMPRODUCT(Despiece!$D$7:$D$30,(Despiece!$I$7:$I$30="2")+(Despiece!$J$7:$J$30="2")+(Despiece!$K$7:$K$30="2")+(Despiece!$L$7:$L$30="2"))</f>
        <v>30</v>
      </c>
      <c r="E7" s="7" t="n">
        <f aca="false">D7*$I$2</f>
        <v>1.5</v>
      </c>
      <c r="F7" s="2" t="n">
        <f aca="false">ROUNDUP((C7+E7)/5,0)*5</f>
        <v>35</v>
      </c>
      <c r="G7" s="2" t="n">
        <v>100</v>
      </c>
      <c r="H7" s="2" t="n">
        <f aca="false">ROUNDUP(F7/G7,0)</f>
        <v>1</v>
      </c>
      <c r="I7" s="2"/>
    </row>
    <row r="8" customFormat="false" ht="60" hidden="false" customHeight="true" outlineLevel="0" collapsed="false">
      <c r="A8" s="2" t="s">
        <v>99</v>
      </c>
      <c r="B8" s="5" t="s">
        <v>100</v>
      </c>
      <c r="C8" s="9" t="n">
        <f aca="false">SUMPRODUCT(Despiece!$D$7:$D$30,Despiece!$E$7:$E$30,(Despiece!$I$7:$I$30="0.45")+(Despiece!$J$7:$J$30="0.45"))/1000+SUMPRODUCT(Despiece!$D$7:$D$30,Despiece!$F$7:$F$30,(Despiece!$K$7:$K$30="0.45")+(Despiece!$L$7:$L$30="0.45"))/1000</f>
        <v>89.416</v>
      </c>
      <c r="D8" s="2" t="n">
        <f aca="false">SUMPRODUCT(Despiece!$D$7:$D$30,(Despiece!$I$7:$I$30="0.45")+(Despiece!$J$7:$J$30="0.45")+(Despiece!$K$7:$K$30="0.45")+(Despiece!$L$7:$L$30="0.45"))</f>
        <v>146</v>
      </c>
      <c r="E8" s="7" t="n">
        <f aca="false">D8*$I$2</f>
        <v>7.3</v>
      </c>
      <c r="F8" s="2" t="n">
        <f aca="false">ROUNDUP((C8+E8)/5,0)*5</f>
        <v>100</v>
      </c>
      <c r="G8" s="2" t="n">
        <v>200</v>
      </c>
      <c r="H8" s="2" t="n">
        <f aca="false">ROUNDUP(F8/G8,0)</f>
        <v>1</v>
      </c>
      <c r="I8" s="2"/>
    </row>
    <row r="9" customFormat="false" ht="15" hidden="false" customHeight="true" outlineLevel="0" collapsed="false">
      <c r="A9" s="2"/>
      <c r="B9" s="2"/>
      <c r="C9" s="2"/>
      <c r="D9" s="2"/>
      <c r="E9" s="2"/>
      <c r="F9" s="2"/>
      <c r="G9" s="2"/>
      <c r="H9" s="2"/>
      <c r="I9" s="2"/>
    </row>
    <row r="10" customFormat="false" ht="15" hidden="false" customHeight="true" outlineLevel="0" collapsed="false">
      <c r="A10" s="2" t="s">
        <v>101</v>
      </c>
      <c r="B10" s="2"/>
      <c r="C10" s="2"/>
      <c r="D10" s="2"/>
      <c r="E10" s="2"/>
      <c r="F10" s="2"/>
      <c r="G10" s="2"/>
      <c r="H10" s="2"/>
      <c r="I10" s="2"/>
    </row>
    <row r="11" customFormat="false" ht="15" hidden="false" customHeight="true" outlineLevel="0" collapsed="false">
      <c r="A11" s="2"/>
      <c r="B11" s="2"/>
      <c r="C11" s="2"/>
      <c r="D11" s="2"/>
      <c r="E11" s="2"/>
      <c r="F11" s="2"/>
      <c r="G11" s="2"/>
      <c r="H11" s="2"/>
      <c r="I11" s="2"/>
    </row>
    <row r="12" customFormat="false" ht="15" hidden="false" customHeight="true" outlineLevel="0" collapsed="false">
      <c r="A12" s="2"/>
      <c r="B12" s="2"/>
      <c r="C12" s="2"/>
      <c r="D12" s="2"/>
      <c r="E12" s="2"/>
      <c r="F12" s="2"/>
      <c r="G12" s="2"/>
      <c r="H12" s="2"/>
      <c r="I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25"/>
    <col collapsed="false" customWidth="true" hidden="false" outlineLevel="0" max="2" min="2" style="1" width="32"/>
    <col collapsed="false" customWidth="true" hidden="false" outlineLevel="0" max="3" min="3" style="1" width="12"/>
    <col collapsed="false" customWidth="true" hidden="false" outlineLevel="0" max="4" min="4" style="1" width="13"/>
    <col collapsed="false" customWidth="true" hidden="false" outlineLevel="0" max="5" min="5" style="1" width="17"/>
    <col collapsed="false" customWidth="true" hidden="false" outlineLevel="0" max="6" min="6" style="1" width="18"/>
    <col collapsed="false" customWidth="true" hidden="false" outlineLevel="0" max="7" min="7" style="1" width="24"/>
    <col collapsed="false" customWidth="true" hidden="false" outlineLevel="0" max="8" min="8" style="1" width="86"/>
    <col collapsed="false" customWidth="true" hidden="false" outlineLevel="0" max="9" min="9" style="1" width="3"/>
    <col collapsed="false" customWidth="true" hidden="false" outlineLevel="0" max="10" min="10" style="1" width="80"/>
  </cols>
  <sheetData>
    <row r="1" customFormat="false" ht="15" hidden="false" customHeight="true" outlineLevel="0" collapsed="false">
      <c r="A1" s="2"/>
      <c r="B1" s="2"/>
      <c r="C1" s="2"/>
      <c r="D1" s="2"/>
      <c r="E1" s="2"/>
      <c r="F1" s="2"/>
      <c r="G1" s="2"/>
      <c r="H1" s="2"/>
      <c r="I1" s="2"/>
      <c r="J1" s="2"/>
    </row>
    <row r="2" customFormat="false" ht="19.5" hidden="false" customHeight="true" outlineLevel="0" collapsed="false">
      <c r="A2" s="3" t="s">
        <v>102</v>
      </c>
      <c r="B2" s="2"/>
      <c r="C2" s="2"/>
      <c r="D2" s="2"/>
      <c r="E2" s="2"/>
      <c r="F2" s="2"/>
      <c r="G2" s="2"/>
      <c r="H2" s="2"/>
      <c r="I2" s="2"/>
      <c r="J2" s="2"/>
    </row>
    <row r="3" customFormat="false" ht="15" hidden="false" customHeight="true" outlineLevel="0" collapsed="false">
      <c r="A3" s="2" t="s">
        <v>103</v>
      </c>
      <c r="B3" s="2"/>
      <c r="C3" s="2"/>
      <c r="D3" s="2"/>
      <c r="E3" s="2"/>
      <c r="F3" s="2"/>
      <c r="G3" s="2"/>
      <c r="H3" s="2"/>
      <c r="I3" s="2"/>
      <c r="J3" s="2"/>
    </row>
    <row r="4" customFormat="false" ht="15" hidden="false" customHeight="true" outlineLevel="0" collapsed="false">
      <c r="A4" s="2" t="s">
        <v>104</v>
      </c>
      <c r="B4" s="2"/>
      <c r="C4" s="2"/>
      <c r="D4" s="2"/>
      <c r="E4" s="2"/>
      <c r="F4" s="2"/>
      <c r="G4" s="2"/>
      <c r="H4" s="2"/>
      <c r="I4" s="2"/>
      <c r="J4" s="2"/>
    </row>
    <row r="5" customFormat="false" ht="15" hidden="false" customHeight="true" outlineLevel="0" collapsed="false">
      <c r="A5" s="2"/>
      <c r="B5" s="2"/>
      <c r="C5" s="2"/>
      <c r="D5" s="2"/>
      <c r="E5" s="2"/>
      <c r="F5" s="2"/>
      <c r="G5" s="2"/>
      <c r="H5" s="2"/>
      <c r="I5" s="2"/>
      <c r="J5" s="2"/>
    </row>
    <row r="6" customFormat="false" ht="42" hidden="false" customHeight="true" outlineLevel="0" collapsed="false">
      <c r="A6" s="4" t="s">
        <v>105</v>
      </c>
      <c r="B6" s="4" t="s">
        <v>106</v>
      </c>
      <c r="C6" s="4" t="s">
        <v>107</v>
      </c>
      <c r="D6" s="4" t="s">
        <v>108</v>
      </c>
      <c r="E6" s="4" t="s">
        <v>109</v>
      </c>
      <c r="F6" s="4" t="s">
        <v>110</v>
      </c>
      <c r="G6" s="4" t="s">
        <v>17</v>
      </c>
      <c r="H6" s="4" t="s">
        <v>111</v>
      </c>
      <c r="I6" s="2"/>
      <c r="J6" s="2" t="s">
        <v>112</v>
      </c>
    </row>
    <row r="7" customFormat="false" ht="79.5" hidden="false" customHeight="true" outlineLevel="0" collapsed="false">
      <c r="A7" s="2" t="s">
        <v>113</v>
      </c>
      <c r="B7" s="5" t="s">
        <v>114</v>
      </c>
      <c r="C7" s="2" t="n">
        <v>5</v>
      </c>
      <c r="D7" s="2" t="s">
        <v>115</v>
      </c>
      <c r="E7" s="10" t="n">
        <v>365872</v>
      </c>
      <c r="F7" s="10" t="n">
        <f aca="false">IF(COUNT(C7,E7)=2,C7*E7,"Por cotizar")</f>
        <v>1829360</v>
      </c>
      <c r="G7" s="5" t="s">
        <v>116</v>
      </c>
      <c r="H7" s="5" t="s">
        <v>117</v>
      </c>
      <c r="I7" s="2"/>
      <c r="J7" s="5" t="s">
        <v>118</v>
      </c>
    </row>
    <row r="8" customFormat="false" ht="79.5" hidden="false" customHeight="true" outlineLevel="0" collapsed="false">
      <c r="A8" s="2" t="s">
        <v>119</v>
      </c>
      <c r="B8" s="5" t="s">
        <v>120</v>
      </c>
      <c r="C8" s="2" t="n">
        <f aca="false">Cantos!H7</f>
        <v>1</v>
      </c>
      <c r="D8" s="2" t="s">
        <v>121</v>
      </c>
      <c r="E8" s="10" t="n">
        <v>531600</v>
      </c>
      <c r="F8" s="10" t="n">
        <f aca="false">IF(COUNT(C8,E8)=2,C8*E8,"Por cotizar")</f>
        <v>531600</v>
      </c>
      <c r="G8" s="5" t="s">
        <v>122</v>
      </c>
      <c r="H8" s="5" t="s">
        <v>123</v>
      </c>
      <c r="I8" s="2"/>
      <c r="J8" s="5" t="s">
        <v>124</v>
      </c>
    </row>
    <row r="9" customFormat="false" ht="79.5" hidden="false" customHeight="true" outlineLevel="0" collapsed="false">
      <c r="A9" s="2" t="s">
        <v>125</v>
      </c>
      <c r="B9" s="5" t="s">
        <v>126</v>
      </c>
      <c r="C9" s="2" t="n">
        <f aca="false">Cantos!H8</f>
        <v>1</v>
      </c>
      <c r="D9" s="2" t="s">
        <v>121</v>
      </c>
      <c r="E9" s="10" t="n">
        <v>285600</v>
      </c>
      <c r="F9" s="10" t="n">
        <f aca="false">IF(COUNT(C9,E9)=2,C9*E9,"Por cotizar")</f>
        <v>285600</v>
      </c>
      <c r="G9" s="5" t="s">
        <v>122</v>
      </c>
      <c r="H9" s="5" t="s">
        <v>127</v>
      </c>
      <c r="I9" s="2"/>
      <c r="J9" s="5" t="s">
        <v>128</v>
      </c>
    </row>
    <row r="10" customFormat="false" ht="79.5" hidden="false" customHeight="true" outlineLevel="0" collapsed="false">
      <c r="A10" s="2" t="s">
        <v>129</v>
      </c>
      <c r="B10" s="5" t="s">
        <v>130</v>
      </c>
      <c r="C10" s="2" t="n">
        <v>3</v>
      </c>
      <c r="D10" s="2" t="s">
        <v>131</v>
      </c>
      <c r="E10" s="10" t="n">
        <v>11287</v>
      </c>
      <c r="F10" s="10" t="n">
        <f aca="false">IF(COUNT(C10,E10)=2,C10*E10,"Por cotizar")</f>
        <v>33861</v>
      </c>
      <c r="G10" s="5" t="s">
        <v>132</v>
      </c>
      <c r="H10" s="5" t="s">
        <v>133</v>
      </c>
      <c r="I10" s="2"/>
      <c r="J10" s="5" t="s">
        <v>134</v>
      </c>
    </row>
    <row r="11" customFormat="false" ht="79.5" hidden="false" customHeight="true" outlineLevel="0" collapsed="false">
      <c r="A11" s="2" t="s">
        <v>135</v>
      </c>
      <c r="B11" s="5" t="s">
        <v>136</v>
      </c>
      <c r="C11" s="2" t="n">
        <v>1</v>
      </c>
      <c r="D11" s="2" t="s">
        <v>137</v>
      </c>
      <c r="E11" s="10" t="n">
        <v>12730</v>
      </c>
      <c r="F11" s="10" t="n">
        <f aca="false">IF(COUNT(C11,E11)=2,C11*E11,"Por cotizar")</f>
        <v>12730</v>
      </c>
      <c r="G11" s="5" t="s">
        <v>138</v>
      </c>
      <c r="H11" s="5" t="s">
        <v>139</v>
      </c>
      <c r="I11" s="2"/>
      <c r="J11" s="5" t="s">
        <v>140</v>
      </c>
    </row>
    <row r="12" customFormat="false" ht="79.5" hidden="false" customHeight="true" outlineLevel="0" collapsed="false">
      <c r="A12" s="2" t="s">
        <v>141</v>
      </c>
      <c r="B12" s="5" t="s">
        <v>142</v>
      </c>
      <c r="C12" s="2" t="n">
        <v>1</v>
      </c>
      <c r="D12" s="2" t="s">
        <v>143</v>
      </c>
      <c r="E12" s="10" t="n">
        <v>33278</v>
      </c>
      <c r="F12" s="10" t="n">
        <f aca="false">IF(COUNT(C12,E12)=2,C12*E12,"Por cotizar")</f>
        <v>33278</v>
      </c>
      <c r="G12" s="5" t="s">
        <v>132</v>
      </c>
      <c r="H12" s="5" t="s">
        <v>144</v>
      </c>
      <c r="I12" s="2"/>
      <c r="J12" s="5" t="s">
        <v>145</v>
      </c>
    </row>
    <row r="13" customFormat="false" ht="79.5" hidden="false" customHeight="true" outlineLevel="0" collapsed="false">
      <c r="A13" s="2" t="s">
        <v>146</v>
      </c>
      <c r="B13" s="5" t="s">
        <v>147</v>
      </c>
      <c r="C13" s="2" t="n">
        <v>2</v>
      </c>
      <c r="D13" s="2" t="s">
        <v>148</v>
      </c>
      <c r="E13" s="10" t="n">
        <v>2743</v>
      </c>
      <c r="F13" s="10" t="n">
        <f aca="false">IF(COUNT(C13,E13)=2,C13*E13,"Por cotizar")</f>
        <v>5486</v>
      </c>
      <c r="G13" s="5" t="s">
        <v>149</v>
      </c>
      <c r="H13" s="5" t="s">
        <v>150</v>
      </c>
      <c r="I13" s="2"/>
      <c r="J13" s="5" t="s">
        <v>151</v>
      </c>
    </row>
    <row r="14" customFormat="false" ht="79.5" hidden="false" customHeight="true" outlineLevel="0" collapsed="false">
      <c r="A14" s="2" t="s">
        <v>152</v>
      </c>
      <c r="B14" s="5" t="s">
        <v>153</v>
      </c>
      <c r="C14" s="2"/>
      <c r="D14" s="2" t="s">
        <v>154</v>
      </c>
      <c r="E14" s="10"/>
      <c r="F14" s="10" t="str">
        <f aca="false">IF(COUNT(C14,E14)=2,C14*E14,"Por cotizar")</f>
        <v>Por cotizar</v>
      </c>
      <c r="G14" s="5" t="s">
        <v>155</v>
      </c>
      <c r="H14" s="5" t="s">
        <v>156</v>
      </c>
      <c r="I14" s="2"/>
      <c r="J14" s="5" t="s">
        <v>157</v>
      </c>
    </row>
    <row r="15" customFormat="false" ht="79.5" hidden="false" customHeight="true" outlineLevel="0" collapsed="false">
      <c r="A15" s="2" t="s">
        <v>158</v>
      </c>
      <c r="B15" s="5" t="s">
        <v>159</v>
      </c>
      <c r="C15" s="2" t="n">
        <v>3</v>
      </c>
      <c r="D15" s="2" t="s">
        <v>160</v>
      </c>
      <c r="E15" s="10"/>
      <c r="F15" s="10" t="str">
        <f aca="false">IF(COUNT(C15,E15)=2,C15*E15,"Por cotizar")</f>
        <v>Por cotizar</v>
      </c>
      <c r="G15" s="5" t="s">
        <v>161</v>
      </c>
      <c r="H15" s="5" t="s">
        <v>162</v>
      </c>
      <c r="I15" s="2"/>
      <c r="J15" s="5" t="s">
        <v>163</v>
      </c>
    </row>
    <row r="16" customFormat="false" ht="79.5" hidden="false" customHeight="true" outlineLevel="0" collapsed="false">
      <c r="A16" s="2" t="s">
        <v>158</v>
      </c>
      <c r="B16" s="5" t="s">
        <v>164</v>
      </c>
      <c r="C16" s="2" t="n">
        <v>6</v>
      </c>
      <c r="D16" s="2" t="s">
        <v>148</v>
      </c>
      <c r="E16" s="10"/>
      <c r="F16" s="10" t="str">
        <f aca="false">IF(COUNT(C16,E16)=2,C16*E16,"Por cotizar")</f>
        <v>Por cotizar</v>
      </c>
      <c r="G16" s="5" t="s">
        <v>161</v>
      </c>
      <c r="H16" s="5" t="s">
        <v>165</v>
      </c>
      <c r="I16" s="2"/>
      <c r="J16" s="5" t="s">
        <v>166</v>
      </c>
    </row>
    <row r="17" customFormat="false" ht="79.5" hidden="false" customHeight="true" outlineLevel="0" collapsed="false">
      <c r="A17" s="2" t="s">
        <v>167</v>
      </c>
      <c r="B17" s="5" t="s">
        <v>168</v>
      </c>
      <c r="C17" s="2" t="n">
        <v>6</v>
      </c>
      <c r="D17" s="2" t="s">
        <v>148</v>
      </c>
      <c r="E17" s="10"/>
      <c r="F17" s="10" t="str">
        <f aca="false">IF(COUNT(C17,E17)=2,C17*E17,"Por cotizar")</f>
        <v>Por cotizar</v>
      </c>
      <c r="G17" s="5" t="s">
        <v>161</v>
      </c>
      <c r="H17" s="5" t="s">
        <v>169</v>
      </c>
      <c r="I17" s="2"/>
      <c r="J17" s="5" t="s">
        <v>170</v>
      </c>
    </row>
    <row r="18" customFormat="false" ht="79.5" hidden="false" customHeight="true" outlineLevel="0" collapsed="false">
      <c r="A18" s="2" t="s">
        <v>167</v>
      </c>
      <c r="B18" s="5" t="s">
        <v>171</v>
      </c>
      <c r="C18" s="2" t="n">
        <v>1</v>
      </c>
      <c r="D18" s="2" t="s">
        <v>172</v>
      </c>
      <c r="E18" s="10"/>
      <c r="F18" s="10" t="str">
        <f aca="false">IF(COUNT(C18,E18)=2,C18*E18,"Por cotizar")</f>
        <v>Por cotizar</v>
      </c>
      <c r="G18" s="5" t="s">
        <v>161</v>
      </c>
      <c r="H18" s="5" t="s">
        <v>173</v>
      </c>
      <c r="I18" s="2"/>
      <c r="J18" s="5" t="s">
        <v>174</v>
      </c>
    </row>
    <row r="19" customFormat="false" ht="79.5" hidden="false" customHeight="true" outlineLevel="0" collapsed="false">
      <c r="A19" s="2" t="s">
        <v>175</v>
      </c>
      <c r="B19" s="5" t="s">
        <v>176</v>
      </c>
      <c r="C19" s="2" t="n">
        <v>1</v>
      </c>
      <c r="D19" s="2" t="s">
        <v>177</v>
      </c>
      <c r="E19" s="10"/>
      <c r="F19" s="10" t="str">
        <f aca="false">IF(COUNT(C19,E19)=2,C19*E19,"Por cotizar")</f>
        <v>Por cotizar</v>
      </c>
      <c r="G19" s="5" t="s">
        <v>161</v>
      </c>
      <c r="H19" s="5" t="s">
        <v>178</v>
      </c>
      <c r="I19" s="2"/>
      <c r="J19" s="5" t="s">
        <v>179</v>
      </c>
    </row>
    <row r="20" customFormat="false" ht="79.5" hidden="false" customHeight="true" outlineLevel="0" collapsed="false">
      <c r="A20" s="2" t="s">
        <v>158</v>
      </c>
      <c r="B20" s="5" t="s">
        <v>180</v>
      </c>
      <c r="C20" s="2" t="n">
        <v>1</v>
      </c>
      <c r="D20" s="2" t="s">
        <v>172</v>
      </c>
      <c r="E20" s="10"/>
      <c r="F20" s="10" t="str">
        <f aca="false">IF(COUNT(C20,E20)=2,C20*E20,"Por cotizar")</f>
        <v>Por cotizar</v>
      </c>
      <c r="G20" s="5" t="s">
        <v>161</v>
      </c>
      <c r="H20" s="5" t="s">
        <v>181</v>
      </c>
      <c r="I20" s="2"/>
      <c r="J20" s="5" t="s">
        <v>166</v>
      </c>
    </row>
    <row r="21" customFormat="false" ht="79.5" hidden="false" customHeight="true" outlineLevel="0" collapsed="false">
      <c r="A21" s="2" t="s">
        <v>182</v>
      </c>
      <c r="B21" s="5" t="s">
        <v>183</v>
      </c>
      <c r="C21" s="2" t="n">
        <v>1</v>
      </c>
      <c r="D21" s="2" t="s">
        <v>184</v>
      </c>
      <c r="E21" s="10"/>
      <c r="F21" s="10" t="str">
        <f aca="false">IF(COUNT(C21,E21)=2,C21*E21,"Por cotizar")</f>
        <v>Por cotizar</v>
      </c>
      <c r="G21" s="5" t="s">
        <v>161</v>
      </c>
      <c r="H21" s="5" t="s">
        <v>185</v>
      </c>
      <c r="I21" s="2"/>
      <c r="J21" s="5" t="s">
        <v>186</v>
      </c>
    </row>
    <row r="22" customFormat="false" ht="23.25" hidden="false" customHeight="true" outlineLevel="0" collapsed="false">
      <c r="A22" s="11" t="s">
        <v>187</v>
      </c>
      <c r="B22" s="11"/>
      <c r="C22" s="11"/>
      <c r="D22" s="11"/>
      <c r="E22" s="12"/>
      <c r="F22" s="12" t="n">
        <f aca="false">SUM(F7:F21)</f>
        <v>2731915</v>
      </c>
      <c r="G22" s="11"/>
      <c r="H22" s="13" t="s">
        <v>188</v>
      </c>
      <c r="I22" s="2"/>
      <c r="J22" s="2"/>
    </row>
    <row r="23" customFormat="false" ht="15" hidden="false" customHeight="true" outlineLevel="0" collapsed="false">
      <c r="A23" s="2"/>
      <c r="B23" s="2"/>
      <c r="C23" s="2"/>
      <c r="D23" s="2"/>
      <c r="E23" s="2"/>
      <c r="F23" s="2"/>
      <c r="G23" s="2"/>
      <c r="H23" s="2"/>
      <c r="I23" s="2"/>
      <c r="J23" s="2"/>
    </row>
    <row r="24" customFormat="false" ht="15" hidden="false" customHeight="true" outlineLevel="0" collapsed="false">
      <c r="A24" s="2"/>
      <c r="B24" s="2"/>
      <c r="C24" s="2"/>
      <c r="D24" s="2"/>
      <c r="E24" s="2"/>
      <c r="F24" s="2"/>
      <c r="G24" s="2"/>
      <c r="H24" s="2"/>
      <c r="I24" s="2"/>
      <c r="J2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20"/>
    <col collapsed="false" customWidth="true" hidden="false" outlineLevel="0" max="2" min="2" style="1" width="29"/>
    <col collapsed="false" customWidth="true" hidden="false" outlineLevel="0" max="3" min="3" style="1" width="112"/>
    <col collapsed="false" customWidth="true" hidden="false" outlineLevel="0" max="4" min="4" style="1" width="44"/>
  </cols>
  <sheetData>
    <row r="1" customFormat="false" ht="15" hidden="false" customHeight="true" outlineLevel="0" collapsed="false">
      <c r="A1" s="2"/>
      <c r="B1" s="2"/>
      <c r="C1" s="2"/>
      <c r="D1" s="2"/>
    </row>
    <row r="2" customFormat="false" ht="19.5" hidden="false" customHeight="true" outlineLevel="0" collapsed="false">
      <c r="A2" s="3" t="s">
        <v>189</v>
      </c>
      <c r="B2" s="2"/>
      <c r="C2" s="2"/>
      <c r="D2" s="2"/>
    </row>
    <row r="3" customFormat="false" ht="15" hidden="false" customHeight="true" outlineLevel="0" collapsed="false">
      <c r="A3" s="2" t="s">
        <v>190</v>
      </c>
      <c r="B3" s="2"/>
      <c r="C3" s="2"/>
      <c r="D3" s="2"/>
    </row>
    <row r="4" customFormat="false" ht="15" hidden="false" customHeight="true" outlineLevel="0" collapsed="false">
      <c r="A4" s="2"/>
      <c r="B4" s="2"/>
      <c r="C4" s="2"/>
      <c r="D4" s="2"/>
    </row>
    <row r="5" customFormat="false" ht="15" hidden="false" customHeight="true" outlineLevel="0" collapsed="false">
      <c r="A5" s="2"/>
      <c r="B5" s="2"/>
      <c r="C5" s="2"/>
      <c r="D5" s="2"/>
    </row>
    <row r="6" customFormat="false" ht="42" hidden="false" customHeight="true" outlineLevel="0" collapsed="false">
      <c r="A6" s="4" t="s">
        <v>17</v>
      </c>
      <c r="B6" s="4" t="s">
        <v>191</v>
      </c>
      <c r="C6" s="4" t="s">
        <v>192</v>
      </c>
      <c r="D6" s="4" t="s">
        <v>193</v>
      </c>
    </row>
    <row r="7" customFormat="false" ht="72" hidden="false" customHeight="true" outlineLevel="0" collapsed="false">
      <c r="A7" s="2" t="s">
        <v>194</v>
      </c>
      <c r="B7" s="5" t="s">
        <v>195</v>
      </c>
      <c r="C7" s="5" t="s">
        <v>196</v>
      </c>
      <c r="D7" s="5" t="s">
        <v>197</v>
      </c>
    </row>
    <row r="8" customFormat="false" ht="72" hidden="false" customHeight="true" outlineLevel="0" collapsed="false">
      <c r="A8" s="2" t="s">
        <v>198</v>
      </c>
      <c r="B8" s="5" t="s">
        <v>199</v>
      </c>
      <c r="C8" s="5" t="s">
        <v>200</v>
      </c>
      <c r="D8" s="5" t="s">
        <v>201</v>
      </c>
    </row>
    <row r="9" customFormat="false" ht="72" hidden="false" customHeight="true" outlineLevel="0" collapsed="false">
      <c r="A9" s="2" t="s">
        <v>202</v>
      </c>
      <c r="B9" s="5" t="s">
        <v>203</v>
      </c>
      <c r="C9" s="5" t="s">
        <v>204</v>
      </c>
      <c r="D9" s="5" t="s">
        <v>205</v>
      </c>
    </row>
    <row r="10" customFormat="false" ht="72" hidden="false" customHeight="true" outlineLevel="0" collapsed="false">
      <c r="A10" s="2" t="s">
        <v>202</v>
      </c>
      <c r="B10" s="5" t="s">
        <v>206</v>
      </c>
      <c r="C10" s="5" t="s">
        <v>207</v>
      </c>
      <c r="D10" s="5" t="s">
        <v>208</v>
      </c>
    </row>
    <row r="11" customFormat="false" ht="72" hidden="false" customHeight="true" outlineLevel="0" collapsed="false">
      <c r="A11" s="2" t="s">
        <v>209</v>
      </c>
      <c r="B11" s="5" t="s">
        <v>210</v>
      </c>
      <c r="C11" s="5" t="s">
        <v>211</v>
      </c>
      <c r="D11" s="5" t="s">
        <v>212</v>
      </c>
    </row>
    <row r="12" customFormat="false" ht="72" hidden="false" customHeight="true" outlineLevel="0" collapsed="false">
      <c r="A12" s="2" t="s">
        <v>209</v>
      </c>
      <c r="B12" s="5" t="s">
        <v>213</v>
      </c>
      <c r="C12" s="5" t="s">
        <v>214</v>
      </c>
      <c r="D12" s="5" t="s">
        <v>215</v>
      </c>
    </row>
    <row r="13" customFormat="false" ht="72" hidden="false" customHeight="true" outlineLevel="0" collapsed="false">
      <c r="A13" s="2" t="s">
        <v>209</v>
      </c>
      <c r="B13" s="5" t="s">
        <v>216</v>
      </c>
      <c r="C13" s="5" t="s">
        <v>217</v>
      </c>
      <c r="D13" s="5" t="s">
        <v>218</v>
      </c>
    </row>
    <row r="14" customFormat="false" ht="72" hidden="false" customHeight="true" outlineLevel="0" collapsed="false">
      <c r="A14" s="2" t="s">
        <v>219</v>
      </c>
      <c r="B14" s="5" t="s">
        <v>220</v>
      </c>
      <c r="C14" s="5" t="s">
        <v>221</v>
      </c>
      <c r="D14" s="5" t="s">
        <v>222</v>
      </c>
    </row>
    <row r="15" customFormat="false" ht="72" hidden="false" customHeight="true" outlineLevel="0" collapsed="false">
      <c r="A15" s="2" t="s">
        <v>219</v>
      </c>
      <c r="B15" s="5" t="s">
        <v>223</v>
      </c>
      <c r="C15" s="5" t="s">
        <v>224</v>
      </c>
      <c r="D15" s="5" t="s">
        <v>166</v>
      </c>
    </row>
    <row r="16" customFormat="false" ht="72" hidden="false" customHeight="true" outlineLevel="0" collapsed="false">
      <c r="A16" s="2" t="s">
        <v>209</v>
      </c>
      <c r="B16" s="5" t="s">
        <v>225</v>
      </c>
      <c r="C16" s="5" t="s">
        <v>226</v>
      </c>
      <c r="D16" s="5" t="s">
        <v>227</v>
      </c>
    </row>
    <row r="17" customFormat="false" ht="72" hidden="false" customHeight="true" outlineLevel="0" collapsed="false">
      <c r="A17" s="2" t="s">
        <v>219</v>
      </c>
      <c r="B17" s="5" t="s">
        <v>228</v>
      </c>
      <c r="C17" s="5" t="s">
        <v>229</v>
      </c>
      <c r="D17" s="5" t="s">
        <v>230</v>
      </c>
    </row>
    <row r="18" customFormat="false" ht="72" hidden="false" customHeight="true" outlineLevel="0" collapsed="false">
      <c r="A18" s="2" t="s">
        <v>219</v>
      </c>
      <c r="B18" s="5" t="s">
        <v>231</v>
      </c>
      <c r="C18" s="5" t="s">
        <v>232</v>
      </c>
      <c r="D18" s="5" t="s">
        <v>233</v>
      </c>
    </row>
    <row r="19" customFormat="false" ht="72" hidden="false" customHeight="true" outlineLevel="0" collapsed="false">
      <c r="A19" s="2" t="s">
        <v>219</v>
      </c>
      <c r="B19" s="5" t="s">
        <v>234</v>
      </c>
      <c r="C19" s="5" t="s">
        <v>235</v>
      </c>
      <c r="D19" s="5" t="s">
        <v>236</v>
      </c>
    </row>
    <row r="20" customFormat="false" ht="72" hidden="false" customHeight="true" outlineLevel="0" collapsed="false">
      <c r="A20" s="2"/>
      <c r="B20" s="5" t="s">
        <v>237</v>
      </c>
      <c r="C20" s="5" t="s">
        <v>238</v>
      </c>
      <c r="D20" s="5"/>
    </row>
    <row r="21" customFormat="false" ht="15" hidden="false" customHeight="true" outlineLevel="0" collapsed="false">
      <c r="A21" s="2"/>
      <c r="B21" s="2"/>
      <c r="C21" s="2"/>
      <c r="D21" s="2"/>
    </row>
    <row r="22" customFormat="false" ht="15" hidden="false" customHeight="true" outlineLevel="0" collapsed="false">
      <c r="A22" s="2"/>
      <c r="B22" s="2"/>
      <c r="C22" s="2"/>
      <c r="D22" s="2"/>
    </row>
    <row r="23" customFormat="false" ht="15" hidden="false" customHeight="true" outlineLevel="0" collapsed="false">
      <c r="A23" s="2"/>
      <c r="B23" s="2"/>
      <c r="C23" s="2"/>
      <c r="D23" s="2"/>
    </row>
    <row r="24" customFormat="false" ht="15" hidden="false" customHeight="true" outlineLevel="0" collapsed="false">
      <c r="A24" s="2"/>
      <c r="B24" s="2"/>
      <c r="C24" s="2"/>
      <c r="D2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2026-10-27T06:58:59Z</dcterms:created>
  <dc:creator>openpyxl</dc:creator>
  <dc:description/>
  <dc:language>en-US</dc:language>
  <cp:lastModifiedBy/>
  <dcterms:modified xsi:type="dcterms:W3CDTF">2026-10-27T07:06:11Z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