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244556b93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tes" sheetId="1" r:id="R60c4fb6338c14e49"/>
    <x:sheet xmlns:r="http://schemas.openxmlformats.org/officeDocument/2006/relationships" name="Instrucciones" sheetId="2" r:id="Rb8448a60c29b4dcb"/>
    <x:sheet xmlns:r="http://schemas.openxmlformats.org/officeDocument/2006/relationships" name="Control del pedido" sheetId="3" r:id="R88bf30f3948846d6"/>
    <x:sheet xmlns:r="http://schemas.openxmlformats.org/officeDocument/2006/relationships" name="Recepción y canteo" sheetId="4" r:id="R595868d2e1a4403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56" formatCode="&quot;上午/下午 &quot;hh&quot;時&quot;mm&quot;分&quot;ss&quot;秒 &quot;"/>
    <x:numFmt numFmtId="200" formatCode="0.00"/>
    <x:numFmt numFmtId="201" formatCode="0"/>
    <x:numFmt numFmtId="202" formatCode="0%"/>
    <x:numFmt numFmtId="203" formatCode="0.000"/>
  </x:numFmts>
  <x:fonts count="6">
    <x:font>
      <x:sz val="12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2"/>
      <x:color theme="1"/>
      <x:name val="Arial"/>
      <x:family val="2"/>
      <x:scheme val="minor"/>
    </x:font>
    <x:font>
      <x:sz val="10"/>
      <x:color theme="1"/>
      <x:name val="Arial"/>
      <x:family val="2"/>
      <x:scheme val="minor"/>
    </x:font>
    <x:font>
      <x:sz val="16"/>
      <x:color theme="1"/>
      <x:name val="Arial"/>
      <x:family val="2"/>
      <x:scheme val="minor"/>
    </x:font>
    <x:font>
      <x:sz val="10"/>
      <x:color rgb="FFFFFFFF"/>
      <x:name val="Arial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3B35"/>
      </x:patternFill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 applyNumberFormat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/>
    <x:xf numFmtId="0" fontId="3" fillId="4" borderId="0" xfId="0" applyNumberFormat="1" applyFont="1" applyFill="1" applyBorder="1"/>
    <x:xf numFmtId="203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6219906a945de" /><Relationship Type="http://schemas.openxmlformats.org/officeDocument/2006/relationships/theme" Target="/xl/theme/theme1.xml" Id="R0252340427f647ca" /><Relationship Type="http://schemas.openxmlformats.org/officeDocument/2006/relationships/sheetMetadata" Target="/xl/metadata1.xml" Id="Rf646baae7ec94339" /><Relationship Type="http://schemas.openxmlformats.org/officeDocument/2006/relationships/sharedStrings" Target="/xl/sharedStrings.xml" Id="R47b0e5025f9448ab" /><Relationship Type="http://schemas.openxmlformats.org/officeDocument/2006/relationships/worksheet" Target="/xl/worksheets/sheet1.xml" Id="R60c4fb6338c14e49" /><Relationship Type="http://schemas.openxmlformats.org/officeDocument/2006/relationships/worksheet" Target="/xl/worksheets/sheet2.xml" Id="Rb8448a60c29b4dcb" /><Relationship Type="http://schemas.openxmlformats.org/officeDocument/2006/relationships/worksheet" Target="/xl/worksheets/sheet3.xml" Id="R88bf30f3948846d6" /><Relationship Type="http://schemas.openxmlformats.org/officeDocument/2006/relationships/worksheet" Target="/xl/worksheets/sheet4.xml" Id="R595868d2e1a440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83203125" customWidth="1"/>
    <col min="2" max="2" width="14.83203125" customWidth="1"/>
    <col min="3" max="3" width="10.83203125" customWidth="1"/>
    <col min="4" max="4" width="74" hidden="0" customWidth="1"/>
    <col min="5" max="5" width="12.83203125" customWidth="1"/>
    <col min="6" max="6" width="20" hidden="0" customWidth="1"/>
    <col min="7" max="7" width="20" hidden="0" customWidth="1"/>
    <col min="8" max="8" width="20" hidden="0" customWidth="1"/>
    <col min="9" max="9" width="20" hidden="0" customWidth="1"/>
    <col min="10" max="10" width="40.83203125" customWidth="1"/>
  </cols>
  <sheetData>
    <row r="1" ht="30" customHeight="1">
      <c r="A1" t="str">
        <v>Ancho (mm)</v>
      </c>
      <c r="B1" t="str">
        <v>Alto (mm)</v>
      </c>
      <c r="C1" t="str">
        <v>Cantidad</v>
      </c>
      <c r="D1" t="str">
        <v>Descripción</v>
      </c>
      <c r="E1" t="str">
        <v>Veta</v>
      </c>
      <c r="F1" t="str">
        <v>Canto Superior</v>
      </c>
      <c r="G1" t="str">
        <v>Canto Inferior</v>
      </c>
      <c r="H1" t="str">
        <v>Canto Izquierdo</v>
      </c>
      <c r="I1" t="str">
        <v>Canto Derecho</v>
      </c>
      <c r="J1" t="str">
        <v>Servicios</v>
      </c>
    </row>
    <row r="2" ht="66" customHeight="1">
      <c r="A2" s="5" t="n">
        <v>785</v>
      </c>
      <c r="B2" s="5" t="n">
        <v>580</v>
      </c>
      <c r="C2" s="6" t="n">
        <v>2</v>
      </c>
      <c r="D2" s="4" t="str">
        <v>Cocina P001 · B1 Condimentero 18 · Lateral · RH15 · FINAL CON CANTO</v>
      </c>
      <c r="E2" s="3" t="str">
        <v>Horizontal</v>
      </c>
      <c r="F2" s="3" t="str">
        <v>Flexible 0,45 mm</v>
      </c>
      <c r="G2" s="3"/>
      <c r="H2" s="3" t="str">
        <v>Flexible 0,45 mm</v>
      </c>
      <c r="I2" s="3"/>
      <c r="J2" s="3"/>
    </row>
    <row r="3" ht="66" customHeight="1">
      <c r="A3" s="5" t="n">
        <v>150</v>
      </c>
      <c r="B3" s="5" t="n">
        <v>580</v>
      </c>
      <c r="C3" s="6" t="n">
        <v>1</v>
      </c>
      <c r="D3" s="4" t="str">
        <v>Cocina P002 · B1 Condimentero 18 · Piso · RH15 · FINAL CON CANTO</v>
      </c>
      <c r="E3" s="3" t="str">
        <v>Horizontal</v>
      </c>
      <c r="F3" s="3" t="str">
        <v>Flexible 0,45 mm</v>
      </c>
      <c r="G3" s="3"/>
      <c r="H3" s="3"/>
      <c r="I3" s="3"/>
      <c r="J3" s="3"/>
    </row>
    <row r="4" ht="66" customHeight="1">
      <c r="A4" s="5" t="n">
        <v>150</v>
      </c>
      <c r="B4" s="5" t="n">
        <v>100</v>
      </c>
      <c r="C4" s="6" t="n">
        <v>2</v>
      </c>
      <c r="D4" s="4" t="str">
        <v>Cocina P003 · B1 Condimentero 18 · Travesaño horizontal · RH15 · FINAL CON CANTO</v>
      </c>
      <c r="E4" s="3" t="str">
        <v>Horizontal</v>
      </c>
      <c r="F4" s="3" t="str">
        <v>Flexible 0,45 mm</v>
      </c>
      <c r="G4" s="3" t="str">
        <v>Flexible 0,45 mm</v>
      </c>
      <c r="H4" s="3"/>
      <c r="I4" s="3"/>
      <c r="J4" s="3"/>
    </row>
    <row r="5" ht="66" customHeight="1">
      <c r="A5" s="5" t="n">
        <v>732</v>
      </c>
      <c r="B5" s="5" t="n">
        <v>177</v>
      </c>
      <c r="C5" s="6" t="n">
        <v>1</v>
      </c>
      <c r="D5" s="4" t="str">
        <v>Cocina P005 · B1 Condimentero 18 · Frente condimentero · RH15 · FINAL CON CANTO</v>
      </c>
      <c r="E5" s="3" t="str">
        <v>Horizontal</v>
      </c>
      <c r="F5" s="3" t="str">
        <v>Rígido 2 mm</v>
      </c>
      <c r="G5" s="3" t="str">
        <v>Rígido 2 mm</v>
      </c>
      <c r="H5" s="3" t="str">
        <v>Rígido 2 mm</v>
      </c>
      <c r="I5" s="3" t="str">
        <v>Rígido 2 mm</v>
      </c>
      <c r="J5" s="3"/>
    </row>
    <row r="6" ht="66" customHeight="1">
      <c r="A6" s="5" t="n">
        <v>785</v>
      </c>
      <c r="B6" s="5" t="n">
        <v>580</v>
      </c>
      <c r="C6" s="6" t="n">
        <v>2</v>
      </c>
      <c r="D6" s="4" t="str">
        <v>Cocina P006 · B2 Horno y estufa 60 · Lateral · RH15 · FINAL CON CANTO</v>
      </c>
      <c r="E6" s="3" t="str">
        <v>Horizontal</v>
      </c>
      <c r="F6" s="3" t="str">
        <v>Flexible 0,45 mm</v>
      </c>
      <c r="G6" s="3"/>
      <c r="H6" s="3" t="str">
        <v>Flexible 0,45 mm</v>
      </c>
      <c r="I6" s="3"/>
      <c r="J6" s="3"/>
    </row>
    <row r="7" ht="66" customHeight="1">
      <c r="A7" s="5" t="n">
        <v>570</v>
      </c>
      <c r="B7" s="5" t="n">
        <v>580</v>
      </c>
      <c r="C7" s="6" t="n">
        <v>1</v>
      </c>
      <c r="D7" s="4" t="str">
        <v>Cocina P007 · B2 Horno y estufa 60 · Piso de apoyo horno (validar montaje) · RH15 · FINAL CON CANTO</v>
      </c>
      <c r="E7" s="3" t="str">
        <v>Horizontal</v>
      </c>
      <c r="F7" s="3" t="str">
        <v>Flexible 0,45 mm</v>
      </c>
      <c r="G7" s="3"/>
      <c r="H7" s="3"/>
      <c r="I7" s="3"/>
      <c r="J7" s="3"/>
    </row>
    <row r="8" ht="66" customHeight="1">
      <c r="A8" s="5" t="n">
        <v>570</v>
      </c>
      <c r="B8" s="5" t="n">
        <v>100</v>
      </c>
      <c r="C8" s="6" t="n">
        <v>1</v>
      </c>
      <c r="D8" s="4" t="str">
        <v>Cocina P008 · B2 Horno y estufa 60 · Travesaño trasero · RH15 · FINAL CON CANTO</v>
      </c>
      <c r="E8" s="3" t="str">
        <v>Horizontal</v>
      </c>
      <c r="F8" s="3" t="str">
        <v>Flexible 0,45 mm</v>
      </c>
      <c r="G8" s="3"/>
      <c r="H8" s="3"/>
      <c r="I8" s="3"/>
      <c r="J8" s="3"/>
    </row>
    <row r="9" ht="66" customHeight="1">
      <c r="A9" s="5" t="n">
        <v>570</v>
      </c>
      <c r="B9" s="5" t="n">
        <v>500</v>
      </c>
      <c r="C9" s="6" t="n">
        <v>1</v>
      </c>
      <c r="D9" s="4" t="str">
        <v>Cocina P009 · B2 Horno y estufa 60 · Repisa sobre horno (posición por manual) · RH15 · FINAL CON CANTO</v>
      </c>
      <c r="E9" s="3" t="str">
        <v>Horizontal</v>
      </c>
      <c r="F9" s="3" t="str">
        <v>Flexible 0,45 mm</v>
      </c>
      <c r="G9" s="3"/>
      <c r="H9" s="3"/>
      <c r="I9" s="3"/>
      <c r="J9" s="3"/>
    </row>
    <row r="10" ht="66" customHeight="1">
      <c r="A10" s="5" t="n">
        <v>570</v>
      </c>
      <c r="B10" s="5" t="n">
        <v>80</v>
      </c>
      <c r="C10" s="6" t="n">
        <v>1</v>
      </c>
      <c r="D10" s="4" t="str">
        <v>Cocina P010 · B2 Horno y estufa 60 · Listón frontal de apoyo del mesón (de canto) · RH15 · FINAL CON CANTO</v>
      </c>
      <c r="E10" s="3" t="str">
        <v>Horizontal</v>
      </c>
      <c r="F10" s="3" t="str">
        <v>Flexible 0,45 mm</v>
      </c>
      <c r="G10" s="3"/>
      <c r="H10" s="3"/>
      <c r="I10" s="3"/>
      <c r="J10" s="3"/>
    </row>
    <row r="11" ht="66" customHeight="1">
      <c r="A11" s="5" t="n">
        <v>160</v>
      </c>
      <c r="B11" s="5" t="n">
        <v>597</v>
      </c>
      <c r="C11" s="6" t="n">
        <v>1</v>
      </c>
      <c r="D11" s="4" t="str">
        <v>Cocina P011 · B2 Horno y estufa 60 · Panel fijo bajo estufa (ajustar con equipo) · RH15 · FINAL CON CANTO</v>
      </c>
      <c r="E11" s="3" t="str">
        <v>Horizontal</v>
      </c>
      <c r="F11" s="3" t="str">
        <v>Flexible 0,45 mm</v>
      </c>
      <c r="G11" s="3" t="str">
        <v>Flexible 0,45 mm</v>
      </c>
      <c r="H11" s="3" t="str">
        <v>Flexible 0,45 mm</v>
      </c>
      <c r="I11" s="3"/>
      <c r="J11" s="3"/>
    </row>
    <row r="12" ht="66" customHeight="1">
      <c r="A12" s="5" t="n">
        <v>785</v>
      </c>
      <c r="B12" s="5" t="n">
        <v>580</v>
      </c>
      <c r="C12" s="6" t="n">
        <v>2</v>
      </c>
      <c r="D12" s="4" t="str">
        <v>Cocina P012 · B3 Cubiertero y puertas 67 · Lateral · RH15 · FINAL CON CANTO</v>
      </c>
      <c r="E12" s="3" t="str">
        <v>Horizontal</v>
      </c>
      <c r="F12" s="3" t="str">
        <v>Flexible 0,45 mm</v>
      </c>
      <c r="G12" s="3"/>
      <c r="H12" s="3" t="str">
        <v>Flexible 0,45 mm</v>
      </c>
      <c r="I12" s="3"/>
      <c r="J12" s="3"/>
    </row>
    <row r="13" ht="66" customHeight="1">
      <c r="A13" s="5" t="n">
        <v>640</v>
      </c>
      <c r="B13" s="5" t="n">
        <v>580</v>
      </c>
      <c r="C13" s="6" t="n">
        <v>1</v>
      </c>
      <c r="D13" s="4" t="str">
        <v>Cocina P013 · B3 Cubiertero y puertas 67 · Piso · RH15 · FINAL CON CANTO</v>
      </c>
      <c r="E13" s="3" t="str">
        <v>Horizontal</v>
      </c>
      <c r="F13" s="3" t="str">
        <v>Flexible 0,45 mm</v>
      </c>
      <c r="G13" s="3"/>
      <c r="H13" s="3"/>
      <c r="I13" s="3"/>
      <c r="J13" s="3"/>
    </row>
    <row r="14" ht="66" customHeight="1">
      <c r="A14" s="5" t="n">
        <v>640</v>
      </c>
      <c r="B14" s="5" t="n">
        <v>100</v>
      </c>
      <c r="C14" s="6" t="n">
        <v>2</v>
      </c>
      <c r="D14" s="4" t="str">
        <v>Cocina P014 · B3 Cubiertero y puertas 67 · Travesaño horizontal · RH15 · FINAL CON CANTO</v>
      </c>
      <c r="E14" s="3" t="str">
        <v>Horizontal</v>
      </c>
      <c r="F14" s="3" t="str">
        <v>Flexible 0,45 mm</v>
      </c>
      <c r="G14" s="3" t="str">
        <v>Flexible 0,45 mm</v>
      </c>
      <c r="H14" s="3"/>
      <c r="I14" s="3"/>
      <c r="J14" s="3"/>
    </row>
    <row r="15" ht="66" customHeight="1">
      <c r="A15" s="5" t="n">
        <v>167</v>
      </c>
      <c r="B15" s="5" t="n">
        <v>667</v>
      </c>
      <c r="C15" s="6" t="n">
        <v>1</v>
      </c>
      <c r="D15" s="4" t="str">
        <v>Cocina P016 · B3 Cubiertero y puertas 67 · Frente cajón superior cubiertero · RH15 · FINAL CON CANTO</v>
      </c>
      <c r="E15" s="3" t="str">
        <v>Horizontal</v>
      </c>
      <c r="F15" s="3" t="str">
        <v>Rígido 2 mm</v>
      </c>
      <c r="G15" s="3" t="str">
        <v>Rígido 2 mm</v>
      </c>
      <c r="H15" s="3" t="str">
        <v>Rígido 2 mm</v>
      </c>
      <c r="I15" s="3" t="str">
        <v>Rígido 2 mm</v>
      </c>
      <c r="J15" s="3"/>
    </row>
    <row r="16" ht="66" customHeight="1">
      <c r="A16" s="5" t="n">
        <v>613</v>
      </c>
      <c r="B16" s="5" t="n">
        <v>550</v>
      </c>
      <c r="C16" s="6" t="n">
        <v>1</v>
      </c>
      <c r="D16" s="4" t="str">
        <v>Cocina P017 · B3 Cubiertero y puertas 67 · Cajón: base aplicada inferior · RH15 · FINAL CON CANTO</v>
      </c>
      <c r="E16" s="3" t="str">
        <v>Horizontal</v>
      </c>
      <c r="F16" s="3" t="str">
        <v>Flexible 0,45 mm</v>
      </c>
      <c r="G16" s="3"/>
      <c r="H16" s="3" t="str">
        <v>Flexible 0,45 mm</v>
      </c>
      <c r="I16" s="3" t="str">
        <v>Flexible 0,45 mm</v>
      </c>
      <c r="J16" s="3"/>
    </row>
    <row r="17" ht="66" customHeight="1">
      <c r="A17" s="5" t="n">
        <v>550</v>
      </c>
      <c r="B17" s="5" t="n">
        <v>75</v>
      </c>
      <c r="C17" s="6" t="n">
        <v>2</v>
      </c>
      <c r="D17" s="4" t="str">
        <v>Cocina P018 · B3 Cubiertero y puertas 67 · Cajón: costado · RH15 · FINAL CON CANTO</v>
      </c>
      <c r="E17" s="3" t="str">
        <v>Horizontal</v>
      </c>
      <c r="F17" s="3" t="str">
        <v>Flexible 0,45 mm</v>
      </c>
      <c r="G17" s="3"/>
      <c r="H17" s="3" t="str">
        <v>Flexible 0,45 mm</v>
      </c>
      <c r="I17" s="3"/>
      <c r="J17" s="3"/>
    </row>
    <row r="18" ht="66" customHeight="1">
      <c r="A18" s="5" t="n">
        <v>583</v>
      </c>
      <c r="B18" s="5" t="n">
        <v>75</v>
      </c>
      <c r="C18" s="6" t="n">
        <v>2</v>
      </c>
      <c r="D18" s="4" t="str">
        <v>Cocina P019 · B3 Cubiertero y puertas 67 · Cajón: frente y trasero interiores · RH15 · FINAL CON CANTO</v>
      </c>
      <c r="E18" s="3" t="str">
        <v>Horizontal</v>
      </c>
      <c r="F18" s="3" t="str">
        <v>Flexible 0,45 mm</v>
      </c>
      <c r="G18" s="3"/>
      <c r="H18" s="3"/>
      <c r="I18" s="3"/>
      <c r="J18" s="3"/>
    </row>
    <row r="19" ht="66" customHeight="1">
      <c r="A19" s="5" t="n">
        <v>537</v>
      </c>
      <c r="B19" s="5" t="n">
        <v>332</v>
      </c>
      <c r="C19" s="6" t="n">
        <v>1</v>
      </c>
      <c r="D19" s="4" t="str">
        <v>Cocina P020 · B3 Cubiertero y puertas 67 · Puerta inferior izquierda · RH15 · FINAL CON CANTO</v>
      </c>
      <c r="E19" s="3" t="str">
        <v>Horizontal</v>
      </c>
      <c r="F19" s="3" t="str">
        <v>Rígido 2 mm</v>
      </c>
      <c r="G19" s="3" t="str">
        <v>Rígido 2 mm</v>
      </c>
      <c r="H19" s="3" t="str">
        <v>Rígido 2 mm</v>
      </c>
      <c r="I19" s="3" t="str">
        <v>Rígido 2 mm</v>
      </c>
      <c r="J19" s="3"/>
    </row>
    <row r="20" ht="66" customHeight="1">
      <c r="A20" s="5" t="n">
        <v>537</v>
      </c>
      <c r="B20" s="5" t="n">
        <v>332</v>
      </c>
      <c r="C20" s="6" t="n">
        <v>1</v>
      </c>
      <c r="D20" s="4" t="str">
        <v>Cocina P021 · B3 Cubiertero y puertas 67 · Puerta inferior derecha · RH15 · FINAL CON CANTO</v>
      </c>
      <c r="E20" s="3" t="str">
        <v>Horizontal</v>
      </c>
      <c r="F20" s="3" t="str">
        <v>Rígido 2 mm</v>
      </c>
      <c r="G20" s="3" t="str">
        <v>Rígido 2 mm</v>
      </c>
      <c r="H20" s="3" t="str">
        <v>Rígido 2 mm</v>
      </c>
      <c r="I20" s="3" t="str">
        <v>Rígido 2 mm</v>
      </c>
      <c r="J20" s="3"/>
    </row>
    <row r="21" ht="66" customHeight="1">
      <c r="A21" s="5" t="n">
        <v>638</v>
      </c>
      <c r="B21" s="5" t="n">
        <v>550</v>
      </c>
      <c r="C21" s="6" t="n">
        <v>1</v>
      </c>
      <c r="D21" s="4" t="str">
        <v>Cocina P022 · B3 Cubiertero y puertas 67 · Entrepaño regulable inferior · RH15 · FINAL CON CANTO</v>
      </c>
      <c r="E21" s="3" t="str">
        <v>Horizontal</v>
      </c>
      <c r="F21" s="3" t="str">
        <v>Flexible 0,45 mm</v>
      </c>
      <c r="G21" s="3"/>
      <c r="H21" s="3"/>
      <c r="I21" s="3"/>
      <c r="J21" s="3"/>
    </row>
    <row r="22" ht="66" customHeight="1">
      <c r="A22" s="5" t="n">
        <v>785</v>
      </c>
      <c r="B22" s="5" t="n">
        <v>580</v>
      </c>
      <c r="C22" s="6" t="n">
        <v>2</v>
      </c>
      <c r="D22" s="4" t="str">
        <v>Cocina P023 · B5 Lavaplatos 70 · Lateral · RH15 · FINAL CON CANTO</v>
      </c>
      <c r="E22" s="3" t="str">
        <v>Horizontal</v>
      </c>
      <c r="F22" s="3" t="str">
        <v>Flexible 0,45 mm</v>
      </c>
      <c r="G22" s="3"/>
      <c r="H22" s="3" t="str">
        <v>Flexible 0,45 mm</v>
      </c>
      <c r="I22" s="3"/>
      <c r="J22" s="3"/>
    </row>
    <row r="23" ht="66" customHeight="1">
      <c r="A23" s="5" t="n">
        <v>670</v>
      </c>
      <c r="B23" s="5" t="n">
        <v>580</v>
      </c>
      <c r="C23" s="6" t="n">
        <v>1</v>
      </c>
      <c r="D23" s="4" t="str">
        <v>Cocina P024 · B5 Lavaplatos 70 · Piso · RH15 · FINAL CON CANTO</v>
      </c>
      <c r="E23" s="3" t="str">
        <v>Horizontal</v>
      </c>
      <c r="F23" s="3" t="str">
        <v>Flexible 0,45 mm</v>
      </c>
      <c r="G23" s="3"/>
      <c r="H23" s="3"/>
      <c r="I23" s="3"/>
      <c r="J23" s="3"/>
    </row>
    <row r="24" ht="66" customHeight="1">
      <c r="A24" s="5" t="n">
        <v>670</v>
      </c>
      <c r="B24" s="5" t="n">
        <v>100</v>
      </c>
      <c r="C24" s="6" t="n">
        <v>2</v>
      </c>
      <c r="D24" s="4" t="str">
        <v>Cocina P025 · B5 Lavaplatos 70 · Travesaño de canto · RH15 · FINAL CON CANTO</v>
      </c>
      <c r="E24" s="3" t="str">
        <v>Horizontal</v>
      </c>
      <c r="F24" s="3" t="str">
        <v>Flexible 0,45 mm</v>
      </c>
      <c r="G24" s="3" t="str">
        <v>Flexible 0,45 mm</v>
      </c>
      <c r="H24" s="3" t="str">
        <v>Flexible 0,45 mm</v>
      </c>
      <c r="I24" s="3" t="str">
        <v>Flexible 0,45 mm</v>
      </c>
      <c r="J24" s="3"/>
    </row>
    <row r="25" ht="66" customHeight="1">
      <c r="A25" s="5" t="n">
        <v>732</v>
      </c>
      <c r="B25" s="5" t="n">
        <v>347</v>
      </c>
      <c r="C25" s="6" t="n">
        <v>1</v>
      </c>
      <c r="D25" s="4" t="str">
        <v>Cocina P027 · B5 Lavaplatos 70 · Puerta izquierda · RH15 · FINAL CON CANTO</v>
      </c>
      <c r="E25" s="3" t="str">
        <v>Horizontal</v>
      </c>
      <c r="F25" s="3" t="str">
        <v>Rígido 2 mm</v>
      </c>
      <c r="G25" s="3" t="str">
        <v>Rígido 2 mm</v>
      </c>
      <c r="H25" s="3" t="str">
        <v>Rígido 2 mm</v>
      </c>
      <c r="I25" s="3" t="str">
        <v>Rígido 2 mm</v>
      </c>
      <c r="J25" s="3"/>
    </row>
    <row r="26" ht="66" customHeight="1">
      <c r="A26" s="5" t="n">
        <v>732</v>
      </c>
      <c r="B26" s="5" t="n">
        <v>347</v>
      </c>
      <c r="C26" s="6" t="n">
        <v>1</v>
      </c>
      <c r="D26" s="4" t="str">
        <v>Cocina P028 · B5 Lavaplatos 70 · Puerta derecha · RH15 · FINAL CON CANTO</v>
      </c>
      <c r="E26" s="3" t="str">
        <v>Horizontal</v>
      </c>
      <c r="F26" s="3" t="str">
        <v>Rígido 2 mm</v>
      </c>
      <c r="G26" s="3" t="str">
        <v>Rígido 2 mm</v>
      </c>
      <c r="H26" s="3" t="str">
        <v>Rígido 2 mm</v>
      </c>
      <c r="I26" s="3" t="str">
        <v>Rígido 2 mm</v>
      </c>
      <c r="J26" s="3"/>
    </row>
    <row r="27" ht="66" customHeight="1">
      <c r="A27" s="5" t="n">
        <v>668</v>
      </c>
      <c r="B27" s="5" t="n">
        <v>520</v>
      </c>
      <c r="C27" s="6" t="n">
        <v>1</v>
      </c>
      <c r="D27" s="4" t="str">
        <v>Cocina P029 · B5 Lavaplatos 70 · Entrepaño desmontable; recortar sifón en obra · RH15 · FINAL CON CANTO</v>
      </c>
      <c r="E27" s="3" t="str">
        <v>Horizontal</v>
      </c>
      <c r="F27" s="3" t="str">
        <v>Flexible 0,45 mm</v>
      </c>
      <c r="G27" s="3" t="str">
        <v>Flexible 0,45 mm</v>
      </c>
      <c r="H27" s="3" t="str">
        <v>Flexible 0,45 mm</v>
      </c>
      <c r="I27" s="3" t="str">
        <v>Flexible 0,45 mm</v>
      </c>
      <c r="J27" s="3"/>
    </row>
    <row r="28" ht="66" customHeight="1">
      <c r="A28" s="5" t="n">
        <v>785</v>
      </c>
      <c r="B28" s="5" t="n">
        <v>580</v>
      </c>
      <c r="C28" s="6" t="n">
        <v>2</v>
      </c>
      <c r="D28" s="4" t="str">
        <v>Cocina P030 · B4 Basurero y puerta 40 · Lateral · RH15 · FINAL CON CANTO</v>
      </c>
      <c r="E28" s="3" t="str">
        <v>Horizontal</v>
      </c>
      <c r="F28" s="3" t="str">
        <v>Flexible 0,45 mm</v>
      </c>
      <c r="G28" s="3"/>
      <c r="H28" s="3" t="str">
        <v>Flexible 0,45 mm</v>
      </c>
      <c r="I28" s="3"/>
      <c r="J28" s="3"/>
    </row>
    <row r="29" ht="66" customHeight="1">
      <c r="A29" s="5" t="n">
        <v>370</v>
      </c>
      <c r="B29" s="5" t="n">
        <v>580</v>
      </c>
      <c r="C29" s="6" t="n">
        <v>1</v>
      </c>
      <c r="D29" s="4" t="str">
        <v>Cocina P031 · B4 Basurero y puerta 40 · Piso · RH15 · FINAL CON CANTO</v>
      </c>
      <c r="E29" s="3" t="str">
        <v>Horizontal</v>
      </c>
      <c r="F29" s="3" t="str">
        <v>Flexible 0,45 mm</v>
      </c>
      <c r="G29" s="3"/>
      <c r="H29" s="3"/>
      <c r="I29" s="3"/>
      <c r="J29" s="3"/>
    </row>
    <row r="30" ht="66" customHeight="1">
      <c r="A30" s="5" t="n">
        <v>370</v>
      </c>
      <c r="B30" s="5" t="n">
        <v>100</v>
      </c>
      <c r="C30" s="6" t="n">
        <v>2</v>
      </c>
      <c r="D30" s="4" t="str">
        <v>Cocina P032 · B4 Basurero y puerta 40 · Travesaño horizontal · RH15 · FINAL CON CANTO</v>
      </c>
      <c r="E30" s="3" t="str">
        <v>Horizontal</v>
      </c>
      <c r="F30" s="3" t="str">
        <v>Flexible 0,45 mm</v>
      </c>
      <c r="G30" s="3" t="str">
        <v>Flexible 0,45 mm</v>
      </c>
      <c r="H30" s="3"/>
      <c r="I30" s="3"/>
      <c r="J30" s="3"/>
    </row>
    <row r="31" ht="66" customHeight="1">
      <c r="A31" s="5" t="n">
        <v>370</v>
      </c>
      <c r="B31" s="5" t="n">
        <v>550</v>
      </c>
      <c r="C31" s="6" t="n">
        <v>1</v>
      </c>
      <c r="D31" s="4" t="str">
        <v>Cocina P034 · B4 Basurero y puerta 40 · Entrepaño FIJO separador superior/basurero · RH15 · FINAL CON CANTO</v>
      </c>
      <c r="E31" s="3" t="str">
        <v>Horizontal</v>
      </c>
      <c r="F31" s="3" t="str">
        <v>Flexible 0,45 mm</v>
      </c>
      <c r="G31" s="3"/>
      <c r="H31" s="3"/>
      <c r="I31" s="3"/>
      <c r="J31" s="3"/>
    </row>
    <row r="32" ht="66" customHeight="1">
      <c r="A32" s="5" t="n">
        <v>402</v>
      </c>
      <c r="B32" s="5" t="n">
        <v>397</v>
      </c>
      <c r="C32" s="6" t="n">
        <v>1</v>
      </c>
      <c r="D32" s="4" t="str">
        <v>Cocina P035 · B4 Basurero y puerta 40 · Puerta superior · RH15 · FINAL CON CANTO</v>
      </c>
      <c r="E32" s="3" t="str">
        <v>Horizontal</v>
      </c>
      <c r="F32" s="3" t="str">
        <v>Rígido 2 mm</v>
      </c>
      <c r="G32" s="3" t="str">
        <v>Rígido 2 mm</v>
      </c>
      <c r="H32" s="3" t="str">
        <v>Rígido 2 mm</v>
      </c>
      <c r="I32" s="3" t="str">
        <v>Rígido 2 mm</v>
      </c>
      <c r="J32" s="3"/>
    </row>
    <row r="33" ht="66" customHeight="1">
      <c r="A33" s="5" t="n">
        <v>302</v>
      </c>
      <c r="B33" s="5" t="n">
        <v>397</v>
      </c>
      <c r="C33" s="6" t="n">
        <v>1</v>
      </c>
      <c r="D33" s="4" t="str">
        <v>Cocina P036 · B4 Basurero y puerta 40 · Frente inferior extraíble basurero · RH15 · FINAL CON CANTO</v>
      </c>
      <c r="E33" s="3" t="str">
        <v>Horizontal</v>
      </c>
      <c r="F33" s="3" t="str">
        <v>Rígido 2 mm</v>
      </c>
      <c r="G33" s="3" t="str">
        <v>Rígido 2 mm</v>
      </c>
      <c r="H33" s="3" t="str">
        <v>Rígido 2 mm</v>
      </c>
      <c r="I33" s="3" t="str">
        <v>Rígido 2 mm</v>
      </c>
      <c r="J33" s="3"/>
    </row>
    <row r="34" ht="66" customHeight="1">
      <c r="A34" s="5" t="n">
        <v>882</v>
      </c>
      <c r="B34" s="5" t="n">
        <v>595</v>
      </c>
      <c r="C34" s="6" t="n">
        <v>1</v>
      </c>
      <c r="D34" s="4" t="str">
        <v>Cocina P037 · B6 Terminación · Costado de terminación · RH15 · FINAL CON CANTO</v>
      </c>
      <c r="E34" s="3" t="str">
        <v>Horizontal</v>
      </c>
      <c r="F34" s="3" t="str">
        <v>Rígido 2 mm</v>
      </c>
      <c r="G34" s="3"/>
      <c r="H34" s="3" t="str">
        <v>Rígido 2 mm</v>
      </c>
      <c r="I34" s="3"/>
      <c r="J34" s="3"/>
    </row>
    <row r="35" ht="66" customHeight="1">
      <c r="A35" s="5" t="n">
        <v>1275</v>
      </c>
      <c r="B35" s="5" t="n">
        <v>97</v>
      </c>
      <c r="C35" s="6" t="n">
        <v>2</v>
      </c>
      <c r="D35" s="4" t="str">
        <v>Cocina P038 · B6 Terminación · Zócalo retranqueado (dos tramos) · RH15 · FINAL CON CANTO</v>
      </c>
      <c r="E35" s="3" t="str">
        <v>Horizontal</v>
      </c>
      <c r="F35" s="3" t="str">
        <v>Flexible 0,45 mm</v>
      </c>
      <c r="G35" s="3" t="str">
        <v>Flexible 0,45 mm</v>
      </c>
      <c r="H35" s="3" t="str">
        <v>Flexible 0,45 mm</v>
      </c>
      <c r="I35" s="3" t="str">
        <v>Flexible 0,45 mm</v>
      </c>
      <c r="J35" s="3"/>
    </row>
    <row r="36" ht="66" customHeight="1">
      <c r="A36" s="5" t="n">
        <v>700</v>
      </c>
      <c r="B36" s="5" t="n">
        <v>320</v>
      </c>
      <c r="C36" s="6" t="n">
        <v>2</v>
      </c>
      <c r="D36" s="4" t="str">
        <v>Cocina P039 · S1 Alacena 19,5 · Lateral · RH15 · FINAL CON CANTO</v>
      </c>
      <c r="E36" s="3" t="str">
        <v>Horizontal</v>
      </c>
      <c r="F36" s="3" t="str">
        <v>Flexible 0,45 mm</v>
      </c>
      <c r="G36" s="3"/>
      <c r="H36" s="3" t="str">
        <v>Flexible 0,45 mm</v>
      </c>
      <c r="I36" s="3" t="str">
        <v>Flexible 0,45 mm</v>
      </c>
      <c r="J36" s="3"/>
    </row>
    <row r="37" ht="66" customHeight="1">
      <c r="A37" s="5" t="n">
        <v>165</v>
      </c>
      <c r="B37" s="5" t="n">
        <v>320</v>
      </c>
      <c r="C37" s="6" t="n">
        <v>1</v>
      </c>
      <c r="D37" s="4" t="str">
        <v>Cocina P040 · S1 Alacena 19,5 · Techo · RH15 · FINAL CON CANTO</v>
      </c>
      <c r="E37" s="3" t="str">
        <v>Horizontal</v>
      </c>
      <c r="F37" s="3" t="str">
        <v>Flexible 0,45 mm</v>
      </c>
      <c r="G37" s="3"/>
      <c r="H37" s="3"/>
      <c r="I37" s="3"/>
      <c r="J37" s="3"/>
    </row>
    <row r="38" ht="66" customHeight="1">
      <c r="A38" s="5" t="n">
        <v>165</v>
      </c>
      <c r="B38" s="5" t="n">
        <v>320</v>
      </c>
      <c r="C38" s="6" t="n">
        <v>1</v>
      </c>
      <c r="D38" s="4" t="str">
        <v>Cocina P041 · S1 Alacena 19,5 · Piso · RH15 · FINAL CON CANTO</v>
      </c>
      <c r="E38" s="3" t="str">
        <v>Horizontal</v>
      </c>
      <c r="F38" s="3" t="str">
        <v>Flexible 0,45 mm</v>
      </c>
      <c r="G38" s="3"/>
      <c r="H38" s="3"/>
      <c r="I38" s="3"/>
      <c r="J38" s="3"/>
    </row>
    <row r="39" ht="66" customHeight="1">
      <c r="A39" s="5" t="n">
        <v>163</v>
      </c>
      <c r="B39" s="5" t="n">
        <v>300</v>
      </c>
      <c r="C39" s="6" t="n">
        <v>1</v>
      </c>
      <c r="D39" s="4" t="str">
        <v>Cocina P043 · S1 Alacena 19,5 · Entrepaño regulable · RH15 · FINAL CON CANTO</v>
      </c>
      <c r="E39" s="3" t="str">
        <v>Horizontal</v>
      </c>
      <c r="F39" s="3" t="str">
        <v>Flexible 0,45 mm</v>
      </c>
      <c r="G39" s="3"/>
      <c r="H39" s="3"/>
      <c r="I39" s="3"/>
      <c r="J39" s="3"/>
    </row>
    <row r="40" ht="66" customHeight="1">
      <c r="A40" s="5" t="n">
        <v>717</v>
      </c>
      <c r="B40" s="5" t="n">
        <v>192</v>
      </c>
      <c r="C40" s="6" t="n">
        <v>1</v>
      </c>
      <c r="D40" s="4" t="str">
        <v>Cocina P044 · S1 Alacena 19,5 · Puerta · RH15 · FINAL CON CANTO</v>
      </c>
      <c r="E40" s="3" t="str">
        <v>Horizontal</v>
      </c>
      <c r="F40" s="3" t="str">
        <v>Rígido 2 mm</v>
      </c>
      <c r="G40" s="3" t="str">
        <v>Rígido 2 mm</v>
      </c>
      <c r="H40" s="3" t="str">
        <v>Rígido 2 mm</v>
      </c>
      <c r="I40" s="3" t="str">
        <v>Rígido 2 mm</v>
      </c>
      <c r="J40" s="3"/>
    </row>
    <row r="41" ht="66" customHeight="1">
      <c r="A41" s="5" t="n">
        <v>350</v>
      </c>
      <c r="B41" s="5" t="n">
        <v>320</v>
      </c>
      <c r="C41" s="6" t="n">
        <v>2</v>
      </c>
      <c r="D41" s="4" t="str">
        <v>Cocina P045 · S2 Gabinete ducto 60 · Lateral · RH15 · FINAL CON CANTO</v>
      </c>
      <c r="E41" s="3" t="str">
        <v>Horizontal</v>
      </c>
      <c r="F41" s="3" t="str">
        <v>Flexible 0,45 mm</v>
      </c>
      <c r="G41" s="3"/>
      <c r="H41" s="3" t="str">
        <v>Flexible 0,45 mm</v>
      </c>
      <c r="I41" s="3" t="str">
        <v>Flexible 0,45 mm</v>
      </c>
      <c r="J41" s="3"/>
    </row>
    <row r="42" ht="66" customHeight="1">
      <c r="A42" s="5" t="n">
        <v>570</v>
      </c>
      <c r="B42" s="5" t="n">
        <v>320</v>
      </c>
      <c r="C42" s="6" t="n">
        <v>1</v>
      </c>
      <c r="D42" s="4" t="str">
        <v>Cocina P046 · S2 Gabinete ducto 60 · Techo (perforar solo si el ducto sale hacia arriba; definir con manual) · RH15 · FINAL CON CANTO</v>
      </c>
      <c r="E42" s="3" t="str">
        <v>Horizontal</v>
      </c>
      <c r="F42" s="3" t="str">
        <v>Flexible 0,45 mm</v>
      </c>
      <c r="G42" s="3"/>
      <c r="H42" s="3"/>
      <c r="I42" s="3"/>
      <c r="J42" s="3"/>
    </row>
    <row r="43" ht="66" customHeight="1">
      <c r="A43" s="5" t="n">
        <v>570</v>
      </c>
      <c r="B43" s="5" t="n">
        <v>320</v>
      </c>
      <c r="C43" s="6" t="n">
        <v>1</v>
      </c>
      <c r="D43" s="4" t="str">
        <v>Cocina P047 · S2 Gabinete ducto 60 · Piso elevado 40 mm para agarre inferior; perforar para ducto (diámetro y posición según manual de campana) · RH15 · FINAL CON CANTO</v>
      </c>
      <c r="E43" s="3" t="str">
        <v>Horizontal</v>
      </c>
      <c r="F43" s="3" t="str">
        <v>Flexible 0,45 mm</v>
      </c>
      <c r="G43" s="3"/>
      <c r="H43" s="3"/>
      <c r="I43" s="3"/>
      <c r="J43" s="3"/>
    </row>
    <row r="44" ht="66" customHeight="1">
      <c r="A44" s="5" t="n">
        <v>347</v>
      </c>
      <c r="B44" s="5" t="n">
        <v>597</v>
      </c>
      <c r="C44" s="6" t="n">
        <v>1</v>
      </c>
      <c r="D44" s="4" t="str">
        <v>Cocina P049 · S2 Gabinete ducto 60 · Puerta abatible superior · RH15 · FINAL CON CANTO</v>
      </c>
      <c r="E44" s="3" t="str">
        <v>Horizontal</v>
      </c>
      <c r="F44" s="3" t="str">
        <v>Rígido 2 mm</v>
      </c>
      <c r="G44" s="3" t="str">
        <v>Rígido 2 mm</v>
      </c>
      <c r="H44" s="3" t="str">
        <v>Rígido 2 mm</v>
      </c>
      <c r="I44" s="3" t="str">
        <v>Rígido 2 mm</v>
      </c>
      <c r="J44" s="3"/>
    </row>
    <row r="45" ht="66" customHeight="1">
      <c r="A45" s="5" t="n">
        <v>570</v>
      </c>
      <c r="B45" s="5" t="n">
        <v>60</v>
      </c>
      <c r="C45" s="6" t="n">
        <v>1</v>
      </c>
      <c r="D45" s="4" t="str">
        <v>Cocina P071 · S2 Gabinete ducto 60 · Faja retranqueada de agarre sobre campana · RH15 · FINAL CON CANTO</v>
      </c>
      <c r="E45" s="3" t="str">
        <v>Horizontal</v>
      </c>
      <c r="F45" s="3" t="str">
        <v>Flexible 0,45 mm</v>
      </c>
      <c r="G45" s="3" t="str">
        <v>Flexible 0,45 mm</v>
      </c>
      <c r="H45" s="3" t="str">
        <v>Flexible 0,45 mm</v>
      </c>
      <c r="I45" s="3" t="str">
        <v>Flexible 0,45 mm</v>
      </c>
      <c r="J45" s="3"/>
    </row>
    <row r="46" ht="66" customHeight="1">
      <c r="A46" s="5" t="n">
        <v>700</v>
      </c>
      <c r="B46" s="5" t="n">
        <v>320</v>
      </c>
      <c r="C46" s="6" t="n">
        <v>2</v>
      </c>
      <c r="D46" s="4" t="str">
        <v>Cocina P050 · S3 Alacena 65,5 · Lateral · RH15 · FINAL CON CANTO</v>
      </c>
      <c r="E46" s="3" t="str">
        <v>Horizontal</v>
      </c>
      <c r="F46" s="3" t="str">
        <v>Flexible 0,45 mm</v>
      </c>
      <c r="G46" s="3"/>
      <c r="H46" s="3" t="str">
        <v>Flexible 0,45 mm</v>
      </c>
      <c r="I46" s="3" t="str">
        <v>Flexible 0,45 mm</v>
      </c>
      <c r="J46" s="3"/>
    </row>
    <row r="47" ht="66" customHeight="1">
      <c r="A47" s="5" t="n">
        <v>625</v>
      </c>
      <c r="B47" s="5" t="n">
        <v>320</v>
      </c>
      <c r="C47" s="6" t="n">
        <v>1</v>
      </c>
      <c r="D47" s="4" t="str">
        <v>Cocina P051 · S3 Alacena 65,5 · Techo · RH15 · FINAL CON CANTO</v>
      </c>
      <c r="E47" s="3" t="str">
        <v>Horizontal</v>
      </c>
      <c r="F47" s="3" t="str">
        <v>Flexible 0,45 mm</v>
      </c>
      <c r="G47" s="3"/>
      <c r="H47" s="3"/>
      <c r="I47" s="3"/>
      <c r="J47" s="3"/>
    </row>
    <row r="48" ht="66" customHeight="1">
      <c r="A48" s="5" t="n">
        <v>625</v>
      </c>
      <c r="B48" s="5" t="n">
        <v>320</v>
      </c>
      <c r="C48" s="6" t="n">
        <v>1</v>
      </c>
      <c r="D48" s="4" t="str">
        <v>Cocina P052 · S3 Alacena 65,5 · Piso · RH15 · FINAL CON CANTO</v>
      </c>
      <c r="E48" s="3" t="str">
        <v>Horizontal</v>
      </c>
      <c r="F48" s="3" t="str">
        <v>Flexible 0,45 mm</v>
      </c>
      <c r="G48" s="3"/>
      <c r="H48" s="3"/>
      <c r="I48" s="3"/>
      <c r="J48" s="3"/>
    </row>
    <row r="49" ht="66" customHeight="1">
      <c r="A49" s="5" t="n">
        <v>670</v>
      </c>
      <c r="B49" s="5" t="n">
        <v>320</v>
      </c>
      <c r="C49" s="6" t="n">
        <v>1</v>
      </c>
      <c r="D49" s="4" t="str">
        <v>Cocina P054 · S3 Alacena 65,5 · División vertical · RH15 · FINAL CON CANTO</v>
      </c>
      <c r="E49" s="3" t="str">
        <v>Horizontal</v>
      </c>
      <c r="F49" s="3" t="str">
        <v>Flexible 0,45 mm</v>
      </c>
      <c r="G49" s="3"/>
      <c r="H49" s="3"/>
      <c r="I49" s="3"/>
      <c r="J49" s="3"/>
    </row>
    <row r="50" ht="66" customHeight="1">
      <c r="A50" s="5" t="n">
        <v>303</v>
      </c>
      <c r="B50" s="5" t="n">
        <v>300</v>
      </c>
      <c r="C50" s="6" t="n">
        <v>2</v>
      </c>
      <c r="D50" s="4" t="str">
        <v>Cocina P055 · S3 Alacena 65,5 · Entrepaño regulable · RH15 · FINAL CON CANTO</v>
      </c>
      <c r="E50" s="3" t="str">
        <v>Horizontal</v>
      </c>
      <c r="F50" s="3" t="str">
        <v>Flexible 0,45 mm</v>
      </c>
      <c r="G50" s="3"/>
      <c r="H50" s="3"/>
      <c r="I50" s="3"/>
      <c r="J50" s="3"/>
    </row>
    <row r="51" ht="66" customHeight="1">
      <c r="A51" s="5" t="n">
        <v>717</v>
      </c>
      <c r="B51" s="5" t="n">
        <v>324.5</v>
      </c>
      <c r="C51" s="6" t="n">
        <v>1</v>
      </c>
      <c r="D51" s="4" t="str">
        <v>Cocina P056 · S3 Alacena 65,5 · Puerta izquierda · RH15 · FINAL CON CANTO</v>
      </c>
      <c r="E51" s="3" t="str">
        <v>Horizontal</v>
      </c>
      <c r="F51" s="3" t="str">
        <v>Rígido 2 mm</v>
      </c>
      <c r="G51" s="3" t="str">
        <v>Rígido 2 mm</v>
      </c>
      <c r="H51" s="3" t="str">
        <v>Rígido 2 mm</v>
      </c>
      <c r="I51" s="3" t="str">
        <v>Rígido 2 mm</v>
      </c>
      <c r="J51" s="3"/>
    </row>
    <row r="52" ht="66" customHeight="1">
      <c r="A52" s="5" t="n">
        <v>717</v>
      </c>
      <c r="B52" s="5" t="n">
        <v>324.5</v>
      </c>
      <c r="C52" s="6" t="n">
        <v>1</v>
      </c>
      <c r="D52" s="4" t="str">
        <v>Cocina P057 · S3 Alacena 65,5 · Puerta derecha · RH15 · FINAL CON CANTO</v>
      </c>
      <c r="E52" s="3" t="str">
        <v>Horizontal</v>
      </c>
      <c r="F52" s="3" t="str">
        <v>Rígido 2 mm</v>
      </c>
      <c r="G52" s="3" t="str">
        <v>Rígido 2 mm</v>
      </c>
      <c r="H52" s="3" t="str">
        <v>Rígido 2 mm</v>
      </c>
      <c r="I52" s="3" t="str">
        <v>Rígido 2 mm</v>
      </c>
      <c r="J52" s="3"/>
    </row>
    <row r="53" ht="66" customHeight="1">
      <c r="A53" s="5" t="n">
        <v>700</v>
      </c>
      <c r="B53" s="5" t="n">
        <v>320</v>
      </c>
      <c r="C53" s="6" t="n">
        <v>2</v>
      </c>
      <c r="D53" s="4" t="str">
        <v>Cocina P058 · S4 Platero 71,5 · Lateral · RH15 · FINAL CON CANTO</v>
      </c>
      <c r="E53" s="3" t="str">
        <v>Horizontal</v>
      </c>
      <c r="F53" s="3" t="str">
        <v>Flexible 0,45 mm</v>
      </c>
      <c r="G53" s="3"/>
      <c r="H53" s="3" t="str">
        <v>Flexible 0,45 mm</v>
      </c>
      <c r="I53" s="3" t="str">
        <v>Flexible 0,45 mm</v>
      </c>
      <c r="J53" s="3"/>
    </row>
    <row r="54" ht="66" customHeight="1">
      <c r="A54" s="5" t="n">
        <v>685</v>
      </c>
      <c r="B54" s="5" t="n">
        <v>320</v>
      </c>
      <c r="C54" s="6" t="n">
        <v>1</v>
      </c>
      <c r="D54" s="4" t="str">
        <v>Cocina P059 · S4 Platero 71,5 · Techo · RH15 · FINAL CON CANTO</v>
      </c>
      <c r="E54" s="3" t="str">
        <v>Horizontal</v>
      </c>
      <c r="F54" s="3" t="str">
        <v>Flexible 0,45 mm</v>
      </c>
      <c r="G54" s="3"/>
      <c r="H54" s="3"/>
      <c r="I54" s="3"/>
      <c r="J54" s="3"/>
    </row>
    <row r="55" ht="66" customHeight="1">
      <c r="A55" s="5" t="n">
        <v>685</v>
      </c>
      <c r="B55" s="5" t="n">
        <v>60</v>
      </c>
      <c r="C55" s="6" t="n">
        <v>1</v>
      </c>
      <c r="D55" s="4" t="str">
        <v>Cocina P060 · S4 Platero 71,5 · Listón inferior delantero · RH15 · FINAL CON CANTO</v>
      </c>
      <c r="E55" s="3" t="str">
        <v>Horizontal</v>
      </c>
      <c r="F55" s="3" t="str">
        <v>Flexible 0,45 mm</v>
      </c>
      <c r="G55" s="3" t="str">
        <v>Flexible 0,45 mm</v>
      </c>
      <c r="H55" s="3" t="str">
        <v>Flexible 0,45 mm</v>
      </c>
      <c r="I55" s="3" t="str">
        <v>Flexible 0,45 mm</v>
      </c>
      <c r="J55" s="3"/>
    </row>
    <row r="56" ht="66" customHeight="1">
      <c r="A56" s="5" t="n">
        <v>685</v>
      </c>
      <c r="B56" s="5" t="n">
        <v>80</v>
      </c>
      <c r="C56" s="6" t="n">
        <v>1</v>
      </c>
      <c r="D56" s="4" t="str">
        <v>Cocina P061 · S4 Platero 71,5 · Listón inferior trasero · RH15 · FINAL CON CANTO</v>
      </c>
      <c r="E56" s="3" t="str">
        <v>Horizontal</v>
      </c>
      <c r="F56" s="3" t="str">
        <v>Flexible 0,45 mm</v>
      </c>
      <c r="G56" s="3" t="str">
        <v>Flexible 0,45 mm</v>
      </c>
      <c r="H56" s="3" t="str">
        <v>Flexible 0,45 mm</v>
      </c>
      <c r="I56" s="3" t="str">
        <v>Flexible 0,45 mm</v>
      </c>
      <c r="J56" s="3"/>
    </row>
    <row r="57" ht="66" customHeight="1">
      <c r="A57" s="5" t="n">
        <v>717</v>
      </c>
      <c r="B57" s="5" t="n">
        <v>354.5</v>
      </c>
      <c r="C57" s="6" t="n">
        <v>1</v>
      </c>
      <c r="D57" s="4" t="str">
        <v>Cocina P063 · S4 Platero 71,5 · Puerta izquierda · RH15 · FINAL CON CANTO</v>
      </c>
      <c r="E57" s="3" t="str">
        <v>Horizontal</v>
      </c>
      <c r="F57" s="3" t="str">
        <v>Rígido 2 mm</v>
      </c>
      <c r="G57" s="3" t="str">
        <v>Rígido 2 mm</v>
      </c>
      <c r="H57" s="3" t="str">
        <v>Rígido 2 mm</v>
      </c>
      <c r="I57" s="3" t="str">
        <v>Rígido 2 mm</v>
      </c>
      <c r="J57" s="3"/>
    </row>
    <row r="58" ht="66" customHeight="1">
      <c r="A58" s="5" t="n">
        <v>717</v>
      </c>
      <c r="B58" s="5" t="n">
        <v>354.5</v>
      </c>
      <c r="C58" s="6" t="n">
        <v>1</v>
      </c>
      <c r="D58" s="4" t="str">
        <v>Cocina P064 · S4 Platero 71,5 · Puerta derecha · RH15 · FINAL CON CANTO</v>
      </c>
      <c r="E58" s="3" t="str">
        <v>Horizontal</v>
      </c>
      <c r="F58" s="3" t="str">
        <v>Rígido 2 mm</v>
      </c>
      <c r="G58" s="3" t="str">
        <v>Rígido 2 mm</v>
      </c>
      <c r="H58" s="3" t="str">
        <v>Rígido 2 mm</v>
      </c>
      <c r="I58" s="3" t="str">
        <v>Rígido 2 mm</v>
      </c>
      <c r="J58" s="3"/>
    </row>
    <row r="59" ht="66" customHeight="1">
      <c r="A59" s="5" t="n">
        <v>700</v>
      </c>
      <c r="B59" s="5" t="n">
        <v>320</v>
      </c>
      <c r="C59" s="6" t="n">
        <v>2</v>
      </c>
      <c r="D59" s="4" t="str">
        <v>Cocina P065 · S5 Alacena 40 · Lateral · RH15 · FINAL CON CANTO</v>
      </c>
      <c r="E59" s="3" t="str">
        <v>Horizontal</v>
      </c>
      <c r="F59" s="3" t="str">
        <v>Flexible 0,45 mm</v>
      </c>
      <c r="G59" s="3"/>
      <c r="H59" s="3" t="str">
        <v>Flexible 0,45 mm</v>
      </c>
      <c r="I59" s="3" t="str">
        <v>Flexible 0,45 mm</v>
      </c>
      <c r="J59" s="3"/>
    </row>
    <row r="60" ht="66" customHeight="1">
      <c r="A60" s="5" t="n">
        <v>370</v>
      </c>
      <c r="B60" s="5" t="n">
        <v>320</v>
      </c>
      <c r="C60" s="6" t="n">
        <v>1</v>
      </c>
      <c r="D60" s="4" t="str">
        <v>Cocina P066 · S5 Alacena 40 · Techo · RH15 · FINAL CON CANTO</v>
      </c>
      <c r="E60" s="3" t="str">
        <v>Horizontal</v>
      </c>
      <c r="F60" s="3" t="str">
        <v>Flexible 0,45 mm</v>
      </c>
      <c r="G60" s="3"/>
      <c r="H60" s="3"/>
      <c r="I60" s="3"/>
      <c r="J60" s="3"/>
    </row>
    <row r="61" ht="66" customHeight="1">
      <c r="A61" s="5" t="n">
        <v>370</v>
      </c>
      <c r="B61" s="5" t="n">
        <v>320</v>
      </c>
      <c r="C61" s="6" t="n">
        <v>1</v>
      </c>
      <c r="D61" s="4" t="str">
        <v>Cocina P067 · S5 Alacena 40 · Piso · RH15 · FINAL CON CANTO</v>
      </c>
      <c r="E61" s="3" t="str">
        <v>Horizontal</v>
      </c>
      <c r="F61" s="3" t="str">
        <v>Flexible 0,45 mm</v>
      </c>
      <c r="G61" s="3"/>
      <c r="H61" s="3"/>
      <c r="I61" s="3"/>
      <c r="J61" s="3"/>
    </row>
    <row r="62" ht="66" customHeight="1">
      <c r="A62" s="5" t="n">
        <v>368</v>
      </c>
      <c r="B62" s="5" t="n">
        <v>300</v>
      </c>
      <c r="C62" s="6" t="n">
        <v>1</v>
      </c>
      <c r="D62" s="4" t="str">
        <v>Cocina P069 · S5 Alacena 40 · Entrepaño regulable · RH15 · FINAL CON CANTO</v>
      </c>
      <c r="E62" s="3" t="str">
        <v>Horizontal</v>
      </c>
      <c r="F62" s="3" t="str">
        <v>Flexible 0,45 mm</v>
      </c>
      <c r="G62" s="3"/>
      <c r="H62" s="3"/>
      <c r="I62" s="3"/>
      <c r="J62" s="3"/>
    </row>
    <row r="63" ht="66" customHeight="1">
      <c r="A63" s="5" t="n">
        <v>717</v>
      </c>
      <c r="B63" s="5" t="n">
        <v>397</v>
      </c>
      <c r="C63" s="6" t="n">
        <v>1</v>
      </c>
      <c r="D63" s="4" t="str">
        <v>Cocina P070 · S5 Alacena 40 · Puerta · RH15 · FINAL CON CANTO</v>
      </c>
      <c r="E63" s="3" t="str">
        <v>Horizontal</v>
      </c>
      <c r="F63" s="3" t="str">
        <v>Rígido 2 mm</v>
      </c>
      <c r="G63" s="3" t="str">
        <v>Rígido 2 mm</v>
      </c>
      <c r="H63" s="3" t="str">
        <v>Rígido 2 mm</v>
      </c>
      <c r="I63" s="3" t="str">
        <v>Rígido 2 mm</v>
      </c>
      <c r="J63" s="3"/>
    </row>
    <row r="64" ht="66" customHeight="1">
      <c r="A64" s="5" t="n">
        <v>2280</v>
      </c>
      <c r="B64" s="5" t="n">
        <v>560</v>
      </c>
      <c r="C64" s="6" t="n">
        <v>2</v>
      </c>
      <c r="D64" s="4" t="str">
        <v>Clóset C3-001 · EST · Lateral exterior · RH15 · FINAL CON CANTO</v>
      </c>
      <c r="E64" s="3" t="str">
        <v>Horizontal</v>
      </c>
      <c r="F64" s="3" t="str">
        <v>Flexible 0,45 mm</v>
      </c>
      <c r="G64" s="3"/>
      <c r="H64" s="3" t="str">
        <v>Flexible 0,45 mm</v>
      </c>
      <c r="I64" s="3" t="str">
        <v>Flexible 0,45 mm</v>
      </c>
      <c r="J64" s="3"/>
    </row>
    <row r="65" ht="66" customHeight="1">
      <c r="A65" s="5" t="n">
        <v>2280</v>
      </c>
      <c r="B65" s="5" t="n">
        <v>490</v>
      </c>
      <c r="C65" s="6" t="n">
        <v>1</v>
      </c>
      <c r="D65" s="4" t="str">
        <v>Clóset C3-002 · EST · Divisor central · RH15 · FINAL CON CANTO</v>
      </c>
      <c r="E65" s="3" t="str">
        <v>Horizontal</v>
      </c>
      <c r="F65" s="3" t="str">
        <v>Flexible 0,45 mm</v>
      </c>
      <c r="G65" s="3"/>
      <c r="H65" s="3" t="str">
        <v>Flexible 0,45 mm</v>
      </c>
      <c r="I65" s="3"/>
      <c r="J65" s="3"/>
    </row>
    <row r="66" ht="66" customHeight="1">
      <c r="A66" s="5" t="n">
        <v>830</v>
      </c>
      <c r="B66" s="5" t="n">
        <v>560</v>
      </c>
      <c r="C66" s="6" t="n">
        <v>1</v>
      </c>
      <c r="D66" s="4" t="str">
        <v>Clóset C3-003 · B1 · Piso sobre base · RH15 · FINAL CON CANTO</v>
      </c>
      <c r="E66" s="3" t="str">
        <v>Horizontal</v>
      </c>
      <c r="F66" s="3" t="str">
        <v>Flexible 0,45 mm</v>
      </c>
      <c r="G66" s="3"/>
      <c r="H66" s="3" t="str">
        <v>Flexible 0,45 mm</v>
      </c>
      <c r="I66" s="3"/>
      <c r="J66" s="3"/>
    </row>
    <row r="67" ht="66" customHeight="1">
      <c r="A67" s="5" t="n">
        <v>830</v>
      </c>
      <c r="B67" s="5" t="n">
        <v>505</v>
      </c>
      <c r="C67" s="6" t="n">
        <v>1</v>
      </c>
      <c r="D67" s="4" t="str">
        <v>Clóset C3-004 · B1 · Tapa superior · RH15 · FINAL CON CANTO</v>
      </c>
      <c r="E67" s="3" t="str">
        <v>Horizontal</v>
      </c>
      <c r="F67" s="3" t="str">
        <v>Flexible 0,45 mm</v>
      </c>
      <c r="G67" s="3"/>
      <c r="H67" s="3"/>
      <c r="I67" s="3"/>
      <c r="J67" s="3"/>
    </row>
    <row r="68" ht="66" customHeight="1">
      <c r="A68" s="5" t="n">
        <v>2250</v>
      </c>
      <c r="B68" s="5" t="n">
        <v>830</v>
      </c>
      <c r="C68" s="6" t="n">
        <v>1</v>
      </c>
      <c r="D68" s="4" t="str">
        <v>Clóset C3-005 · B1 · Fondo RH15 · RH15 · FINAL CON CANTO</v>
      </c>
      <c r="E68" s="3" t="str">
        <v>Horizontal</v>
      </c>
      <c r="F68" s="3"/>
      <c r="G68" s="3"/>
      <c r="H68" s="3"/>
      <c r="I68" s="3"/>
      <c r="J68" s="3"/>
    </row>
    <row r="69" ht="66" customHeight="1">
      <c r="A69" s="5" t="n">
        <v>830</v>
      </c>
      <c r="B69" s="5" t="n">
        <v>475</v>
      </c>
      <c r="C69" s="6" t="n">
        <v>1</v>
      </c>
      <c r="D69" s="4" t="str">
        <v>Clóset C3-006 · B1 · Piso de maletero · RH15 · FINAL CON CANTO</v>
      </c>
      <c r="E69" s="3" t="str">
        <v>Horizontal</v>
      </c>
      <c r="F69" s="3" t="str">
        <v>Flexible 0,45 mm</v>
      </c>
      <c r="G69" s="3"/>
      <c r="H69" s="3"/>
      <c r="I69" s="3"/>
      <c r="J69" s="3"/>
    </row>
    <row r="70" ht="66" customHeight="1">
      <c r="A70" s="5" t="n">
        <v>830</v>
      </c>
      <c r="B70" s="5" t="n">
        <v>80</v>
      </c>
      <c r="C70" s="6" t="n">
        <v>1</v>
      </c>
      <c r="D70" s="4" t="str">
        <v>Clóset C3-007 · B1 · Refuerzo frontal de maletero · RH15 · FINAL CON CANTO</v>
      </c>
      <c r="E70" s="3" t="str">
        <v>Horizontal</v>
      </c>
      <c r="F70" s="3" t="str">
        <v>Flexible 0,45 mm</v>
      </c>
      <c r="G70" s="3"/>
      <c r="H70" s="3"/>
      <c r="I70" s="3"/>
      <c r="J70" s="3"/>
    </row>
    <row r="71" ht="66" customHeight="1">
      <c r="A71" s="5" t="n">
        <v>830</v>
      </c>
      <c r="B71" s="5" t="n">
        <v>100</v>
      </c>
      <c r="C71" s="6" t="n">
        <v>1</v>
      </c>
      <c r="D71" s="4" t="str">
        <v>Clóset C3-008 · B1 · Refuerzo trasero de maletero · RH15 · FINAL CON CANTO</v>
      </c>
      <c r="E71" s="3" t="str">
        <v>Horizontal</v>
      </c>
      <c r="F71" s="3" t="str">
        <v>Flexible 0,45 mm</v>
      </c>
      <c r="G71" s="3"/>
      <c r="H71" s="3"/>
      <c r="I71" s="3"/>
      <c r="J71" s="3"/>
    </row>
    <row r="72" ht="66" customHeight="1">
      <c r="A72" s="5" t="n">
        <v>1075</v>
      </c>
      <c r="B72" s="5" t="n">
        <v>560</v>
      </c>
      <c r="C72" s="6" t="n">
        <v>1</v>
      </c>
      <c r="D72" s="4" t="str">
        <v>Clóset C3-009 · B2 · Piso sobre base · RH15 · FINAL CON CANTO</v>
      </c>
      <c r="E72" s="3" t="str">
        <v>Horizontal</v>
      </c>
      <c r="F72" s="3" t="str">
        <v>Flexible 0,45 mm</v>
      </c>
      <c r="G72" s="3"/>
      <c r="H72" s="3" t="str">
        <v>Flexible 0,45 mm</v>
      </c>
      <c r="I72" s="3"/>
      <c r="J72" s="3"/>
    </row>
    <row r="73" ht="66" customHeight="1">
      <c r="A73" s="5" t="n">
        <v>1075</v>
      </c>
      <c r="B73" s="5" t="n">
        <v>505</v>
      </c>
      <c r="C73" s="6" t="n">
        <v>1</v>
      </c>
      <c r="D73" s="4" t="str">
        <v>Clóset C3-010 · B2 · Tapa superior · RH15 · FINAL CON CANTO</v>
      </c>
      <c r="E73" s="3" t="str">
        <v>Horizontal</v>
      </c>
      <c r="F73" s="3" t="str">
        <v>Flexible 0,45 mm</v>
      </c>
      <c r="G73" s="3"/>
      <c r="H73" s="3"/>
      <c r="I73" s="3"/>
      <c r="J73" s="3"/>
    </row>
    <row r="74" ht="66" customHeight="1">
      <c r="A74" s="5" t="n">
        <v>2250</v>
      </c>
      <c r="B74" s="5" t="n">
        <v>1075</v>
      </c>
      <c r="C74" s="6" t="n">
        <v>1</v>
      </c>
      <c r="D74" s="4" t="str">
        <v>Clóset C3-011 · B2 · Fondo RH15 · RH15 · FINAL CON CANTO</v>
      </c>
      <c r="E74" s="3" t="str">
        <v>Horizontal</v>
      </c>
      <c r="F74" s="3"/>
      <c r="G74" s="3"/>
      <c r="H74" s="3"/>
      <c r="I74" s="3"/>
      <c r="J74" s="3"/>
    </row>
    <row r="75" ht="66" customHeight="1">
      <c r="A75" s="5" t="n">
        <v>1075</v>
      </c>
      <c r="B75" s="5" t="n">
        <v>475</v>
      </c>
      <c r="C75" s="6" t="n">
        <v>1</v>
      </c>
      <c r="D75" s="4" t="str">
        <v>Clóset C3-012 · B2 · Piso de maletero · RH15 · FINAL CON CANTO</v>
      </c>
      <c r="E75" s="3" t="str">
        <v>Horizontal</v>
      </c>
      <c r="F75" s="3" t="str">
        <v>Flexible 0,45 mm</v>
      </c>
      <c r="G75" s="3"/>
      <c r="H75" s="3"/>
      <c r="I75" s="3"/>
      <c r="J75" s="3"/>
    </row>
    <row r="76" ht="66" customHeight="1">
      <c r="A76" s="5" t="n">
        <v>1075</v>
      </c>
      <c r="B76" s="5" t="n">
        <v>80</v>
      </c>
      <c r="C76" s="6" t="n">
        <v>1</v>
      </c>
      <c r="D76" s="4" t="str">
        <v>Clóset C3-013 · B2 · Refuerzo frontal de maletero · RH15 · FINAL CON CANTO</v>
      </c>
      <c r="E76" s="3" t="str">
        <v>Horizontal</v>
      </c>
      <c r="F76" s="3" t="str">
        <v>Flexible 0,45 mm</v>
      </c>
      <c r="G76" s="3"/>
      <c r="H76" s="3"/>
      <c r="I76" s="3"/>
      <c r="J76" s="3"/>
    </row>
    <row r="77" ht="66" customHeight="1">
      <c r="A77" s="5" t="n">
        <v>1075</v>
      </c>
      <c r="B77" s="5" t="n">
        <v>100</v>
      </c>
      <c r="C77" s="6" t="n">
        <v>1</v>
      </c>
      <c r="D77" s="4" t="str">
        <v>Clóset C3-014 · B2 · Refuerzo trasero de maletero · RH15 · FINAL CON CANTO</v>
      </c>
      <c r="E77" s="3" t="str">
        <v>Horizontal</v>
      </c>
      <c r="F77" s="3" t="str">
        <v>Flexible 0,45 mm</v>
      </c>
      <c r="G77" s="3"/>
      <c r="H77" s="3"/>
      <c r="I77" s="3"/>
      <c r="J77" s="3"/>
    </row>
    <row r="78" ht="66" customHeight="1">
      <c r="A78" s="5" t="n">
        <v>824</v>
      </c>
      <c r="B78" s="5" t="n">
        <v>210</v>
      </c>
      <c r="C78" s="6" t="n">
        <v>3</v>
      </c>
      <c r="D78" s="4" t="str">
        <v>Clóset C3-015 · B1 · Frente de cajón · RH15 · FINAL CON CANTO</v>
      </c>
      <c r="E78" s="3" t="str">
        <v>Horizontal</v>
      </c>
      <c r="F78" s="3" t="str">
        <v>Rígido 2 mm</v>
      </c>
      <c r="G78" s="3" t="str">
        <v>Rígido 2 mm</v>
      </c>
      <c r="H78" s="3" t="str">
        <v>Rígido 2 mm</v>
      </c>
      <c r="I78" s="3" t="str">
        <v>Rígido 2 mm</v>
      </c>
      <c r="J78" s="3"/>
    </row>
    <row r="79" ht="66" customHeight="1">
      <c r="A79" s="5" t="n">
        <v>450</v>
      </c>
      <c r="B79" s="5" t="n">
        <v>155</v>
      </c>
      <c r="C79" s="6" t="n">
        <v>6</v>
      </c>
      <c r="D79" s="4" t="str">
        <v>Clóset C3-016 · B1 · Costado de cajón · RH15 · FINAL CON CANTO</v>
      </c>
      <c r="E79" s="3" t="str">
        <v>Horizontal</v>
      </c>
      <c r="F79" s="3" t="str">
        <v>Flexible 0,45 mm</v>
      </c>
      <c r="G79" s="3"/>
      <c r="H79" s="3" t="str">
        <v>Flexible 0,45 mm</v>
      </c>
      <c r="I79" s="3"/>
      <c r="J79" s="3"/>
    </row>
    <row r="80" ht="66" customHeight="1">
      <c r="A80" s="5" t="n">
        <v>803</v>
      </c>
      <c r="B80" s="5" t="n">
        <v>450</v>
      </c>
      <c r="C80" s="6" t="n">
        <v>3</v>
      </c>
      <c r="D80" s="4" t="str">
        <v>Clóset C3-017 · B1 · Base aplicada de cajón · RH15 · FINAL CON CANTO</v>
      </c>
      <c r="E80" s="3" t="str">
        <v>Horizontal</v>
      </c>
      <c r="F80" s="3" t="str">
        <v>Flexible 0,45 mm</v>
      </c>
      <c r="G80" s="3"/>
      <c r="H80" s="3" t="str">
        <v>Flexible 0,45 mm</v>
      </c>
      <c r="I80" s="3" t="str">
        <v>Flexible 0,45 mm</v>
      </c>
      <c r="J80" s="3"/>
    </row>
    <row r="81" ht="66" customHeight="1">
      <c r="A81" s="5" t="n">
        <v>773</v>
      </c>
      <c r="B81" s="5" t="n">
        <v>155</v>
      </c>
      <c r="C81" s="6" t="n">
        <v>6</v>
      </c>
      <c r="D81" s="4" t="str">
        <v>Clóset C3-018 · B1 · Frente / trasero interior de cajón · RH15 · FINAL CON CANTO</v>
      </c>
      <c r="E81" s="3" t="str">
        <v>Horizontal</v>
      </c>
      <c r="F81" s="3" t="str">
        <v>Flexible 0,45 mm</v>
      </c>
      <c r="G81" s="3"/>
      <c r="H81" s="3"/>
      <c r="I81" s="3"/>
      <c r="J81" s="3"/>
    </row>
    <row r="82" ht="66" customHeight="1">
      <c r="A82" s="5" t="n">
        <v>803</v>
      </c>
      <c r="B82" s="5" t="n">
        <v>40</v>
      </c>
      <c r="C82" s="6" t="n">
        <v>3</v>
      </c>
      <c r="D82" s="4" t="str">
        <v>Clóset C3-019 · B1 · Refuerzo bajo base de cajón · RH15 · FINAL CON CANTO</v>
      </c>
      <c r="E82" s="3" t="str">
        <v>Horizontal</v>
      </c>
      <c r="F82" s="3" t="str">
        <v>Flexible 0,45 mm</v>
      </c>
      <c r="G82" s="3"/>
      <c r="H82" s="3" t="str">
        <v>Flexible 0,45 mm</v>
      </c>
      <c r="I82" s="3" t="str">
        <v>Flexible 0,45 mm</v>
      </c>
      <c r="J82" s="3"/>
    </row>
    <row r="83" ht="66" customHeight="1">
      <c r="A83" s="5" t="n">
        <v>1950</v>
      </c>
      <c r="B83" s="5" t="n">
        <v>92</v>
      </c>
      <c r="C83" s="6" t="n">
        <v>1</v>
      </c>
      <c r="D83" s="4" t="str">
        <v>Clóset C3-020 · BASE · Zócalo frontal · RH15 · FINAL CON CANTO</v>
      </c>
      <c r="E83" s="3" t="str">
        <v>Horizontal</v>
      </c>
      <c r="F83" s="3" t="str">
        <v>Flexible 0,45 mm</v>
      </c>
      <c r="G83" s="3" t="str">
        <v>Flexible 0,45 mm</v>
      </c>
      <c r="H83" s="3" t="str">
        <v>Flexible 0,45 mm</v>
      </c>
      <c r="I83" s="3" t="str">
        <v>Flexible 0,45 mm</v>
      </c>
      <c r="J83" s="3"/>
    </row>
    <row r="84" ht="66" customHeight="1">
      <c r="A84" s="5" t="n">
        <v>1950</v>
      </c>
      <c r="B84" s="5" t="n">
        <v>80</v>
      </c>
      <c r="C84" s="6" t="n">
        <v>1</v>
      </c>
      <c r="D84" s="4" t="str">
        <v>Clóset C3-021 · BASE · Travesaño trasero de base · RH15 · FINAL CON CANTO</v>
      </c>
      <c r="E84" s="3" t="str">
        <v>Horizontal</v>
      </c>
      <c r="F84" s="3" t="str">
        <v>Flexible 0,45 mm</v>
      </c>
      <c r="G84" s="3" t="str">
        <v>Flexible 0,45 mm</v>
      </c>
      <c r="H84" s="3" t="str">
        <v>Flexible 0,45 mm</v>
      </c>
      <c r="I84" s="3" t="str">
        <v>Flexible 0,45 mm</v>
      </c>
      <c r="J84" s="3"/>
    </row>
    <row r="85" ht="66" customHeight="1">
      <c r="A85" s="5" t="n">
        <v>480</v>
      </c>
      <c r="B85" s="5" t="n">
        <v>80</v>
      </c>
      <c r="C85" s="6" t="n">
        <v>3</v>
      </c>
      <c r="D85" s="4" t="str">
        <v>Clóset C3-022 · BASE · Travesaño de base · RH15 · FINAL CON CANTO</v>
      </c>
      <c r="E85" s="3" t="str">
        <v>Horizontal</v>
      </c>
      <c r="F85" s="3" t="str">
        <v>Flexible 0,45 mm</v>
      </c>
      <c r="G85" s="3" t="str">
        <v>Flexible 0,45 mm</v>
      </c>
      <c r="H85" s="3" t="str">
        <v>Flexible 0,45 mm</v>
      </c>
      <c r="I85" s="3" t="str">
        <v>Flexible 0,45 mm</v>
      </c>
      <c r="J85" s="3"/>
    </row>
    <row r="86" ht="66" customHeight="1">
      <c r="A86" s="5" t="n">
        <v>2195</v>
      </c>
      <c r="B86" s="5" t="n">
        <v>975</v>
      </c>
      <c r="C86" s="6" t="n">
        <v>2</v>
      </c>
      <c r="D86" s="4" t="str">
        <v>Clóset C3-023 · PUERTAS · Hoja corrediza RH15 · RH15 · FINAL CON CANTO</v>
      </c>
      <c r="E86" s="3" t="str">
        <v>Horizontal</v>
      </c>
      <c r="F86" s="3" t="str">
        <v>Rígido 2 mm</v>
      </c>
      <c r="G86" s="3" t="str">
        <v>Rígido 2 mm</v>
      </c>
      <c r="H86" s="3" t="str">
        <v>Rígido 2 mm</v>
      </c>
      <c r="I86" s="3" t="str">
        <v>Rígido 2 mm</v>
      </c>
      <c r="J86" s="3"/>
    </row>
    <row r="87" ht="66" customHeight="1">
      <c r="A87" s="5" t="n">
        <v>1950</v>
      </c>
      <c r="B87" s="5" t="n">
        <v>120</v>
      </c>
      <c r="C87" s="6" t="n">
        <v>1</v>
      </c>
      <c r="D87" s="4" t="str">
        <v>Clóset C3-024 · EST · Solapa frontal · RH15 · FINAL CON CANTO</v>
      </c>
      <c r="E87" s="3" t="str">
        <v>Horizontal</v>
      </c>
      <c r="F87" s="3" t="str">
        <v>Flexible 0,45 mm</v>
      </c>
      <c r="G87" s="3" t="str">
        <v>Flexible 0,45 mm</v>
      </c>
      <c r="H87" s="3" t="str">
        <v>Flexible 0,45 mm</v>
      </c>
      <c r="I87" s="3" t="str">
        <v>Flexible 0,45 mm</v>
      </c>
      <c r="J87" s="3"/>
    </row>
    <row r="88" ht="66" customHeight="1">
      <c r="A88" s="5" t="n">
        <v>470</v>
      </c>
      <c r="B88" s="5" t="n">
        <v>450</v>
      </c>
      <c r="C88" s="6" t="n">
        <v>2</v>
      </c>
      <c r="D88" s="4" t="str">
        <v>Baño B01 · BAJO · Lateral · RH15 · FINAL CON CANTO</v>
      </c>
      <c r="E88" s="3" t="str">
        <v>Horizontal</v>
      </c>
      <c r="F88" s="3" t="str">
        <v>Flexible 0,45 mm</v>
      </c>
      <c r="G88" s="3" t="str">
        <v>Flexible 0,45 mm</v>
      </c>
      <c r="H88" s="3" t="str">
        <v>Flexible 0,45 mm</v>
      </c>
      <c r="I88" s="3" t="str">
        <v>Flexible 0,45 mm</v>
      </c>
      <c r="J88" s="3"/>
    </row>
    <row r="89" ht="66" customHeight="1">
      <c r="A89" s="5" t="n">
        <v>490</v>
      </c>
      <c r="B89" s="5" t="n">
        <v>450</v>
      </c>
      <c r="C89" s="6" t="n">
        <v>1</v>
      </c>
      <c r="D89" s="4" t="str">
        <v>Baño B02 · BAJO · Piso · RH15 · FINAL CON CANTO</v>
      </c>
      <c r="E89" s="3" t="str">
        <v>Horizontal</v>
      </c>
      <c r="F89" s="3" t="str">
        <v>Flexible 0,45 mm</v>
      </c>
      <c r="G89" s="3" t="str">
        <v>Flexible 0,45 mm</v>
      </c>
      <c r="H89" s="3" t="str">
        <v>Flexible 0,45 mm</v>
      </c>
      <c r="I89" s="3" t="str">
        <v>Flexible 0,45 mm</v>
      </c>
      <c r="J89" s="3"/>
    </row>
    <row r="90" ht="66" customHeight="1">
      <c r="A90" s="5" t="n">
        <v>490</v>
      </c>
      <c r="B90" s="5" t="n">
        <v>405</v>
      </c>
      <c r="C90" s="6" t="n">
        <v>1</v>
      </c>
      <c r="D90" s="4" t="str">
        <v>Baño B03 · BAJO · Entrepaño retranqueado con reserva de sifón · RH15 · FINAL CON CANTO</v>
      </c>
      <c r="E90" s="3" t="str">
        <v>Horizontal</v>
      </c>
      <c r="F90" s="3" t="str">
        <v>Flexible 0,45 mm</v>
      </c>
      <c r="G90" s="3" t="str">
        <v>Flexible 0,45 mm</v>
      </c>
      <c r="H90" s="3" t="str">
        <v>Flexible 0,45 mm</v>
      </c>
      <c r="I90" s="3" t="str">
        <v>Flexible 0,45 mm</v>
      </c>
      <c r="J90" s="3"/>
    </row>
    <row r="91" ht="66" customHeight="1">
      <c r="A91" s="5" t="n">
        <v>195</v>
      </c>
      <c r="B91" s="5" t="n">
        <v>80</v>
      </c>
      <c r="C91" s="6" t="n">
        <v>2</v>
      </c>
      <c r="D91" s="4" t="str">
        <v>Baño B04 · BAJO · Travesaño trasero superior lateral · RH15 · FINAL CON CANTO</v>
      </c>
      <c r="E91" s="3" t="str">
        <v>Horizontal</v>
      </c>
      <c r="F91" s="3" t="str">
        <v>Flexible 0,45 mm</v>
      </c>
      <c r="G91" s="3" t="str">
        <v>Flexible 0,45 mm</v>
      </c>
      <c r="H91" s="3" t="str">
        <v>Flexible 0,45 mm</v>
      </c>
      <c r="I91" s="3" t="str">
        <v>Flexible 0,45 mm</v>
      </c>
      <c r="J91" s="3"/>
    </row>
    <row r="92" ht="66" customHeight="1">
      <c r="A92" s="5" t="n">
        <v>490</v>
      </c>
      <c r="B92" s="5" t="n">
        <v>80</v>
      </c>
      <c r="C92" s="6" t="n">
        <v>1</v>
      </c>
      <c r="D92" s="4" t="str">
        <v>Baño B05 · BAJO · Travesaño trasero inferior · RH15 · FINAL CON CANTO</v>
      </c>
      <c r="E92" s="3" t="str">
        <v>Horizontal</v>
      </c>
      <c r="F92" s="3" t="str">
        <v>Flexible 0,45 mm</v>
      </c>
      <c r="G92" s="3" t="str">
        <v>Flexible 0,45 mm</v>
      </c>
      <c r="H92" s="3" t="str">
        <v>Flexible 0,45 mm</v>
      </c>
      <c r="I92" s="3" t="str">
        <v>Flexible 0,45 mm</v>
      </c>
      <c r="J92" s="3"/>
    </row>
    <row r="93" ht="66" customHeight="1">
      <c r="A93" s="5" t="n">
        <v>299</v>
      </c>
      <c r="B93" s="5" t="n">
        <v>517</v>
      </c>
      <c r="C93" s="6" t="n">
        <v>1</v>
      </c>
      <c r="D93" s="4" t="str">
        <v>Baño B06 · BAJO · Panel común para dos puertas: corte diagonal en armado · RH15 · FINAL CON CANTO</v>
      </c>
      <c r="E93" s="3" t="str">
        <v>Horizontal</v>
      </c>
      <c r="F93" s="3" t="str">
        <v>Rígido 2 mm</v>
      </c>
      <c r="G93" s="3" t="str">
        <v>Rígido 2 mm</v>
      </c>
      <c r="H93" s="3" t="str">
        <v>Rígido 2 mm</v>
      </c>
      <c r="I93" s="3" t="str">
        <v>Rígido 2 mm</v>
      </c>
      <c r="J93" s="3"/>
    </row>
    <row r="94" ht="66" customHeight="1">
      <c r="A94" s="5" t="n">
        <v>500</v>
      </c>
      <c r="B94" s="5" t="n">
        <v>105</v>
      </c>
      <c r="C94" s="6" t="n">
        <v>2</v>
      </c>
      <c r="D94" s="4" t="str">
        <v>Baño S01 · ESPEJO · Lateral gabinete superior · RH15 · FINAL CON CANTO</v>
      </c>
      <c r="E94" s="3" t="str">
        <v>Horizontal</v>
      </c>
      <c r="F94" s="3" t="str">
        <v>Flexible 0,45 mm</v>
      </c>
      <c r="G94" s="3" t="str">
        <v>Flexible 0,45 mm</v>
      </c>
      <c r="H94" s="3" t="str">
        <v>Flexible 0,45 mm</v>
      </c>
      <c r="I94" s="3" t="str">
        <v>Flexible 0,45 mm</v>
      </c>
      <c r="J94" s="3"/>
    </row>
    <row r="95" ht="66" customHeight="1">
      <c r="A95" s="5" t="n">
        <v>420</v>
      </c>
      <c r="B95" s="5" t="n">
        <v>105</v>
      </c>
      <c r="C95" s="6" t="n">
        <v>2</v>
      </c>
      <c r="D95" s="4" t="str">
        <v>Baño S02 · ESPEJO · Piso y techo gabinete superior · RH15 · FINAL CON CANTO</v>
      </c>
      <c r="E95" s="3" t="str">
        <v>Horizontal</v>
      </c>
      <c r="F95" s="3" t="str">
        <v>Flexible 0,45 mm</v>
      </c>
      <c r="G95" s="3" t="str">
        <v>Flexible 0,45 mm</v>
      </c>
      <c r="H95" s="3" t="str">
        <v>Flexible 0,45 mm</v>
      </c>
      <c r="I95" s="3" t="str">
        <v>Flexible 0,45 mm</v>
      </c>
      <c r="J95" s="3"/>
    </row>
    <row r="96" ht="66" customHeight="1">
      <c r="A96" s="5" t="n">
        <v>470</v>
      </c>
      <c r="B96" s="5" t="n">
        <v>105</v>
      </c>
      <c r="C96" s="6" t="n">
        <v>1</v>
      </c>
      <c r="D96" s="4" t="str">
        <v>Baño S03 · ESPEJO · División vertical · RH15 · FINAL CON CANTO</v>
      </c>
      <c r="E96" s="3" t="str">
        <v>Horizontal</v>
      </c>
      <c r="F96" s="3" t="str">
        <v>Flexible 0,45 mm</v>
      </c>
      <c r="G96" s="3" t="str">
        <v>Flexible 0,45 mm</v>
      </c>
      <c r="H96" s="3" t="str">
        <v>Flexible 0,45 mm</v>
      </c>
      <c r="I96" s="3" t="str">
        <v>Flexible 0,45 mm</v>
      </c>
      <c r="J96" s="3"/>
    </row>
    <row r="97" ht="66" customHeight="1">
      <c r="A97" s="5" t="n">
        <v>290</v>
      </c>
      <c r="B97" s="5" t="n">
        <v>100</v>
      </c>
      <c r="C97" s="6" t="n">
        <v>2</v>
      </c>
      <c r="D97" s="4" t="str">
        <v>Baño S04 · ESPEJO · Entrepaño interior izquierdo · RH15 · FINAL CON CANTO</v>
      </c>
      <c r="E97" s="3" t="str">
        <v>Horizontal</v>
      </c>
      <c r="F97" s="3" t="str">
        <v>Flexible 0,45 mm</v>
      </c>
      <c r="G97" s="3" t="str">
        <v>Flexible 0,45 mm</v>
      </c>
      <c r="H97" s="3" t="str">
        <v>Flexible 0,45 mm</v>
      </c>
      <c r="I97" s="3" t="str">
        <v>Flexible 0,45 mm</v>
      </c>
      <c r="J97" s="3"/>
    </row>
    <row r="98" ht="66" customHeight="1">
      <c r="A98" s="5" t="n">
        <v>115</v>
      </c>
      <c r="B98" s="5" t="n">
        <v>100</v>
      </c>
      <c r="C98" s="6" t="n">
        <v>1</v>
      </c>
      <c r="D98" s="4" t="str">
        <v>Baño S05 · ESPEJO · Entrepaño columna abierta derecha · RH15 · FINAL CON CANTO</v>
      </c>
      <c r="E98" s="3" t="str">
        <v>Horizontal</v>
      </c>
      <c r="F98" s="3" t="str">
        <v>Flexible 0,45 mm</v>
      </c>
      <c r="G98" s="3" t="str">
        <v>Flexible 0,45 mm</v>
      </c>
      <c r="H98" s="3" t="str">
        <v>Flexible 0,45 mm</v>
      </c>
      <c r="I98" s="3" t="str">
        <v>Flexible 0,45 mm</v>
      </c>
      <c r="J98" s="3"/>
    </row>
    <row r="99" ht="66" customHeight="1">
      <c r="A99" s="5" t="n">
        <v>500</v>
      </c>
      <c r="B99" s="5" t="n">
        <v>320</v>
      </c>
      <c r="C99" s="6" t="n">
        <v>1</v>
      </c>
      <c r="D99" s="4" t="str">
        <v>Baño S06 · ESPEJO · Tapa RH15 portadora del espejo · RH15 · FINAL CON CANTO</v>
      </c>
      <c r="E99" s="3" t="str">
        <v>Horizontal</v>
      </c>
      <c r="F99" s="3" t="str">
        <v>Flexible 0,45 mm</v>
      </c>
      <c r="G99" s="3" t="str">
        <v>Flexible 0,45 mm</v>
      </c>
      <c r="H99" s="3" t="str">
        <v>Flexible 0,45 mm</v>
      </c>
      <c r="I99" s="3" t="str">
        <v>Flexible 0,45 mm</v>
      </c>
      <c r="J99" s="3"/>
    </row>
  </sheetData>
  <autoFilter ref="A1:J99"/>
  <pageMargins left="0.7" right="0.7" top="0.75" bottom="0.75" header="0.3" footer="0.3"/>
</worksheet>
</file>

<file path=xl/worksheets/sheet2.xml><?xml version="1.0" encoding="utf-8"?>
<x:worksheet xmlns:x="http://schemas.openxmlformats.org/spreadsheetml/2006/main">
  <x:cols>
    <x:col min="1" max="1" width="75.83203125" customWidth="1"/>
  </x:cols>
  <x:sheetData>
    <x:row r="1">
      <x:c r="A1" t="str"/>
    </x:row>
    <x:row r="2">
      <x:c r="A2" t="str">
        <x:v>  PLANTILLA DE CORTES - GUÍA DE SERVICIOS</x:v>
      </x:c>
    </x:row>
    <x:row r="3">
      <x:c r="A3" t="str"/>
    </x:row>
    <x:row r="4">
      <x:c r="A4" t="str">
        <x:v>  ═══════════════════════════════════════════════════════════════════</x:v>
      </x:c>
    </x:row>
    <x:row r="5">
      <x:c r="A5" t="str"/>
    </x:row>
    <x:row r="6">
      <x:c r="A6" t="str">
        <x:v>  CÓMO USAR ESTA PLANTILLA:</x:v>
      </x:c>
    </x:row>
    <x:row r="7">
      <x:c r="A7" t="str"/>
    </x:row>
    <x:row r="8">
      <x:c r="A8" t="str">
        <x:v>     1. Ve a la hoja "Cortes"</x:v>
      </x:c>
    </x:row>
    <x:row r="9">
      <x:c r="A9" t="str">
        <x:v>     2. Llena las columnas A-I con medidas, veta y cantos</x:v>
      </x:c>
    </x:row>
    <x:row r="10">
      <x:c r="A10" t="str">
        <x:v>     3. En la columna J "Servicios" escribe lo que necesitas en texto libre</x:v>
      </x:c>
    </x:row>
    <x:row r="11">
      <x:c r="A11" t="str">
        <x:v>     4. La IA interpretará automáticamente los servicios al importar</x:v>
      </x:c>
    </x:row>
    <x:row r="12">
      <x:c r="A12" t="str">
        <x:v>     5. Guarda el archivo y súbelo a la aplicación</x:v>
      </x:c>
    </x:row>
    <x:row r="13">
      <x:c r="A13" t="str"/>
    </x:row>
    <x:row r="14">
      <x:c r="A14" t="str">
        <x:v>  ═══════════════════════════════════════════════════════════════════</x:v>
      </x:c>
    </x:row>
    <x:row r="15">
      <x:c r="A15" t="str"/>
    </x:row>
    <x:row r="16">
      <x:c r="A16" t="str">
        <x:v>  COLUMNAS BÁSICAS (A-E):</x:v>
      </x:c>
    </x:row>
    <x:row r="17">
      <x:c r="A17" t="str"/>
    </x:row>
    <x:row r="18">
      <x:c r="A18" t="str">
        <x:v>     • Ancho (mm)    →  Máximo 2420 mm (área útil de corte)</x:v>
      </x:c>
    </x:row>
    <x:row r="19">
      <x:c r="A19" t="str">
        <x:v>     • Alto (mm)     →  Máximo 2130 mm (área útil de corte)</x:v>
      </x:c>
    </x:row>
    <x:row r="20">
      <x:c r="A20" t="str">
        <x:v>     • Cantidad      →  Número de piezas iguales (mínimo 1)</x:v>
      </x:c>
    </x:row>
    <x:row r="21">
      <x:c r="A21" t="str">
        <x:v>     • Descripción   →  Nombre o referencia de la pieza</x:v>
      </x:c>
    </x:row>
    <x:row r="22">
      <x:c r="A22" t="str">
        <x:v>     • Veta          →  Horizontal o Vertical (usa el desplegable ▼)</x:v>
      </x:c>
    </x:row>
    <x:row r="23">
      <x:c r="A23" t="str"/>
    </x:row>
    <x:row r="24">
      <x:c r="A24" t="str">
        <x:v>  ═══════════════════════════════════════════════════════════════════</x:v>
      </x:c>
    </x:row>
    <x:row r="25">
      <x:c r="A25" t="str"/>
    </x:row>
    <x:row r="26">
      <x:c r="A26" t="str">
        <x:v>  CANTOS (Columnas F-I) - Usa el desplegable:</x:v>
      </x:c>
    </x:row>
    <x:row r="27">
      <x:c r="A27" t="str"/>
    </x:row>
    <x:row r="28">
      <x:c r="A28" t="str">
        <x:v>     ▼ Blanco</x:v>
      </x:c>
    </x:row>
    <x:row r="29">
      <x:c r="A29" t="str">
        <x:v>     ▼ Negro</x:v>
      </x:c>
    </x:row>
    <x:row r="30">
      <x:c r="A30" t="str">
        <x:v>     ▼ Madera clara</x:v>
      </x:c>
    </x:row>
    <x:row r="31">
      <x:c r="A31" t="str">
        <x:v>     ▼ Madera oscura</x:v>
      </x:c>
    </x:row>
    <x:row r="32">
      <x:c r="A32" t="str">
        <x:v>     ▼ Gris</x:v>
      </x:c>
    </x:row>
    <x:row r="33">
      <x:c r="A33" t="str">
        <x:v>     ▼ (vacío = sin canto)</x:v>
      </x:c>
    </x:row>
    <x:row r="34">
      <x:c r="A34" t="str"/>
    </x:row>
    <x:row r="35">
      <x:c r="A35" t="str">
        <x:v>  ═══════════════════════════════════════════════════════════════════</x:v>
      </x:c>
    </x:row>
    <x:row r="36">
      <x:c r="A36" t="str"/>
    </x:row>
    <x:row r="37">
      <x:c r="A37" t="str">
        <x:v>  COLUMNA SERVICIOS (J) - Texto libre:</x:v>
      </x:c>
    </x:row>
    <x:row r="38">
      <x:c r="A38" t="str"/>
    </x:row>
    <x:row r="39">
      <x:c r="A39" t="str">
        <x:v>     Escribe los servicios que necesitas separados por coma o "+".</x:v>
      </x:c>
    </x:row>
    <x:row r="40">
      <x:c r="A40" t="str">
        <x:v>     La IA interpretará automáticamente lo que escribas.</x:v>
      </x:c>
    </x:row>
    <x:row r="41">
      <x:c r="A41" t="str"/>
    </x:row>
    <x:row r="42">
      <x:c r="A42" t="str">
        <x:v>  ─────────────────────────────────────────────────────────────────</x:v>
      </x:c>
    </x:row>
    <x:row r="43">
      <x:c r="A43" t="str"/>
    </x:row>
    <x:row r="44">
      <x:c r="A44" t="str">
        <x:v>  1.  PERFORACIÓN BISAGRA</x:v>
      </x:c>
    </x:row>
    <x:row r="45">
      <x:c r="A45" t="str">
        <x:v>     Perforaciones para bisagras de puertas.</x:v>
      </x:c>
    </x:row>
    <x:row r="46">
      <x:c r="A46" t="str">
        <x:v>     Indica la cantidad y en qué dimensión van.</x:v>
      </x:c>
    </x:row>
    <x:row r="47">
      <x:c r="A47" t="str"/>
    </x:row>
    <x:row r="48">
      <x:c r="A48" t="str">
        <x:v>     Ejemplo: "Perforación x4 en alto"</x:v>
      </x:c>
    </x:row>
    <x:row r="49">
      <x:c r="A49" t="str">
        <x:v>     Ejemplo: "Bisagra x2"</x:v>
      </x:c>
    </x:row>
    <x:row r="50">
      <x:c r="A50" t="str">
        <x:v>     Ejemplo: "Perforación x6 en ancho"</x:v>
      </x:c>
    </x:row>
    <x:row r="51">
      <x:c r="A51" t="str"/>
    </x:row>
    <x:row r="52">
      <x:c r="A52" t="str">
        <x:v>  ─────────────────────────────────────────────────────────────────</x:v>
      </x:c>
    </x:row>
    <x:row r="53">
      <x:c r="A53" t="str"/>
    </x:row>
    <x:row r="54">
      <x:c r="A54" t="str">
        <x:v>  2.  RANURA FONDO</x:v>
      </x:c>
    </x:row>
    <x:row r="55">
      <x:c r="A55" t="str">
        <x:v>     Ranura para insertar el fondo del mueble.</x:v>
      </x:c>
    </x:row>
    <x:row r="56">
      <x:c r="A56" t="str">
        <x:v>     Opciones de grosor: 3mm o 6mm. Indica el lado.</x:v>
      </x:c>
    </x:row>
    <x:row r="57">
      <x:c r="A57" t="str"/>
    </x:row>
    <x:row r="58">
      <x:c r="A58" t="str">
        <x:v>     Ejemplo: "Ranura fondo 6mm en ancho"</x:v>
      </x:c>
    </x:row>
    <x:row r="59">
      <x:c r="A59" t="str">
        <x:v>     Ejemplo: "Ranura 3mm"</x:v>
      </x:c>
    </x:row>
    <x:row r="60">
      <x:c r="A60" t="str">
        <x:v>     Ejemplo: "Ranura fondo en alto"</x:v>
      </x:c>
    </x:row>
    <x:row r="61">
      <x:c r="A61" t="str"/>
    </x:row>
    <x:row r="62">
      <x:c r="A62" t="str">
        <x:v>  ─────────────────────────────────────────────────────────────────</x:v>
      </x:c>
    </x:row>
    <x:row r="63">
      <x:c r="A63" t="str"/>
    </x:row>
    <x:row r="64">
      <x:c r="A64" t="str">
        <x:v>  3.  NARIZ (engrosado de mesón)</x:v>
      </x:c>
    </x:row>
    <x:row r="65">
      <x:c r="A65" t="str">
        <x:v>     Engrosado para mesones y superficies.</x:v>
      </x:c>
    </x:row>
    <x:row r="66">
      <x:c r="A66" t="str">
        <x:v>     Notación de lados:</x:v>
      </x:c>
    </x:row>
    <x:row r="67">
      <x:c r="A67" t="str">
        <x:v>       1L = 1 lado largo (superior)</x:v>
      </x:c>
    </x:row>
    <x:row r="68">
      <x:c r="A68" t="str">
        <x:v>       2L = 2 lados largos (superior + inferior)</x:v>
      </x:c>
    </x:row>
    <x:row r="69">
      <x:c r="A69" t="str">
        <x:v>       1A = 1 lado ancho (izquierdo)</x:v>
      </x:c>
    </x:row>
    <x:row r="70">
      <x:c r="A70" t="str">
        <x:v>       2A = 2 lados anchos (izquierdo + derecho)</x:v>
      </x:c>
    </x:row>
    <x:row r="71">
      <x:c r="A71" t="str">
        <x:v>       4L = los 4 lados</x:v>
      </x:c>
    </x:row>
    <x:row r="72">
      <x:c r="A72" t="str">
        <x:v>     Opcionalmente indica el ancho en mm (default: 70mm).</x:v>
      </x:c>
    </x:row>
    <x:row r="73">
      <x:c r="A73" t="str"/>
    </x:row>
    <x:row r="74">
      <x:c r="A74" t="str">
        <x:v>     Ejemplo: "Nariz 2L 70mm"</x:v>
      </x:c>
    </x:row>
    <x:row r="75">
      <x:c r="A75" t="str">
        <x:v>     Ejemplo: "Nariz 1L + 1A"</x:v>
      </x:c>
    </x:row>
    <x:row r="76">
      <x:c r="A76" t="str">
        <x:v>     Ejemplo: "Nariz 4L 100mm"</x:v>
      </x:c>
    </x:row>
    <x:row r="77">
      <x:c r="A77" t="str"/>
    </x:row>
    <x:row r="78">
      <x:c r="A78" t="str">
        <x:v>  ─────────────────────────────────────────────────────────────────</x:v>
      </x:c>
    </x:row>
    <x:row r="79">
      <x:c r="A79" t="str"/>
    </x:row>
    <x:row r="80">
      <x:c r="A80" t="str">
        <x:v>  4.  SANDWICH (doble grosor)</x:v>
      </x:c>
    </x:row>
    <x:row r="81">
      <x:c r="A81" t="str">
        <x:v>     Duplica el grosor de la pieza pegando dos tableros.</x:v>
      </x:c>
    </x:row>
    <x:row r="82">
      <x:c r="A82" t="str">
        <x:v>     Solo escribe "Sandwich".</x:v>
      </x:c>
    </x:row>
    <x:row r="83">
      <x:c r="A83" t="str"/>
    </x:row>
    <x:row r="84">
      <x:c r="A84" t="str">
        <x:v>     Ejemplo: "Sandwich"</x:v>
      </x:c>
    </x:row>
    <x:row r="85">
      <x:c r="A85" t="str"/>
    </x:row>
    <x:row r="86">
      <x:c r="A86" t="str">
        <x:v>  ─────────────────────────────────────────────────────────────────</x:v>
      </x:c>
    </x:row>
    <x:row r="87">
      <x:c r="A87" t="str"/>
    </x:row>
    <x:row r="88">
      <x:c r="A88" t="str">
        <x:v>  5.  CALADO (hueco interior)</x:v>
      </x:c>
    </x:row>
    <x:row r="89">
      <x:c r="A89" t="str">
        <x:v>     Corte rectangular interior en la pieza.</x:v>
      </x:c>
    </x:row>
    <x:row r="90">
      <x:c r="A90" t="str">
        <x:v>     Indica dimensiones del hueco (ancho x alto).</x:v>
      </x:c>
    </x:row>
    <x:row r="91">
      <x:c r="A91" t="str">
        <x:v>     Opciones: "centrado", "enchape interior", "batiente".</x:v>
      </x:c>
    </x:row>
    <x:row r="92">
      <x:c r="A92" t="str"/>
    </x:row>
    <x:row r="93">
      <x:c r="A93" t="str">
        <x:v>     Ejemplo: "Calado 400x300 centrado"</x:v>
      </x:c>
    </x:row>
    <x:row r="94">
      <x:c r="A94" t="str">
        <x:v>     Ejemplo: "Calado 500x200 con enchape interior"</x:v>
      </x:c>
    </x:row>
    <x:row r="95">
      <x:c r="A95" t="str">
        <x:v>     Ejemplo: "Calado con batiente"</x:v>
      </x:c>
    </x:row>
    <x:row r="96">
      <x:c r="A96" t="str"/>
    </x:row>
    <x:row r="97">
      <x:c r="A97" t="str">
        <x:v>  ─────────────────────────────────────────────────────────────────</x:v>
      </x:c>
    </x:row>
    <x:row r="98">
      <x:c r="A98" t="str"/>
    </x:row>
    <x:row r="99">
      <x:c r="A99" t="str">
        <x:v>  6.  MANIGAVETA (muesca para tirador de gaveta)</x:v>
      </x:c>
    </x:row>
    <x:row r="100">
      <x:c r="A100" t="str">
        <x:v>     Muesca en un borde para abrir la gaveta sin manija.</x:v>
      </x:c>
    </x:row>
    <x:row r="101">
      <x:c r="A101" t="str">
        <x:v>     Indica el lado: superior, inferior, izquierdo o derecho.</x:v>
      </x:c>
    </x:row>
    <x:row r="102">
      <x:c r="A102" t="str"/>
    </x:row>
    <x:row r="103">
      <x:c r="A103" t="str">
        <x:v>     Ejemplo: "Manigaveta superior"</x:v>
      </x:c>
    </x:row>
    <x:row r="104">
      <x:c r="A104" t="str">
        <x:v>     Ejemplo: "Manigaveta izquierdo"</x:v>
      </x:c>
    </x:row>
    <x:row r="105">
      <x:c r="A105" t="str"/>
    </x:row>
    <x:row r="106">
      <x:c r="A106" t="str">
        <x:v>  ─────────────────────────────────────────────────────────────────</x:v>
      </x:c>
    </x:row>
    <x:row r="107">
      <x:c r="A107" t="str"/>
    </x:row>
    <x:row r="108">
      <x:c r="A108" t="str">
        <x:v>  7.  CHAFLÁN (corte en ángulo)</x:v>
      </x:c>
    </x:row>
    <x:row r="109">
      <x:c r="A109" t="str">
        <x:v>     Corte en ángulo en uno de los bordes.</x:v>
      </x:c>
    </x:row>
    <x:row r="110">
      <x:c r="A110" t="str">
        <x:v>     Indica el lado: superior, inferior, izquierdo o derecho.</x:v>
      </x:c>
    </x:row>
    <x:row r="111">
      <x:c r="A111" t="str"/>
    </x:row>
    <x:row r="112">
      <x:c r="A112" t="str">
        <x:v>     Ejemplo: "Chaflán inferior"</x:v>
      </x:c>
    </x:row>
    <x:row r="113">
      <x:c r="A113" t="str">
        <x:v>     Ejemplo: "Chaflán superior"</x:v>
      </x:c>
    </x:row>
    <x:row r="114">
      <x:c r="A114" t="str"/>
    </x:row>
    <x:row r="115">
      <x:c r="A115" t="str">
        <x:v>  ─────────────────────────────────────────────────────────────────</x:v>
      </x:c>
    </x:row>
    <x:row r="116">
      <x:c r="A116" t="str"/>
    </x:row>
    <x:row r="117">
      <x:c r="A117" t="str">
        <x:v>  8.  MANIJA CHAFLÁN (enchape + chaflán)</x:v>
      </x:c>
    </x:row>
    <x:row r="118">
      <x:c r="A118" t="str">
        <x:v>     Combinación de enchape con corte en chaflán.</x:v>
      </x:c>
    </x:row>
    <x:row r="119">
      <x:c r="A119" t="str">
        <x:v>     Indica el lado.</x:v>
      </x:c>
    </x:row>
    <x:row r="120">
      <x:c r="A120" t="str"/>
    </x:row>
    <x:row r="121">
      <x:c r="A121" t="str">
        <x:v>     Ejemplo: "Manija chaflán superior"</x:v>
      </x:c>
    </x:row>
    <x:row r="122">
      <x:c r="A122" t="str">
        <x:v>     Ejemplo: "Manija chaflán derecho"</x:v>
      </x:c>
    </x:row>
    <x:row r="123">
      <x:c r="A123" t="str"/>
    </x:row>
    <x:row r="124">
      <x:c r="A124" t="str">
        <x:v>  ─────────────────────────────────────────────────────────────────</x:v>
      </x:c>
    </x:row>
    <x:row r="125">
      <x:c r="A125" t="str"/>
    </x:row>
    <x:row r="126">
      <x:c r="A126" t="str">
        <x:v>  9.  CORTE CIRCULAR (mesa redonda)</x:v>
      </x:c>
    </x:row>
    <x:row r="127">
      <x:c r="A127" t="str">
        <x:v>     Corte en forma de círculo.</x:v>
      </x:c>
    </x:row>
    <x:row r="128">
      <x:c r="A128" t="str">
        <x:v>     Indica el diámetro en mm o cm.</x:v>
      </x:c>
    </x:row>
    <x:row r="129">
      <x:c r="A129" t="str"/>
    </x:row>
    <x:row r="130">
      <x:c r="A130" t="str">
        <x:v>     Ejemplo: "Circular 800mm"</x:v>
      </x:c>
    </x:row>
    <x:row r="131">
      <x:c r="A131" t="str">
        <x:v>     Ejemplo: "Corte circular 60cm"</x:v>
      </x:c>
    </x:row>
    <x:row r="132">
      <x:c r="A132" t="str"/>
    </x:row>
    <x:row r="133">
      <x:c r="A133" t="str">
        <x:v>  ═══════════════════════════════════════════════════════════════════</x:v>
      </x:c>
    </x:row>
    <x:row r="134">
      <x:c r="A134" t="str"/>
    </x:row>
    <x:row r="135">
      <x:c r="A135" t="str">
        <x:v>  COMBINACIONES:</x:v>
      </x:c>
    </x:row>
    <x:row r="136">
      <x:c r="A136" t="str">
        <x:v>     Puedes combinar varios servicios en una misma pieza</x:v>
      </x:c>
    </x:row>
    <x:row r="137">
      <x:c r="A137" t="str">
        <x:v>     separándolos con coma o "+".</x:v>
      </x:c>
    </x:row>
    <x:row r="138">
      <x:c r="A138" t="str"/>
    </x:row>
    <x:row r="139">
      <x:c r="A139" t="str">
        <x:v>     Ejemplo: "Nariz 2L + perforación x4 + ranura 6mm"</x:v>
      </x:c>
    </x:row>
    <x:row r="140">
      <x:c r="A140" t="str">
        <x:v>     Ejemplo: "Sandwich, manigaveta superior"</x:v>
      </x:c>
    </x:row>
    <x:row r="141">
      <x:c r="A141" t="str">
        <x:v>     Ejemplo: "Calado 400x300, enchape interior, bisagra x2"</x:v>
      </x:c>
    </x:row>
    <x:row r="142">
      <x:c r="A142" t="str"/>
    </x:row>
    <x:row r="143">
      <x:c r="A143" t="str">
        <x:v>  ═══════════════════════════════════════════════════════════════════</x:v>
      </x:c>
    </x:row>
    <x:row r="144">
      <x:c r="A144" t="str"/>
    </x:row>
    <x:row r="145">
      <x:c r="A145" t="str">
        <x:v>  TIPS:</x:v>
      </x:c>
    </x:row>
    <x:row r="146">
      <x:c r="A146" t="str"/>
    </x:row>
    <x:row r="147">
      <x:c r="A147" t="str">
        <x:v>     • Usa los desplegables (▼) para Veta y Cantos</x:v>
      </x:c>
    </x:row>
    <x:row r="148">
      <x:c r="A148" t="str">
        <x:v>     • Puedes editar o borrar los ejemplos de las filas 2-5</x:v>
      </x:c>
    </x:row>
    <x:row r="149">
      <x:c r="A149" t="str">
        <x:v>     • Máximo 500 cortes por importación</x:v>
      </x:c>
    </x:row>
    <x:row r="150">
      <x:c r="A150" t="str">
        <x:v>     • Si no necesitas servicios, deja la columna J vacía</x:v>
      </x:c>
    </x:row>
    <x:row r="151">
      <x:c r="A151" t="str">
        <x:v>     • No te preocupes por el formato exacto, la IA es flexible</x:v>
      </x:c>
    </x:row>
    <x:row r="152">
      <x:c r="A15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22" hidden="0" customWidth="1"/>
    <x:col min="2" max="2" width="45" hidden="0" customWidth="1"/>
    <x:col min="3" max="3" width="23" hidden="0" customWidth="1"/>
    <x:col min="4" max="4" width="31" hidden="0" customWidth="1"/>
    <x:col min="5" max="5" width="100" hidden="0" customWidth="1"/>
  </x:cols>
  <x:sheetData>
    <x:row r="1">
      <x:c r="A1" s="8"/>
      <x:c r="B1" s="8"/>
      <x:c r="C1" s="8"/>
      <x:c r="D1" s="8"/>
      <x:c r="E1" s="8"/>
    </x:row>
    <x:row r="2">
      <x:c r="A2" s="9" t="str">
        <x:v>Pedido de corte · MEDIDAS FINALES CON CANTO · RH15</x:v>
      </x:c>
      <x:c r="B2" s="8"/>
      <x:c r="C2" s="8"/>
      <x:c r="D2" s="8"/>
      <x:c r="E2" s="8"/>
    </x:row>
    <x:row r="3">
      <x:c r="A3" s="8"/>
      <x:c r="B3" s="8"/>
      <x:c r="C3" s="8"/>
      <x:c r="D3" s="8"/>
      <x:c r="E3" s="8"/>
    </x:row>
    <x:row r="4" ht="38" customHeight="1">
      <x:c r="A4" s="8" t="str">
        <x:v>Material</x:v>
      </x:c>
      <x:c r="B4" s="10" t="str">
        <x:v>Melamina RH15. Cartagena como referencia actual; decorativo final y canto compatible por confirmar antes de pedir</x:v>
      </x:c>
      <x:c r="C4" s="8"/>
      <x:c r="D4" s="8"/>
      <x:c r="E4" s="8"/>
    </x:row>
    <x:row r="5" ht="38" customHeight="1">
      <x:c r="A5" s="8" t="str">
        <x:v>Origen</x:v>
      </x:c>
      <x:c r="B5" s="10" t="str">
        <x:v>Pedido único del proyecto. Revisión local del 27/10/2026: un solo tipo de canto por pieza, contrastado con los tres despieces y manifiestos 3D.</x:v>
      </x:c>
      <x:c r="C5" s="8"/>
      <x:c r="D5" s="8"/>
      <x:c r="E5" s="8"/>
    </x:row>
    <x:row r="6" ht="64" customHeight="1">
      <x:c r="A6" s="8" t="str">
        <x:v>Medidas</x:v>
      </x:c>
      <x:c r="B6" s="10" t="str">
        <x:v>Criterio solicitado: Ancho/Alto son medidas FINALES CON CANTO INCLUIDO. El proveedor descuenta cada canto una sola vez, incluso si entrega alguna pieza sin cantear. No cortar el tablero a estas medidas sin descontar el canto. Confirmar este procedimiento con la sucursal.</x:v>
      </x:c>
      <x:c r="C6" s="8"/>
      <x:c r="D6" s="8"/>
      <x:c r="E6" s="8"/>
    </x:row>
    <x:row r="7" ht="38" customHeight="1">
      <x:c r="A7" s="8" t="str">
        <x:v>Cantidad total</x:v>
      </x:c>
      <x:c r="B7" s="10" t="n">
        <x:f>SUM(Cortes!C2:C99)</x:f>
        <x:v>141</x:v>
      </x:c>
      <x:c r="C7" s="8"/>
      <x:c r="D7" s="8"/>
      <x:c r="E7" s="8"/>
    </x:row>
    <x:row r="8" ht="38" customHeight="1">
      <x:c r="A8" s="8" t="str">
        <x:v>Referencias</x:v>
      </x:c>
      <x:c r="B8" s="10" t="n">
        <x:f>COUNT(Cortes!A2:A99)</x:f>
        <x:v>98</x:v>
      </x:c>
      <x:c r="C8" s="8"/>
      <x:c r="D8" s="8"/>
      <x:c r="E8" s="8"/>
    </x:row>
    <x:row r="9" ht="52" customHeight="1">
      <x:c r="A9" s="8" t="str">
        <x:v>Veta y orientación</x:v>
      </x:c>
      <x:c r="B9" s="10" t="str">
        <x:v>Ancho de plantilla = largo en sentido de veta; Alto = ancho transversal. Por eso las filas usan Veta Horizontal. Puede girarse la pieza al armar.</x:v>
      </x:c>
      <x:c r="C9" s="8"/>
      <x:c r="D9" s="8"/>
      <x:c r="E9" s="8"/>
    </x:row>
    <x:row r="10" ht="52" customHeight="1">
      <x:c r="A10" s="8" t="str">
        <x:v>Cantos</x:v>
      </x:c>
      <x:c r="B10" s="10" t="str">
        <x:v>Superior=Largo1; Inferior=Largo2; Izquierdo=Corto1; Derecho=Corto2. Celda vacía: sin canto. Cada columna indica Rígido 2 mm o Flexible 0,45 mm. Todos los bordes canteados de una pieza usan el mismo tipo.</x:v>
      </x:c>
      <x:c r="C10" s="8"/>
      <x:c r="D10" s="8"/>
      <x:c r="E10" s="8"/>
    </x:row>
    <x:row r="11" ht="52" customHeight="1">
      <x:c r="A11" s="11" t="str">
        <x:v>Decorativo y carga</x:v>
      </x:c>
      <x:c r="B11" s="12" t="str">
        <x:v>RH15: decorativo y canto a juego por confirmar. Las columnas F–I indican tipo y espesor, no color. Versión para revisión del pedido: si el importador exige colores, el asesor debe asignar la referencia del canto conservando tipo y espesor.</x:v>
      </x:c>
      <x:c r="C11" s="11"/>
      <x:c r="D11" s="11"/>
      <x:c r="E11" s="11"/>
    </x:row>
    <x:row r="12" ht="52" customHeight="1">
      <x:c r="A12" s="8" t="str">
        <x:v>Servicios</x:v>
      </x:c>
      <x:c r="B12" s="10" t="str">
        <x:v>Servicios J vacío: sin mecanizados automáticos. Si entregan bordes pendientes, registrarlos en Recepción y canteo; el tablero debe conservar el descuento correspondiente para que alcance su medida final al cantear en casa.</x:v>
      </x:c>
      <x:c r="C12" s="8"/>
      <x:c r="D12" s="8"/>
      <x:c r="E12" s="8"/>
    </x:row>
    <x:row r="13" ht="52" customHeight="1">
      <x:c r="A13" s="8" t="str">
        <x:v>Fuera de este pedido</x:v>
      </x:c>
      <x:c r="B13" s="10" t="str">
        <x:v>Cocina P072–P074, cinco piezas: cortar de sobrantes en el armado; espejo, granito, pino y herrajes se gestionan aparte. Solicitar los sobrantes aprovechables.</x:v>
      </x:c>
      <x:c r="C13" s="8"/>
      <x:c r="D13" s="8"/>
      <x:c r="E13" s="8"/>
    </x:row>
    <x:row r="14" ht="52" customHeight="1">
      <x:c r="A14" s="11" t="str">
        <x:v>Antes de liberar</x:v>
      </x:c>
      <x:c r="B14" s="12" t="str">
        <x:v>Clóset: confirmar en obra eje de puerta a 2880 mm del muro izquierdo; el ancho de 1950 depende de esa cota. Confirmar SKU y suministro del canto.</x:v>
      </x:c>
      <x:c r="C14" s="11"/>
      <x:c r="D14" s="11"/>
      <x:c r="E14" s="11"/>
    </x:row>
    <x:row r="15">
      <x:c r="A15" s="8"/>
      <x:c r="B15" s="8"/>
      <x:c r="C15" s="8"/>
      <x:c r="D15" s="8"/>
      <x:c r="E15" s="8"/>
    </x:row>
    <x:row r="16" ht="42" customHeight="1">
      <x:c r="A16" s="15" t="str">
        <x:v>Pieza</x:v>
      </x:c>
      <x:c r="B16" s="15" t="str">
        <x:v>Referencia / módulo</x:v>
      </x:c>
      <x:c r="C16" s="15" t="str">
        <x:v>Medida terminada</x:v>
      </x:c>
      <x:c r="D16" s="15" t="str">
        <x:v>Corte de tablero con sobremedida</x:v>
      </x:c>
      <x:c r="E16" s="15" t="str">
        <x:v>Observación de armado (NO es Servicio J)</x:v>
      </x:c>
    </x:row>
    <x:row r="17" ht="90" customHeight="1">
      <x:c r="A17" s="8" t="str">
        <x:v>Cocina P001</x:v>
      </x:c>
      <x:c r="B17" s="10" t="str">
        <x:v>B1 Condimentero 18 · Lateral</x:v>
      </x:c>
      <x:c r="C17" s="10" t="str">
        <x:v>785 × 580</x:v>
      </x:c>
      <x:c r="D17" s="10" t="str">
        <x:v>784,55 × 579,55</x:v>
      </x:c>
      <x:c r="E17" s="10" t="str">
        <x:v>Rebaje para la gola en el armado, cuando se defina el borde del granito; no lo hace el proveedor.</x:v>
      </x:c>
    </x:row>
    <x:row r="18" ht="38" customHeight="1">
      <x:c r="A18" s="8" t="str">
        <x:v>Cocina P002</x:v>
      </x:c>
      <x:c r="B18" s="10" t="str">
        <x:v>B1 Condimentero 18 · Piso</x:v>
      </x:c>
      <x:c r="C18" s="10" t="str">
        <x:v>150 × 580</x:v>
      </x:c>
      <x:c r="D18" s="10" t="str">
        <x:v>150 × 579,55</x:v>
      </x:c>
      <x:c r="E18" s="10" t="str">
        <x:v>—</x:v>
      </x:c>
    </x:row>
    <x:row r="19" ht="90" customHeight="1">
      <x:c r="A19" s="8" t="str">
        <x:v>Cocina P003</x:v>
      </x:c>
      <x:c r="B19" s="10" t="str">
        <x:v>B1 Condimentero 18 · Travesaño horizontal</x:v>
      </x:c>
      <x:c r="C19" s="10" t="str">
        <x:v>150 × 100</x:v>
      </x:c>
      <x:c r="D19" s="10" t="str">
        <x:v>150 × 99,1</x:v>
      </x:c>
      <x:c r="E19" s="10" t="str">
        <x:v>Si no la cantean: cortar a 150 × 99.1 y cantear en el armado. Rebaje para la gola en el armado, cuando se defina el borde del granito; no lo hace el proveedor.</x:v>
      </x:c>
    </x:row>
    <x:row r="20" ht="38" customHeight="1">
      <x:c r="A20" s="8" t="str">
        <x:v>Cocina P005</x:v>
      </x:c>
      <x:c r="B20" s="10" t="str">
        <x:v>B1 Condimentero 18 · Frente condimentero</x:v>
      </x:c>
      <x:c r="C20" s="10" t="str">
        <x:v>732 × 177</x:v>
      </x:c>
      <x:c r="D20" s="10" t="str">
        <x:v>728 × 173</x:v>
      </x:c>
      <x:c r="E20" s="10" t="str">
        <x:v>—</x:v>
      </x:c>
    </x:row>
    <x:row r="21" ht="38" customHeight="1">
      <x:c r="A21" s="8" t="str">
        <x:v>Cocina P006</x:v>
      </x:c>
      <x:c r="B21" s="10" t="str">
        <x:v>B2 Horno y estufa 60 · Lateral</x:v>
      </x:c>
      <x:c r="C21" s="10" t="str">
        <x:v>785 × 580</x:v>
      </x:c>
      <x:c r="D21" s="10" t="str">
        <x:v>784,55 × 579,55</x:v>
      </x:c>
      <x:c r="E21" s="10" t="str">
        <x:v>—</x:v>
      </x:c>
    </x:row>
    <x:row r="22" ht="90" customHeight="1">
      <x:c r="A22" s="8" t="str">
        <x:v>Cocina P007</x:v>
      </x:c>
      <x:c r="B22" s="10" t="str">
        <x:v>B2 Horno y estufa 60 · Piso de apoyo horno (validar montaje)</x:v>
      </x:c>
      <x:c r="C22" s="10" t="str">
        <x:v>570 × 580</x:v>
      </x:c>
      <x:c r="D22" s="10" t="str">
        <x:v>570 × 579,55</x:v>
      </x:c>
      <x:c r="E22" s="10" t="str">
        <x:v>Ranura de ventilación o paso de cable en obra, si el manual del horno lo pide.</x:v>
      </x:c>
    </x:row>
    <x:row r="23" ht="90" customHeight="1">
      <x:c r="A23" s="8" t="str">
        <x:v>Cocina P008</x:v>
      </x:c>
      <x:c r="B23" s="10" t="str">
        <x:v>B2 Horno y estufa 60 · Travesaño trasero</x:v>
      </x:c>
      <x:c r="C23" s="10" t="str">
        <x:v>570 × 100</x:v>
      </x:c>
      <x:c r="D23" s="10" t="str">
        <x:v>570 × 99,55</x:v>
      </x:c>
      <x:c r="E23" s="10" t="str">
        <x:v>Si no la cantean: cortar a 570 × 99.55 y cantear en el armado.</x:v>
      </x:c>
    </x:row>
    <x:row r="24" ht="90" customHeight="1">
      <x:c r="A24" s="8" t="str">
        <x:v>Cocina P009</x:v>
      </x:c>
      <x:c r="B24" s="10" t="str">
        <x:v>B2 Horno y estufa 60 · Repisa sobre horno (posición por manual)</x:v>
      </x:c>
      <x:c r="C24" s="10" t="str">
        <x:v>570 × 500</x:v>
      </x:c>
      <x:c r="D24" s="10" t="str">
        <x:v>570 × 499,55</x:v>
      </x:c>
      <x:c r="E24" s="10" t="str">
        <x:v>Su altura se fija en el armado según el manual del horno; si pide más ventilación atrás, recortar el borde trasero (sin canto).</x:v>
      </x:c>
    </x:row>
    <x:row r="25" ht="90" customHeight="1">
      <x:c r="A25" s="8" t="str">
        <x:v>Cocina P010</x:v>
      </x:c>
      <x:c r="B25" s="10" t="str">
        <x:v>B2 Horno y estufa 60 · Listón frontal de apoyo del mesón (de canto)</x:v>
      </x:c>
      <x:c r="C25" s="10" t="str">
        <x:v>570 × 80</x:v>
      </x:c>
      <x:c r="D25" s="10" t="str">
        <x:v>570 × 79,55</x:v>
      </x:c>
      <x:c r="E25" s="10" t="str">
        <x:v>Si no la cantean: cortar a 570 × 79.55 y cantear en el armado.</x:v>
      </x:c>
    </x:row>
    <x:row r="26" ht="90" customHeight="1">
      <x:c r="A26" s="8" t="str">
        <x:v>Cocina P011</x:v>
      </x:c>
      <x:c r="B26" s="10" t="str">
        <x:v>B2 Horno y estufa 60 · Panel fijo bajo estufa (ajustar con equipo)</x:v>
      </x:c>
      <x:c r="C26" s="10" t="str">
        <x:v>145 × 597</x:v>
      </x:c>
      <x:c r="D26" s="10" t="str">
        <x:v>159,55 × 596,1</x:v>
      </x:c>
      <x:c r="E26" s="10" t="str">
        <x:v>Pedida 15 mm más alta (160 en vez de 145): en el armado, recortar el borde superior —oculto bajo el mesón y sin canto— según el horno instalado.</x:v>
      </x:c>
    </x:row>
    <x:row r="27" ht="90" customHeight="1">
      <x:c r="A27" s="8" t="str">
        <x:v>Cocina P012</x:v>
      </x:c>
      <x:c r="B27" s="10" t="str">
        <x:v>B3 Cubiertero y puertas 67 · Lateral</x:v>
      </x:c>
      <x:c r="C27" s="10" t="str">
        <x:v>785 × 580</x:v>
      </x:c>
      <x:c r="D27" s="10" t="str">
        <x:v>784,55 × 579,55</x:v>
      </x:c>
      <x:c r="E27" s="10" t="str">
        <x:v>Rebaje para la gola en el armado, cuando se defina el borde del granito; no lo hace el proveedor.</x:v>
      </x:c>
    </x:row>
    <x:row r="28" ht="38" customHeight="1">
      <x:c r="A28" s="8" t="str">
        <x:v>Cocina P013</x:v>
      </x:c>
      <x:c r="B28" s="10" t="str">
        <x:v>B3 Cubiertero y puertas 67 · Piso</x:v>
      </x:c>
      <x:c r="C28" s="10" t="str">
        <x:v>640 × 580</x:v>
      </x:c>
      <x:c r="D28" s="10" t="str">
        <x:v>640 × 579,55</x:v>
      </x:c>
      <x:c r="E28" s="10" t="str">
        <x:v>—</x:v>
      </x:c>
    </x:row>
    <x:row r="29" ht="90" customHeight="1">
      <x:c r="A29" s="8" t="str">
        <x:v>Cocina P014</x:v>
      </x:c>
      <x:c r="B29" s="10" t="str">
        <x:v>B3 Cubiertero y puertas 67 · Travesaño horizontal</x:v>
      </x:c>
      <x:c r="C29" s="10" t="str">
        <x:v>640 × 100</x:v>
      </x:c>
      <x:c r="D29" s="10" t="str">
        <x:v>640 × 99,1</x:v>
      </x:c>
      <x:c r="E29" s="10" t="str">
        <x:v>Si no la cantean: cortar a 640 × 99.1 y cantear en el armado. Rebaje para la gola en el armado, cuando se defina el borde del granito; no lo hace el proveedor.</x:v>
      </x:c>
    </x:row>
    <x:row r="30" ht="38" customHeight="1">
      <x:c r="A30" s="8" t="str">
        <x:v>Cocina P016</x:v>
      </x:c>
      <x:c r="B30" s="10" t="str">
        <x:v>B3 Cubiertero y puertas 67 · Frente cajón superior cubiertero</x:v>
      </x:c>
      <x:c r="C30" s="10" t="str">
        <x:v>167 × 667</x:v>
      </x:c>
      <x:c r="D30" s="10" t="str">
        <x:v>163 × 663</x:v>
      </x:c>
      <x:c r="E30" s="10" t="str">
        <x:v>—</x:v>
      </x:c>
    </x:row>
    <x:row r="31" ht="38" customHeight="1">
      <x:c r="A31" s="8" t="str">
        <x:v>Cocina P017</x:v>
      </x:c>
      <x:c r="B31" s="10" t="str">
        <x:v>B3 Cubiertero y puertas 67 · Cajón: base aplicada inferior</x:v>
      </x:c>
      <x:c r="C31" s="10" t="str">
        <x:v>613 × 550</x:v>
      </x:c>
      <x:c r="D31" s="10" t="str">
        <x:v>612,1 × 549,55</x:v>
      </x:c>
      <x:c r="E31" s="10" t="str">
        <x:v>—</x:v>
      </x:c>
    </x:row>
    <x:row r="32" ht="90" customHeight="1">
      <x:c r="A32" s="8" t="str">
        <x:v>Cocina P018</x:v>
      </x:c>
      <x:c r="B32" s="10" t="str">
        <x:v>B3 Cubiertero y puertas 67 · Cajón: costado</x:v>
      </x:c>
      <x:c r="C32" s="10" t="str">
        <x:v>550 × 75</x:v>
      </x:c>
      <x:c r="D32" s="10" t="str">
        <x:v>549,55 × 74,55</x:v>
      </x:c>
      <x:c r="E32" s="10" t="str">
        <x:v>Si no la cantean: cortar a 549.55 × 74.55 y cantear en el armado.</x:v>
      </x:c>
    </x:row>
    <x:row r="33" ht="90" customHeight="1">
      <x:c r="A33" s="8" t="str">
        <x:v>Cocina P019</x:v>
      </x:c>
      <x:c r="B33" s="10" t="str">
        <x:v>B3 Cubiertero y puertas 67 · Cajón: frente y trasero interiores</x:v>
      </x:c>
      <x:c r="C33" s="10" t="str">
        <x:v>583 × 75</x:v>
      </x:c>
      <x:c r="D33" s="10" t="str">
        <x:v>583 × 74,55</x:v>
      </x:c>
      <x:c r="E33" s="10" t="str">
        <x:v>Si no la cantean: cortar a 583 × 74.55 y cantear en el armado.</x:v>
      </x:c>
    </x:row>
    <x:row r="34" ht="38" customHeight="1">
      <x:c r="A34" s="8" t="str">
        <x:v>Cocina P020</x:v>
      </x:c>
      <x:c r="B34" s="10" t="str">
        <x:v>B3 Cubiertero y puertas 67 · Puerta inferior izquierda</x:v>
      </x:c>
      <x:c r="C34" s="10" t="str">
        <x:v>537 × 332</x:v>
      </x:c>
      <x:c r="D34" s="10" t="str">
        <x:v>533 × 328</x:v>
      </x:c>
      <x:c r="E34" s="10" t="str">
        <x:v>—</x:v>
      </x:c>
    </x:row>
    <x:row r="35" ht="38" customHeight="1">
      <x:c r="A35" s="8" t="str">
        <x:v>Cocina P021</x:v>
      </x:c>
      <x:c r="B35" s="10" t="str">
        <x:v>B3 Cubiertero y puertas 67 · Puerta inferior derecha</x:v>
      </x:c>
      <x:c r="C35" s="10" t="str">
        <x:v>537 × 332</x:v>
      </x:c>
      <x:c r="D35" s="10" t="str">
        <x:v>533 × 328</x:v>
      </x:c>
      <x:c r="E35" s="10" t="str">
        <x:v>—</x:v>
      </x:c>
    </x:row>
    <x:row r="36" ht="38" customHeight="1">
      <x:c r="A36" s="8" t="str">
        <x:v>Cocina P022</x:v>
      </x:c>
      <x:c r="B36" s="10" t="str">
        <x:v>B3 Cubiertero y puertas 67 · Entrepaño regulable inferior</x:v>
      </x:c>
      <x:c r="C36" s="10" t="str">
        <x:v>638 × 550</x:v>
      </x:c>
      <x:c r="D36" s="10" t="str">
        <x:v>638 × 549,55</x:v>
      </x:c>
      <x:c r="E36" s="10" t="str">
        <x:v>—</x:v>
      </x:c>
    </x:row>
    <x:row r="37" ht="90" customHeight="1">
      <x:c r="A37" s="8" t="str">
        <x:v>Cocina P023</x:v>
      </x:c>
      <x:c r="B37" s="10" t="str">
        <x:v>B5 Lavaplatos 70 · Lateral</x:v>
      </x:c>
      <x:c r="C37" s="10" t="str">
        <x:v>785 × 580</x:v>
      </x:c>
      <x:c r="D37" s="10" t="str">
        <x:v>784,55 × 579,55</x:v>
      </x:c>
      <x:c r="E37" s="10" t="str">
        <x:v>Rebaje para la gola en el armado, cuando se defina el borde del granito; no lo hace el proveedor.</x:v>
      </x:c>
    </x:row>
    <x:row r="38" ht="38" customHeight="1">
      <x:c r="A38" s="8" t="str">
        <x:v>Cocina P024</x:v>
      </x:c>
      <x:c r="B38" s="10" t="str">
        <x:v>B5 Lavaplatos 70 · Piso</x:v>
      </x:c>
      <x:c r="C38" s="10" t="str">
        <x:v>670 × 580</x:v>
      </x:c>
      <x:c r="D38" s="10" t="str">
        <x:v>670 × 579,55</x:v>
      </x:c>
      <x:c r="E38" s="10" t="str">
        <x:v>—</x:v>
      </x:c>
    </x:row>
    <x:row r="39" ht="90" customHeight="1">
      <x:c r="A39" s="8" t="str">
        <x:v>Cocina P025</x:v>
      </x:c>
      <x:c r="B39" s="10" t="str">
        <x:v>B5 Lavaplatos 70 · Travesaño de canto</x:v>
      </x:c>
      <x:c r="C39" s="10" t="str">
        <x:v>670 × 100</x:v>
      </x:c>
      <x:c r="D39" s="10" t="str">
        <x:v>669,1 × 99,1</x:v>
      </x:c>
      <x:c r="E39" s="10" t="str">
        <x:v>Si no la cantean: cortar a 669.1 × 99.1 y cantear en el armado. Rebaje para la gola en el armado, cuando se defina el borde del granito; no lo hace el proveedor.</x:v>
      </x:c>
    </x:row>
    <x:row r="40" ht="38" customHeight="1">
      <x:c r="A40" s="8" t="str">
        <x:v>Cocina P027</x:v>
      </x:c>
      <x:c r="B40" s="10" t="str">
        <x:v>B5 Lavaplatos 70 · Puerta izquierda</x:v>
      </x:c>
      <x:c r="C40" s="10" t="str">
        <x:v>732 × 347</x:v>
      </x:c>
      <x:c r="D40" s="10" t="str">
        <x:v>728 × 343</x:v>
      </x:c>
      <x:c r="E40" s="10" t="str">
        <x:v>—</x:v>
      </x:c>
    </x:row>
    <x:row r="41" ht="38" customHeight="1">
      <x:c r="A41" s="8" t="str">
        <x:v>Cocina P028</x:v>
      </x:c>
      <x:c r="B41" s="10" t="str">
        <x:v>B5 Lavaplatos 70 · Puerta derecha</x:v>
      </x:c>
      <x:c r="C41" s="10" t="str">
        <x:v>732 × 347</x:v>
      </x:c>
      <x:c r="D41" s="10" t="str">
        <x:v>728 × 343</x:v>
      </x:c>
      <x:c r="E41" s="10" t="str">
        <x:v>—</x:v>
      </x:c>
    </x:row>
    <x:row r="42" ht="90" customHeight="1">
      <x:c r="A42" s="8" t="str">
        <x:v>Cocina P029</x:v>
      </x:c>
      <x:c r="B42" s="10" t="str">
        <x:v>B5 Lavaplatos 70 · Entrepaño desmontable; recortar sifón en obra</x:v>
      </x:c>
      <x:c r="C42" s="10" t="str">
        <x:v>668 × 520</x:v>
      </x:c>
      <x:c r="D42" s="10" t="str">
        <x:v>667,1 × 519,1</x:v>
      </x:c>
      <x:c r="E42" s="10" t="str">
        <x:v>P029: flexible 0,45 mm en los cuatro bordes. Recorte de sifón y tuberías en obra: sellar el corte.</x:v>
      </x:c>
    </x:row>
    <x:row r="43" ht="90" customHeight="1">
      <x:c r="A43" s="8" t="str">
        <x:v>Cocina P030</x:v>
      </x:c>
      <x:c r="B43" s="10" t="str">
        <x:v>B4 Basurero y puerta 40 · Lateral</x:v>
      </x:c>
      <x:c r="C43" s="10" t="str">
        <x:v>785 × 580</x:v>
      </x:c>
      <x:c r="D43" s="10" t="str">
        <x:v>784,55 × 579,55</x:v>
      </x:c>
      <x:c r="E43" s="10" t="str">
        <x:v>Rebaje para la gola en el armado, cuando se defina el borde del granito; no lo hace el proveedor.</x:v>
      </x:c>
    </x:row>
    <x:row r="44" ht="38" customHeight="1">
      <x:c r="A44" s="8" t="str">
        <x:v>Cocina P031</x:v>
      </x:c>
      <x:c r="B44" s="10" t="str">
        <x:v>B4 Basurero y puerta 40 · Piso</x:v>
      </x:c>
      <x:c r="C44" s="10" t="str">
        <x:v>370 × 580</x:v>
      </x:c>
      <x:c r="D44" s="10" t="str">
        <x:v>370 × 579,55</x:v>
      </x:c>
      <x:c r="E44" s="10" t="str">
        <x:v>—</x:v>
      </x:c>
    </x:row>
    <x:row r="45" ht="90" customHeight="1">
      <x:c r="A45" s="8" t="str">
        <x:v>Cocina P032</x:v>
      </x:c>
      <x:c r="B45" s="10" t="str">
        <x:v>B4 Basurero y puerta 40 · Travesaño horizontal</x:v>
      </x:c>
      <x:c r="C45" s="10" t="str">
        <x:v>370 × 100</x:v>
      </x:c>
      <x:c r="D45" s="10" t="str">
        <x:v>370 × 99,1</x:v>
      </x:c>
      <x:c r="E45" s="10" t="str">
        <x:v>Si no la cantean: cortar a 370 × 99.1 y cantear en el armado. Rebaje para la gola en el armado, cuando se defina el borde del granito; no lo hace el proveedor.</x:v>
      </x:c>
    </x:row>
    <x:row r="46" ht="90" customHeight="1">
      <x:c r="A46" s="8" t="str">
        <x:v>Cocina P034</x:v>
      </x:c>
      <x:c r="B46" s="10" t="str">
        <x:v>B4 Basurero y puerta 40 · Entrepaño FIJO separador superior/basurero</x:v>
      </x:c>
      <x:c r="C46" s="10" t="str">
        <x:v>370 × 550</x:v>
      </x:c>
      <x:c r="D46" s="10" t="str">
        <x:v>370 × 549,55</x:v>
      </x:c>
      <x:c r="E46" s="10" t="str">
        <x:v>Rebaje para la gola en el armado, cuando se defina el borde del granito; no lo hace el proveedor.</x:v>
      </x:c>
    </x:row>
    <x:row r="47" ht="38" customHeight="1">
      <x:c r="A47" s="8" t="str">
        <x:v>Cocina P035</x:v>
      </x:c>
      <x:c r="B47" s="10" t="str">
        <x:v>B4 Basurero y puerta 40 · Puerta superior</x:v>
      </x:c>
      <x:c r="C47" s="10" t="str">
        <x:v>402 × 397</x:v>
      </x:c>
      <x:c r="D47" s="10" t="str">
        <x:v>398 × 393</x:v>
      </x:c>
      <x:c r="E47" s="10" t="str">
        <x:v>—</x:v>
      </x:c>
    </x:row>
    <x:row r="48" ht="38" customHeight="1">
      <x:c r="A48" s="8" t="str">
        <x:v>Cocina P036</x:v>
      </x:c>
      <x:c r="B48" s="10" t="str">
        <x:v>B4 Basurero y puerta 40 · Frente inferior extraíble basurero</x:v>
      </x:c>
      <x:c r="C48" s="10" t="str">
        <x:v>302 × 397</x:v>
      </x:c>
      <x:c r="D48" s="10" t="str">
        <x:v>298 × 393</x:v>
      </x:c>
      <x:c r="E48" s="10" t="str">
        <x:v>—</x:v>
      </x:c>
    </x:row>
    <x:row r="49" ht="38" customHeight="1">
      <x:c r="A49" s="8" t="str">
        <x:v>Cocina P037</x:v>
      </x:c>
      <x:c r="B49" s="10" t="str">
        <x:v>B6 Terminación · Costado de terminación</x:v>
      </x:c>
      <x:c r="C49" s="10" t="str">
        <x:v>882 × 595</x:v>
      </x:c>
      <x:c r="D49" s="10" t="str">
        <x:v>880 × 593</x:v>
      </x:c>
      <x:c r="E49" s="10" t="str">
        <x:v>—</x:v>
      </x:c>
    </x:row>
    <x:row r="50" ht="90" customHeight="1">
      <x:c r="A50" s="8" t="str">
        <x:v>Cocina P038</x:v>
      </x:c>
      <x:c r="B50" s="10" t="str">
        <x:v>B6 Terminación · Zócalo retranqueado (dos tramos)</x:v>
      </x:c>
      <x:c r="C50" s="10" t="str">
        <x:v>1275 × 97</x:v>
      </x:c>
      <x:c r="D50" s="10" t="str">
        <x:v>1274,1 × 96,1</x:v>
      </x:c>
      <x:c r="E50" s="10" t="str">
        <x:v>Si no la cantean: cortar a 1274.1 × 96.1 y cantear en el armado.</x:v>
      </x:c>
    </x:row>
    <x:row r="51" ht="38" customHeight="1">
      <x:c r="A51" s="8" t="str">
        <x:v>Cocina P039</x:v>
      </x:c>
      <x:c r="B51" s="10" t="str">
        <x:v>S1 Alacena 19,5 · Lateral</x:v>
      </x:c>
      <x:c r="C51" s="10" t="str">
        <x:v>700 × 320</x:v>
      </x:c>
      <x:c r="D51" s="10" t="str">
        <x:v>699,1 × 319,55</x:v>
      </x:c>
      <x:c r="E51" s="10" t="str">
        <x:v>—</x:v>
      </x:c>
    </x:row>
    <x:row r="52" ht="38" customHeight="1">
      <x:c r="A52" s="8" t="str">
        <x:v>Cocina P040</x:v>
      </x:c>
      <x:c r="B52" s="10" t="str">
        <x:v>S1 Alacena 19,5 · Techo</x:v>
      </x:c>
      <x:c r="C52" s="10" t="str">
        <x:v>165 × 320</x:v>
      </x:c>
      <x:c r="D52" s="10" t="str">
        <x:v>165 × 319,55</x:v>
      </x:c>
      <x:c r="E52" s="10" t="str">
        <x:v>—</x:v>
      </x:c>
    </x:row>
    <x:row r="53" ht="38" customHeight="1">
      <x:c r="A53" s="8" t="str">
        <x:v>Cocina P041</x:v>
      </x:c>
      <x:c r="B53" s="10" t="str">
        <x:v>S1 Alacena 19,5 · Piso</x:v>
      </x:c>
      <x:c r="C53" s="10" t="str">
        <x:v>165 × 320</x:v>
      </x:c>
      <x:c r="D53" s="10" t="str">
        <x:v>165 × 319,55</x:v>
      </x:c>
      <x:c r="E53" s="10" t="str">
        <x:v>—</x:v>
      </x:c>
    </x:row>
    <x:row r="54" ht="38" customHeight="1">
      <x:c r="A54" s="8" t="str">
        <x:v>Cocina P043</x:v>
      </x:c>
      <x:c r="B54" s="10" t="str">
        <x:v>S1 Alacena 19,5 · Entrepaño regulable</x:v>
      </x:c>
      <x:c r="C54" s="10" t="str">
        <x:v>163 × 300</x:v>
      </x:c>
      <x:c r="D54" s="10" t="str">
        <x:v>163 × 299,55</x:v>
      </x:c>
      <x:c r="E54" s="10" t="str">
        <x:v>—</x:v>
      </x:c>
    </x:row>
    <x:row r="55" ht="38" customHeight="1">
      <x:c r="A55" s="8" t="str">
        <x:v>Cocina P044</x:v>
      </x:c>
      <x:c r="B55" s="10" t="str">
        <x:v>S1 Alacena 19,5 · Puerta</x:v>
      </x:c>
      <x:c r="C55" s="10" t="str">
        <x:v>717 × 192</x:v>
      </x:c>
      <x:c r="D55" s="10" t="str">
        <x:v>713 × 188</x:v>
      </x:c>
      <x:c r="E55" s="10" t="str">
        <x:v>—</x:v>
      </x:c>
    </x:row>
    <x:row r="56" ht="38" customHeight="1">
      <x:c r="A56" s="8" t="str">
        <x:v>Cocina P045</x:v>
      </x:c>
      <x:c r="B56" s="10" t="str">
        <x:v>S2 Gabinete ducto 60 · Lateral</x:v>
      </x:c>
      <x:c r="C56" s="10" t="str">
        <x:v>350 × 320</x:v>
      </x:c>
      <x:c r="D56" s="10" t="str">
        <x:v>349,1 × 319,55</x:v>
      </x:c>
      <x:c r="E56" s="10" t="str">
        <x:v>—</x:v>
      </x:c>
    </x:row>
    <x:row r="57" ht="90" customHeight="1">
      <x:c r="A57" s="8" t="str">
        <x:v>Cocina P046</x:v>
      </x:c>
      <x:c r="B57" s="10" t="str">
        <x:v>S2 Gabinete ducto 60 · Techo (perforar solo si el ducto sale hacia arriba; definir con manual)</x:v>
      </x:c>
      <x:c r="C57" s="10" t="str">
        <x:v>570 × 320</x:v>
      </x:c>
      <x:c r="D57" s="10" t="str">
        <x:v>570 × 319,55</x:v>
      </x:c>
      <x:c r="E57" s="10" t="str">
        <x:v>Perforación del ducto en obra, según manual de la campana.</x:v>
      </x:c>
    </x:row>
    <x:row r="58" ht="90" customHeight="1">
      <x:c r="A58" s="8" t="str">
        <x:v>Cocina P047</x:v>
      </x:c>
      <x:c r="B58" s="10" t="str">
        <x:v>S2 Gabinete ducto 60 · Piso elevado 40 mm para agarre inferior; perforar para ducto (diámetro y posición según manual de campana)</x:v>
      </x:c>
      <x:c r="C58" s="10" t="str">
        <x:v>570 × 320</x:v>
      </x:c>
      <x:c r="D58" s="10" t="str">
        <x:v>570 × 319,55</x:v>
      </x:c>
      <x:c r="E58" s="10" t="str">
        <x:v>Perforación del ducto en obra, según manual de la campana.</x:v>
      </x:c>
    </x:row>
    <x:row r="59" ht="38" customHeight="1">
      <x:c r="A59" s="8" t="str">
        <x:v>Cocina P049</x:v>
      </x:c>
      <x:c r="B59" s="10" t="str">
        <x:v>S2 Gabinete ducto 60 · Puerta abatible superior</x:v>
      </x:c>
      <x:c r="C59" s="10" t="str">
        <x:v>347 × 597</x:v>
      </x:c>
      <x:c r="D59" s="10" t="str">
        <x:v>343 × 593</x:v>
      </x:c>
      <x:c r="E59" s="10" t="str">
        <x:v>—</x:v>
      </x:c>
    </x:row>
    <x:row r="60" ht="90" customHeight="1">
      <x:c r="A60" s="8" t="str">
        <x:v>Cocina P071</x:v>
      </x:c>
      <x:c r="B60" s="10" t="str">
        <x:v>S2 Gabinete ducto 60 · Faja retranqueada de agarre sobre campana</x:v>
      </x:c>
      <x:c r="C60" s="10" t="str">
        <x:v>570 × 60</x:v>
      </x:c>
      <x:c r="D60" s="10" t="str">
        <x:v>569,1 × 59,1</x:v>
      </x:c>
      <x:c r="E60" s="10" t="str">
        <x:v>Si no la cantean: cortar a 569.1 × 59.1 y cantear en el armado. P071: flexible 0,45 mm en los cuatro bordes. Confirmar cabida en canteadora; si la rechaza, cantear en taller con el descuento correspondiente.</x:v>
      </x:c>
    </x:row>
    <x:row r="61" ht="38" customHeight="1">
      <x:c r="A61" s="8" t="str">
        <x:v>Cocina P050</x:v>
      </x:c>
      <x:c r="B61" s="10" t="str">
        <x:v>S3 Alacena 65,5 · Lateral</x:v>
      </x:c>
      <x:c r="C61" s="10" t="str">
        <x:v>700 × 320</x:v>
      </x:c>
      <x:c r="D61" s="10" t="str">
        <x:v>699,1 × 319,55</x:v>
      </x:c>
      <x:c r="E61" s="10" t="str">
        <x:v>—</x:v>
      </x:c>
    </x:row>
    <x:row r="62" ht="38" customHeight="1">
      <x:c r="A62" s="8" t="str">
        <x:v>Cocina P051</x:v>
      </x:c>
      <x:c r="B62" s="10" t="str">
        <x:v>S3 Alacena 65,5 · Techo</x:v>
      </x:c>
      <x:c r="C62" s="10" t="str">
        <x:v>625 × 320</x:v>
      </x:c>
      <x:c r="D62" s="10" t="str">
        <x:v>625 × 319,55</x:v>
      </x:c>
      <x:c r="E62" s="10" t="str">
        <x:v>—</x:v>
      </x:c>
    </x:row>
    <x:row r="63" ht="38" customHeight="1">
      <x:c r="A63" s="8" t="str">
        <x:v>Cocina P052</x:v>
      </x:c>
      <x:c r="B63" s="10" t="str">
        <x:v>S3 Alacena 65,5 · Piso</x:v>
      </x:c>
      <x:c r="C63" s="10" t="str">
        <x:v>625 × 320</x:v>
      </x:c>
      <x:c r="D63" s="10" t="str">
        <x:v>625 × 319,55</x:v>
      </x:c>
      <x:c r="E63" s="10" t="str">
        <x:v>—</x:v>
      </x:c>
    </x:row>
    <x:row r="64" ht="38" customHeight="1">
      <x:c r="A64" s="8" t="str">
        <x:v>Cocina P054</x:v>
      </x:c>
      <x:c r="B64" s="10" t="str">
        <x:v>S3 Alacena 65,5 · División vertical</x:v>
      </x:c>
      <x:c r="C64" s="10" t="str">
        <x:v>670 × 320</x:v>
      </x:c>
      <x:c r="D64" s="10" t="str">
        <x:v>670 × 319,55</x:v>
      </x:c>
      <x:c r="E64" s="10" t="str">
        <x:v>—</x:v>
      </x:c>
    </x:row>
    <x:row r="65" ht="38" customHeight="1">
      <x:c r="A65" s="8" t="str">
        <x:v>Cocina P055</x:v>
      </x:c>
      <x:c r="B65" s="10" t="str">
        <x:v>S3 Alacena 65,5 · Entrepaño regulable</x:v>
      </x:c>
      <x:c r="C65" s="10" t="str">
        <x:v>303 × 300</x:v>
      </x:c>
      <x:c r="D65" s="10" t="str">
        <x:v>303 × 299,55</x:v>
      </x:c>
      <x:c r="E65" s="10" t="str">
        <x:v>—</x:v>
      </x:c>
    </x:row>
    <x:row r="66" ht="38" customHeight="1">
      <x:c r="A66" s="8" t="str">
        <x:v>Cocina P056</x:v>
      </x:c>
      <x:c r="B66" s="10" t="str">
        <x:v>S3 Alacena 65,5 · Puerta izquierda</x:v>
      </x:c>
      <x:c r="C66" s="10" t="str">
        <x:v>717 × 324.5</x:v>
      </x:c>
      <x:c r="D66" s="10" t="str">
        <x:v>713 × 320,5</x:v>
      </x:c>
      <x:c r="E66" s="10" t="str">
        <x:v>—</x:v>
      </x:c>
    </x:row>
    <x:row r="67" ht="38" customHeight="1">
      <x:c r="A67" s="8" t="str">
        <x:v>Cocina P057</x:v>
      </x:c>
      <x:c r="B67" s="10" t="str">
        <x:v>S3 Alacena 65,5 · Puerta derecha</x:v>
      </x:c>
      <x:c r="C67" s="10" t="str">
        <x:v>717 × 324.5</x:v>
      </x:c>
      <x:c r="D67" s="10" t="str">
        <x:v>713 × 320,5</x:v>
      </x:c>
      <x:c r="E67" s="10" t="str">
        <x:v>—</x:v>
      </x:c>
    </x:row>
    <x:row r="68" ht="38" customHeight="1">
      <x:c r="A68" s="8" t="str">
        <x:v>Cocina P058</x:v>
      </x:c>
      <x:c r="B68" s="10" t="str">
        <x:v>S4 Platero 71,5 · Lateral</x:v>
      </x:c>
      <x:c r="C68" s="10" t="str">
        <x:v>700 × 320</x:v>
      </x:c>
      <x:c r="D68" s="10" t="str">
        <x:v>699,1 × 319,55</x:v>
      </x:c>
      <x:c r="E68" s="10" t="str">
        <x:v>—</x:v>
      </x:c>
    </x:row>
    <x:row r="69" ht="38" customHeight="1">
      <x:c r="A69" s="8" t="str">
        <x:v>Cocina P059</x:v>
      </x:c>
      <x:c r="B69" s="10" t="str">
        <x:v>S4 Platero 71,5 · Techo</x:v>
      </x:c>
      <x:c r="C69" s="10" t="str">
        <x:v>685 × 320</x:v>
      </x:c>
      <x:c r="D69" s="10" t="str">
        <x:v>685 × 319,55</x:v>
      </x:c>
      <x:c r="E69" s="10" t="str">
        <x:v>—</x:v>
      </x:c>
    </x:row>
    <x:row r="70" ht="90" customHeight="1">
      <x:c r="A70" s="8" t="str">
        <x:v>Cocina P060</x:v>
      </x:c>
      <x:c r="B70" s="10" t="str">
        <x:v>S4 Platero 71,5 · Listón inferior delantero</x:v>
      </x:c>
      <x:c r="C70" s="10" t="str">
        <x:v>685 × 60</x:v>
      </x:c>
      <x:c r="D70" s="10" t="str">
        <x:v>684,1 × 59,1</x:v>
      </x:c>
      <x:c r="E70" s="10" t="str">
        <x:v>Si no la cantean: cortar a 684.1 × 59.1 y cantear en el armado.</x:v>
      </x:c>
    </x:row>
    <x:row r="71" ht="90" customHeight="1">
      <x:c r="A71" s="8" t="str">
        <x:v>Cocina P061</x:v>
      </x:c>
      <x:c r="B71" s="10" t="str">
        <x:v>S4 Platero 71,5 · Listón inferior trasero</x:v>
      </x:c>
      <x:c r="C71" s="10" t="str">
        <x:v>685 × 80</x:v>
      </x:c>
      <x:c r="D71" s="10" t="str">
        <x:v>684,1 × 79,1</x:v>
      </x:c>
      <x:c r="E71" s="10" t="str">
        <x:v>Si no la cantean: cortar a 684.1 × 79.1 y cantear en el armado.</x:v>
      </x:c>
    </x:row>
    <x:row r="72" ht="38" customHeight="1">
      <x:c r="A72" s="8" t="str">
        <x:v>Cocina P063</x:v>
      </x:c>
      <x:c r="B72" s="10" t="str">
        <x:v>S4 Platero 71,5 · Puerta izquierda</x:v>
      </x:c>
      <x:c r="C72" s="10" t="str">
        <x:v>717 × 354.5</x:v>
      </x:c>
      <x:c r="D72" s="10" t="str">
        <x:v>713 × 350,5</x:v>
      </x:c>
      <x:c r="E72" s="10" t="str">
        <x:v>—</x:v>
      </x:c>
    </x:row>
    <x:row r="73" ht="38" customHeight="1">
      <x:c r="A73" s="8" t="str">
        <x:v>Cocina P064</x:v>
      </x:c>
      <x:c r="B73" s="10" t="str">
        <x:v>S4 Platero 71,5 · Puerta derecha</x:v>
      </x:c>
      <x:c r="C73" s="10" t="str">
        <x:v>717 × 354.5</x:v>
      </x:c>
      <x:c r="D73" s="10" t="str">
        <x:v>713 × 350,5</x:v>
      </x:c>
      <x:c r="E73" s="10" t="str">
        <x:v>—</x:v>
      </x:c>
    </x:row>
    <x:row r="74" ht="38" customHeight="1">
      <x:c r="A74" s="8" t="str">
        <x:v>Cocina P065</x:v>
      </x:c>
      <x:c r="B74" s="10" t="str">
        <x:v>S5 Alacena 40 · Lateral</x:v>
      </x:c>
      <x:c r="C74" s="10" t="str">
        <x:v>700 × 320</x:v>
      </x:c>
      <x:c r="D74" s="10" t="str">
        <x:v>699,1 × 319,55</x:v>
      </x:c>
      <x:c r="E74" s="10" t="str">
        <x:v>—</x:v>
      </x:c>
    </x:row>
    <x:row r="75" ht="38" customHeight="1">
      <x:c r="A75" s="8" t="str">
        <x:v>Cocina P066</x:v>
      </x:c>
      <x:c r="B75" s="10" t="str">
        <x:v>S5 Alacena 40 · Techo</x:v>
      </x:c>
      <x:c r="C75" s="10" t="str">
        <x:v>370 × 320</x:v>
      </x:c>
      <x:c r="D75" s="10" t="str">
        <x:v>370 × 319,55</x:v>
      </x:c>
      <x:c r="E75" s="10" t="str">
        <x:v>—</x:v>
      </x:c>
    </x:row>
    <x:row r="76" ht="38" customHeight="1">
      <x:c r="A76" s="8" t="str">
        <x:v>Cocina P067</x:v>
      </x:c>
      <x:c r="B76" s="10" t="str">
        <x:v>S5 Alacena 40 · Piso</x:v>
      </x:c>
      <x:c r="C76" s="10" t="str">
        <x:v>370 × 320</x:v>
      </x:c>
      <x:c r="D76" s="10" t="str">
        <x:v>370 × 319,55</x:v>
      </x:c>
      <x:c r="E76" s="10" t="str">
        <x:v>—</x:v>
      </x:c>
    </x:row>
    <x:row r="77" ht="38" customHeight="1">
      <x:c r="A77" s="8" t="str">
        <x:v>Cocina P069</x:v>
      </x:c>
      <x:c r="B77" s="10" t="str">
        <x:v>S5 Alacena 40 · Entrepaño regulable</x:v>
      </x:c>
      <x:c r="C77" s="10" t="str">
        <x:v>368 × 300</x:v>
      </x:c>
      <x:c r="D77" s="10" t="str">
        <x:v>368 × 299,55</x:v>
      </x:c>
      <x:c r="E77" s="10" t="str">
        <x:v>—</x:v>
      </x:c>
    </x:row>
    <x:row r="78" ht="38" customHeight="1">
      <x:c r="A78" s="8" t="str">
        <x:v>Cocina P070</x:v>
      </x:c>
      <x:c r="B78" s="10" t="str">
        <x:v>S5 Alacena 40 · Puerta</x:v>
      </x:c>
      <x:c r="C78" s="10" t="str">
        <x:v>717 × 397</x:v>
      </x:c>
      <x:c r="D78" s="10" t="str">
        <x:v>713 × 393</x:v>
      </x:c>
      <x:c r="E78" s="10" t="str">
        <x:v>—</x:v>
      </x:c>
    </x:row>
    <x:row r="79" ht="90" customHeight="1">
      <x:c r="A79" s="8" t="str">
        <x:v>Clóset C3-001</x:v>
      </x:c>
      <x:c r="B79" s="10" t="str">
        <x:v>EST · Lateral exterior</x:v>
      </x:c>
      <x:c r="C79" s="10" t="str">
        <x:v>2280 × 560</x:v>
      </x:c>
      <x:c r="D79" s="10" t="str">
        <x:v>2279,1 × 559,55</x:v>
      </x:c>
      <x:c r="E79" s="10" t="str">
        <x:v>Rebaje superior para el listón de pino 4 × 4 en taller.</x:v>
      </x:c>
    </x:row>
    <x:row r="80" ht="38" customHeight="1">
      <x:c r="A80" s="8" t="str">
        <x:v>Clóset C3-002</x:v>
      </x:c>
      <x:c r="B80" s="10" t="str">
        <x:v>EST · Divisor central</x:v>
      </x:c>
      <x:c r="C80" s="10" t="str">
        <x:v>2280 × 490</x:v>
      </x:c>
      <x:c r="D80" s="10" t="str">
        <x:v>2279,55 × 489,55</x:v>
      </x:c>
      <x:c r="E80" s="10" t="str">
        <x:v>—</x:v>
      </x:c>
    </x:row>
    <x:row r="81" ht="38" customHeight="1">
      <x:c r="A81" s="8" t="str">
        <x:v>Clóset C3-003</x:v>
      </x:c>
      <x:c r="B81" s="10" t="str">
        <x:v>B1 · Piso sobre base</x:v>
      </x:c>
      <x:c r="C81" s="10" t="str">
        <x:v>830 × 560</x:v>
      </x:c>
      <x:c r="D81" s="10" t="str">
        <x:v>829,55 × 559,55</x:v>
      </x:c>
      <x:c r="E81" s="10" t="str">
        <x:v>—</x:v>
      </x:c>
    </x:row>
    <x:row r="82" ht="38" customHeight="1">
      <x:c r="A82" s="8" t="str">
        <x:v>Clóset C3-004</x:v>
      </x:c>
      <x:c r="B82" s="10" t="str">
        <x:v>B1 · Tapa superior</x:v>
      </x:c>
      <x:c r="C82" s="10" t="str">
        <x:v>830 × 505</x:v>
      </x:c>
      <x:c r="D82" s="10" t="str">
        <x:v>830 × 504,55</x:v>
      </x:c>
      <x:c r="E82" s="10" t="str">
        <x:v>—</x:v>
      </x:c>
    </x:row>
    <x:row r="83" ht="38" customHeight="1">
      <x:c r="A83" s="8" t="str">
        <x:v>Clóset C3-005</x:v>
      </x:c>
      <x:c r="B83" s="10" t="str">
        <x:v>B1 · Fondo RH15</x:v>
      </x:c>
      <x:c r="C83" s="10" t="str">
        <x:v>2250 × 830</x:v>
      </x:c>
      <x:c r="D83" s="10" t="str">
        <x:v>2250 × 830</x:v>
      </x:c>
      <x:c r="E83" s="10" t="str">
        <x:v>—</x:v>
      </x:c>
    </x:row>
    <x:row r="84" ht="38" customHeight="1">
      <x:c r="A84" s="8" t="str">
        <x:v>Clóset C3-006</x:v>
      </x:c>
      <x:c r="B84" s="10" t="str">
        <x:v>B1 · Piso de maletero</x:v>
      </x:c>
      <x:c r="C84" s="10" t="str">
        <x:v>830 × 475</x:v>
      </x:c>
      <x:c r="D84" s="10" t="str">
        <x:v>830 × 474,55</x:v>
      </x:c>
      <x:c r="E84" s="10" t="str">
        <x:v>—</x:v>
      </x:c>
    </x:row>
    <x:row r="85" ht="90" customHeight="1">
      <x:c r="A85" s="8" t="str">
        <x:v>Clóset C3-007</x:v>
      </x:c>
      <x:c r="B85" s="10" t="str">
        <x:v>B1 · Refuerzo frontal de maletero</x:v>
      </x:c>
      <x:c r="C85" s="10" t="str">
        <x:v>830 × 80</x:v>
      </x:c>
      <x:c r="D85" s="10" t="str">
        <x:v>830 × 79,55</x:v>
      </x:c>
      <x:c r="E85" s="10" t="str">
        <x:v>Si no la cantean: cortar a 830 × 79.55 y cantear en el armado.</x:v>
      </x:c>
    </x:row>
    <x:row r="86" ht="90" customHeight="1">
      <x:c r="A86" s="8" t="str">
        <x:v>Clóset C3-008</x:v>
      </x:c>
      <x:c r="B86" s="10" t="str">
        <x:v>B1 · Refuerzo trasero de maletero</x:v>
      </x:c>
      <x:c r="C86" s="10" t="str">
        <x:v>830 × 100</x:v>
      </x:c>
      <x:c r="D86" s="10" t="str">
        <x:v>830 × 99,55</x:v>
      </x:c>
      <x:c r="E86" s="10" t="str">
        <x:v>Si no la cantean: cortar a 830 × 99.55 y cantear en el armado.</x:v>
      </x:c>
    </x:row>
    <x:row r="87" ht="38" customHeight="1">
      <x:c r="A87" s="8" t="str">
        <x:v>Clóset C3-009</x:v>
      </x:c>
      <x:c r="B87" s="10" t="str">
        <x:v>B2 · Piso sobre base</x:v>
      </x:c>
      <x:c r="C87" s="10" t="str">
        <x:v>1075 × 560</x:v>
      </x:c>
      <x:c r="D87" s="10" t="str">
        <x:v>1074,55 × 559,55</x:v>
      </x:c>
      <x:c r="E87" s="10" t="str">
        <x:v>—</x:v>
      </x:c>
    </x:row>
    <x:row r="88" ht="38" customHeight="1">
      <x:c r="A88" s="8" t="str">
        <x:v>Clóset C3-010</x:v>
      </x:c>
      <x:c r="B88" s="10" t="str">
        <x:v>B2 · Tapa superior</x:v>
      </x:c>
      <x:c r="C88" s="10" t="str">
        <x:v>1075 × 505</x:v>
      </x:c>
      <x:c r="D88" s="10" t="str">
        <x:v>1075 × 504,55</x:v>
      </x:c>
      <x:c r="E88" s="10" t="str">
        <x:v>—</x:v>
      </x:c>
    </x:row>
    <x:row r="89" ht="38" customHeight="1">
      <x:c r="A89" s="8" t="str">
        <x:v>Clóset C3-011</x:v>
      </x:c>
      <x:c r="B89" s="10" t="str">
        <x:v>B2 · Fondo RH15</x:v>
      </x:c>
      <x:c r="C89" s="10" t="str">
        <x:v>2250 × 1075</x:v>
      </x:c>
      <x:c r="D89" s="10" t="str">
        <x:v>2250 × 1075</x:v>
      </x:c>
      <x:c r="E89" s="10" t="str">
        <x:v>—</x:v>
      </x:c>
    </x:row>
    <x:row r="90" ht="38" customHeight="1">
      <x:c r="A90" s="8" t="str">
        <x:v>Clóset C3-012</x:v>
      </x:c>
      <x:c r="B90" s="10" t="str">
        <x:v>B2 · Piso de maletero</x:v>
      </x:c>
      <x:c r="C90" s="10" t="str">
        <x:v>1075 × 475</x:v>
      </x:c>
      <x:c r="D90" s="10" t="str">
        <x:v>1075 × 474,55</x:v>
      </x:c>
      <x:c r="E90" s="10" t="str">
        <x:v>—</x:v>
      </x:c>
    </x:row>
    <x:row r="91" ht="90" customHeight="1">
      <x:c r="A91" s="8" t="str">
        <x:v>Clóset C3-013</x:v>
      </x:c>
      <x:c r="B91" s="10" t="str">
        <x:v>B2 · Refuerzo frontal de maletero</x:v>
      </x:c>
      <x:c r="C91" s="10" t="str">
        <x:v>1075 × 80</x:v>
      </x:c>
      <x:c r="D91" s="10" t="str">
        <x:v>1075 × 79,55</x:v>
      </x:c>
      <x:c r="E91" s="10" t="str">
        <x:v>Si no la cantean: cortar a 1075 × 79.55 y cantear en el armado.</x:v>
      </x:c>
    </x:row>
    <x:row r="92" ht="90" customHeight="1">
      <x:c r="A92" s="8" t="str">
        <x:v>Clóset C3-014</x:v>
      </x:c>
      <x:c r="B92" s="10" t="str">
        <x:v>B2 · Refuerzo trasero de maletero</x:v>
      </x:c>
      <x:c r="C92" s="10" t="str">
        <x:v>1075 × 100</x:v>
      </x:c>
      <x:c r="D92" s="10" t="str">
        <x:v>1075 × 99,55</x:v>
      </x:c>
      <x:c r="E92" s="10" t="str">
        <x:v>Si no la cantean: cortar a 1075 × 99.55 y cantear en el armado.</x:v>
      </x:c>
    </x:row>
    <x:row r="93" ht="90" customHeight="1">
      <x:c r="A93" s="8" t="str">
        <x:v>Clóset C3-015</x:v>
      </x:c>
      <x:c r="B93" s="10" t="str">
        <x:v>B1 · Frente de cajón</x:v>
      </x:c>
      <x:c r="C93" s="10" t="str">
        <x:v>824 × 210</x:v>
      </x:c>
      <x:c r="D93" s="10" t="str">
        <x:v>820 × 206</x:v>
      </x:c>
      <x:c r="E93" s="10" t="str">
        <x:v>Veta horizontal: frente de 824 de ancho, queda detrás de las hojas.</x:v>
      </x:c>
    </x:row>
    <x:row r="94" ht="38" customHeight="1">
      <x:c r="A94" s="8" t="str">
        <x:v>Clóset C3-016</x:v>
      </x:c>
      <x:c r="B94" s="10" t="str">
        <x:v>B1 · Costado de cajón</x:v>
      </x:c>
      <x:c r="C94" s="10" t="str">
        <x:v>450 × 155</x:v>
      </x:c>
      <x:c r="D94" s="10" t="str">
        <x:v>449,55 × 154,55</x:v>
      </x:c>
      <x:c r="E94" s="10" t="str">
        <x:v>—</x:v>
      </x:c>
    </x:row>
    <x:row r="95" ht="38" customHeight="1">
      <x:c r="A95" s="8" t="str">
        <x:v>Clóset C3-017</x:v>
      </x:c>
      <x:c r="B95" s="10" t="str">
        <x:v>B1 · Base aplicada de cajón</x:v>
      </x:c>
      <x:c r="C95" s="10" t="str">
        <x:v>803 × 450</x:v>
      </x:c>
      <x:c r="D95" s="10" t="str">
        <x:v>802,1 × 449,55</x:v>
      </x:c>
      <x:c r="E95" s="10" t="str">
        <x:v>—</x:v>
      </x:c>
    </x:row>
    <x:row r="96" ht="38" customHeight="1">
      <x:c r="A96" s="8" t="str">
        <x:v>Clóset C3-018</x:v>
      </x:c>
      <x:c r="B96" s="10" t="str">
        <x:v>B1 · Frente / trasero interior de cajón</x:v>
      </x:c>
      <x:c r="C96" s="10" t="str">
        <x:v>773 × 155</x:v>
      </x:c>
      <x:c r="D96" s="10" t="str">
        <x:v>773 × 154,55</x:v>
      </x:c>
      <x:c r="E96" s="10" t="str">
        <x:v>—</x:v>
      </x:c>
    </x:row>
    <x:row r="97" ht="90" customHeight="1">
      <x:c r="A97" s="8" t="str">
        <x:v>Clóset C3-019</x:v>
      </x:c>
      <x:c r="B97" s="10" t="str">
        <x:v>B1 · Refuerzo bajo base de cajón</x:v>
      </x:c>
      <x:c r="C97" s="10" t="str">
        <x:v>803 × 40</x:v>
      </x:c>
      <x:c r="D97" s="10" t="str">
        <x:v>802,1 × 39,55</x:v>
      </x:c>
      <x:c r="E97" s="10" t="str">
        <x:v>Si no la cantean: cortar a 802.1 × 39.55 y cantear en el armado.</x:v>
      </x:c>
    </x:row>
    <x:row r="98" ht="90" customHeight="1">
      <x:c r="A98" s="8" t="str">
        <x:v>Clóset C3-020</x:v>
      </x:c>
      <x:c r="B98" s="10" t="str">
        <x:v>BASE · Zócalo frontal</x:v>
      </x:c>
      <x:c r="C98" s="10" t="str">
        <x:v>1950 × 92</x:v>
      </x:c>
      <x:c r="D98" s="10" t="str">
        <x:v>1949,1 × 91,1</x:v>
      </x:c>
      <x:c r="E98" s="10" t="str">
        <x:v>Si no la cantean: cortar a 1949.1 × 91.1 y cantear en el armado.</x:v>
      </x:c>
    </x:row>
    <x:row r="99" ht="90" customHeight="1">
      <x:c r="A99" s="8" t="str">
        <x:v>Clóset C3-021</x:v>
      </x:c>
      <x:c r="B99" s="10" t="str">
        <x:v>BASE · Travesaño trasero de base</x:v>
      </x:c>
      <x:c r="C99" s="10" t="str">
        <x:v>1950 × 80</x:v>
      </x:c>
      <x:c r="D99" s="10" t="str">
        <x:v>1949,1 × 79,1</x:v>
      </x:c>
      <x:c r="E99" s="10" t="str">
        <x:v>Si no la cantean: cortar a 1949.1 × 79.1 y cantear en el armado.</x:v>
      </x:c>
    </x:row>
    <x:row r="100" ht="90" customHeight="1">
      <x:c r="A100" s="8" t="str">
        <x:v>Clóset C3-022</x:v>
      </x:c>
      <x:c r="B100" s="10" t="str">
        <x:v>BASE · Travesaño de base</x:v>
      </x:c>
      <x:c r="C100" s="10" t="str">
        <x:v>480 × 80</x:v>
      </x:c>
      <x:c r="D100" s="10" t="str">
        <x:v>479,1 × 79,1</x:v>
      </x:c>
      <x:c r="E100" s="10" t="str">
        <x:v>Si no la cantean: cortar a 479.1 × 79.1 y cantear en el armado.</x:v>
      </x:c>
    </x:row>
    <x:row r="101" ht="90" customHeight="1">
      <x:c r="A101" s="8" t="str">
        <x:v>Clóset C3-023</x:v>
      </x:c>
      <x:c r="B101" s="10" t="str">
        <x:v>PUERTAS · Hoja corrediza RH15</x:v>
      </x:c>
      <x:c r="C101" s="10" t="str">
        <x:v>2175 × 975</x:v>
      </x:c>
      <x:c r="D101" s="10" t="str">
        <x:v>2191 × 971</x:v>
      </x:c>
      <x:c r="E101" s="10" t="str">
        <x:v>Pedida 20 mm más alta (2195 en vez de 2175): en el armado, con el riel y los carros puestos, recortar el borde superior —tapado por la solapa— hasta que la guía inferior sujete la hoja. Nunca debe quedar corta.</x:v>
      </x:c>
    </x:row>
    <x:row r="102" ht="38" customHeight="1">
      <x:c r="A102" s="8" t="str">
        <x:v>Clóset C3-024</x:v>
      </x:c>
      <x:c r="B102" s="10" t="str">
        <x:v>EST · Solapa frontal</x:v>
      </x:c>
      <x:c r="C102" s="10" t="str">
        <x:v>1950 × 120</x:v>
      </x:c>
      <x:c r="D102" s="10" t="str">
        <x:v>1949,1 × 119,1</x:v>
      </x:c>
      <x:c r="E102" s="10" t="str">
        <x:v>—</x:v>
      </x:c>
    </x:row>
    <x:row r="103" ht="90" customHeight="1">
      <x:c r="A103" s="8" t="str">
        <x:v>Baño B01</x:v>
      </x:c>
      <x:c r="B103" s="10" t="str">
        <x:v>BAJO · Lateral</x:v>
      </x:c>
      <x:c r="C103" s="10" t="str">
        <x:v>470 × 450</x:v>
      </x:c>
      <x:c r="D103" s="10" t="str">
        <x:v>469,1 × 449,1</x:v>
      </x:c>
      <x:c r="E103" s="10" t="str">
        <x:v>Zona húmeda: proteger todos los bordes y sellar perforaciones; dimensiones terminadas. Canto flexible 0,45 mm en todo el perímetro; mantener sellados recortes y perforaciones.</x:v>
      </x:c>
    </x:row>
    <x:row r="104" ht="90" customHeight="1">
      <x:c r="A104" s="8" t="str">
        <x:v>Baño B02</x:v>
      </x:c>
      <x:c r="B104" s="10" t="str">
        <x:v>BAJO · Piso</x:v>
      </x:c>
      <x:c r="C104" s="10" t="str">
        <x:v>490 × 450</x:v>
      </x:c>
      <x:c r="D104" s="10" t="str">
        <x:v>489,1 × 449,1</x:v>
      </x:c>
      <x:c r="E104" s="10" t="str">
        <x:v>Zona húmeda: proteger todos los bordes y sellar perforaciones; dimensiones terminadas. Canto flexible 0,45 mm en todo el perímetro; mantener sellados recortes y perforaciones.</x:v>
      </x:c>
    </x:row>
    <x:row r="105" ht="90" customHeight="1">
      <x:c r="A105" s="8" t="str">
        <x:v>Baño B03</x:v>
      </x:c>
      <x:c r="B105" s="10" t="str">
        <x:v>BAJO · Entrepaño retranqueado con reserva de sifón</x:v>
      </x:c>
      <x:c r="C105" s="10" t="str">
        <x:v>490 × 405</x:v>
      </x:c>
      <x:c r="D105" s="10" t="str">
        <x:v>489,1 × 404,1</x:v>
      </x:c>
      <x:c r="E105" s="10" t="str">
        <x:v>Zona húmeda: proteger todos los bordes y sellar perforaciones; dimensiones terminadas. Nicho libre de 150 mm bajo granito. Recorte trasero ilustrativo 100 × 270 mm, centrado; no mecanizar sin sifón real. Retranqueo frontal de 30 mm para agarre. Canto flexible 0,45 mm en todo el perímetro; mantener sellados recortes y perforaciones.</x:v>
      </x:c>
    </x:row>
    <x:row r="106" ht="90" customHeight="1">
      <x:c r="A106" s="8" t="str">
        <x:v>Baño B04</x:v>
      </x:c>
      <x:c r="B106" s="10" t="str">
        <x:v>BAJO · Travesaño trasero superior lateral</x:v>
      </x:c>
      <x:c r="C106" s="10" t="str">
        <x:v>195 × 80</x:v>
      </x:c>
      <x:c r="D106" s="10" t="str">
        <x:v>194,1 × 79,1</x:v>
      </x:c>
      <x:c r="E106" s="10" t="str">
        <x:v>Si no la cantean: cortar a 194.1 × 79.1 y cantear en taller. Zona húmeda: proteger todos los bordes y sellar perforaciones; dimensiones terminadas. De canto, interrumpido en el centro para tuberías; no es un colgador certificado. Canto flexible 0,45 mm en todo el perímetro; mantener sellados recortes y perforaciones.</x:v>
      </x:c>
    </x:row>
    <x:row r="107" ht="90" customHeight="1">
      <x:c r="A107" s="8" t="str">
        <x:v>Baño B05</x:v>
      </x:c>
      <x:c r="B107" s="10" t="str">
        <x:v>BAJO · Travesaño trasero inferior</x:v>
      </x:c>
      <x:c r="C107" s="10" t="str">
        <x:v>490 × 80</x:v>
      </x:c>
      <x:c r="D107" s="10" t="str">
        <x:v>489,1 × 79,1</x:v>
      </x:c>
      <x:c r="E107" s="10" t="str">
        <x:v>Si no la cantean: cortar a 489.1 × 79.1 y cantear en taller. Zona húmeda: proteger todos los bordes y sellar perforaciones; dimensiones terminadas. Define rigidez posterior; anclajes y uniones por dimensionar. Canto flexible 0,45 mm en todo el perímetro; mantener sellados recortes y perforaciones.</x:v>
      </x:c>
    </x:row>
    <x:row r="108" ht="90" customHeight="1">
      <x:c r="A108" s="8" t="str">
        <x:v>Baño B06</x:v>
      </x:c>
      <x:c r="B108" s="10" t="str">
        <x:v>BAJO · Panel común para dos puertas: corte diagonal en armado</x:v>
      </x:c>
      <x:c r="C108" s="10" t="str">
        <x:v>299 × 517</x:v>
      </x:c>
      <x:c r="D108" s="10" t="str">
        <x:v>295 × 513</x:v>
      </x:c>
      <x:c r="E108" s="10" t="str">
        <x:v>Una sola pieza rectangular terminada 517 × 299 mm (veta vertical). Pedirla entera, con canto 2 mm en el perímetro; NO dividir en tienda. En el armado, corte central a 75° de la horizontal (provisional entre 70 y 80°) con el disco Diablo de 1,5 mm (corte de 0,059") y canto flexible 0,45 mm en los dos bordes nuevos. Holgura entre puertas tras cantear ≈0,6 mm: probablemente insuficiente (ver Pendientes). La medida de lista es del panel común, no de cada tapa.</x:v>
      </x:c>
    </x:row>
    <x:row r="109" ht="90" customHeight="1">
      <x:c r="A109" s="8" t="str">
        <x:v>Baño S01</x:v>
      </x:c>
      <x:c r="B109" s="10" t="str">
        <x:v>ESPEJO · Lateral gabinete superior</x:v>
      </x:c>
      <x:c r="C109" s="10" t="str">
        <x:v>500 × 105</x:v>
      </x:c>
      <x:c r="D109" s="10" t="str">
        <x:v>499,1 × 104,1</x:v>
      </x:c>
      <x:c r="E109" s="10" t="str">
        <x:v>Zona húmeda: proteger todos los bordes y sellar perforaciones; dimensiones terminadas. Fondo total 130 mm con panel 6 mm, holgura frontal 1 mm, tapa RH15 y espejo 3 mm. Canto flexible 0,45 mm en todo el perímetro; mantener sellados recortes y perforaciones.</x:v>
      </x:c>
    </x:row>
    <x:row r="110" ht="90" customHeight="1">
      <x:c r="A110" s="8" t="str">
        <x:v>Baño S02</x:v>
      </x:c>
      <x:c r="B110" s="10" t="str">
        <x:v>ESPEJO · Piso y techo gabinete superior</x:v>
      </x:c>
      <x:c r="C110" s="10" t="str">
        <x:v>420 × 105</x:v>
      </x:c>
      <x:c r="D110" s="10" t="str">
        <x:v>419,1 × 104,1</x:v>
      </x:c>
      <x:c r="E110" s="10" t="str">
        <x:v>Zona húmeda: proteger todos los bordes y sellar perforaciones; dimensiones terminadas. Canto flexible 0,45 mm en todo el perímetro; mantener sellados recortes y perforaciones.</x:v>
      </x:c>
    </x:row>
    <x:row r="111" ht="90" customHeight="1">
      <x:c r="A111" s="8" t="str">
        <x:v>Baño S03</x:v>
      </x:c>
      <x:c r="B111" s="10" t="str">
        <x:v>ESPEJO · División vertical</x:v>
      </x:c>
      <x:c r="C111" s="10" t="str">
        <x:v>470 × 105</x:v>
      </x:c>
      <x:c r="D111" s="10" t="str">
        <x:v>469,1 × 104,1</x:v>
      </x:c>
      <x:c r="E111" s="10" t="str">
        <x:v>Zona húmeda: proteger todos los bordes y sellar perforaciones; dimensiones terminadas. Interior cerrado 290 mm; columna derecha abierta 115 mm. Canto flexible 0,45 mm en todo el perímetro; mantener sellados recortes y perforaciones.</x:v>
      </x:c>
    </x:row>
    <x:row r="112" ht="90" customHeight="1">
      <x:c r="A112" s="8" t="str">
        <x:v>Baño S04</x:v>
      </x:c>
      <x:c r="B112" s="10" t="str">
        <x:v>ESPEJO · Entrepaño interior izquierdo</x:v>
      </x:c>
      <x:c r="C112" s="10" t="str">
        <x:v>290 × 100</x:v>
      </x:c>
      <x:c r="D112" s="10" t="str">
        <x:v>289,1 × 99,1</x:v>
      </x:c>
      <x:c r="E112" s="10" t="str">
        <x:v>Si no la cantean: cortar a 289.1 × 99.1 y cantear en taller. Zona húmeda: proteger todos los bordes y sellar perforaciones; dimensiones terminadas. Dos entrepaños fijos como la referencia. Canto flexible 0,45 mm en todo el perímetro; mantener sellados recortes y perforaciones.</x:v>
      </x:c>
    </x:row>
    <x:row r="113" ht="90" customHeight="1">
      <x:c r="A113" s="8" t="str">
        <x:v>Baño S05</x:v>
      </x:c>
      <x:c r="B113" s="10" t="str">
        <x:v>ESPEJO · Entrepaño columna abierta derecha</x:v>
      </x:c>
      <x:c r="C113" s="10" t="str">
        <x:v>115 × 100</x:v>
      </x:c>
      <x:c r="D113" s="10" t="str">
        <x:v>114,1 × 99,1</x:v>
      </x:c>
      <x:c r="E113" s="10" t="str">
        <x:v>Si no la cantean: cortar a 114.1 × 99.1 y cantear en taller. Zona húmeda: proteger todos los bordes y sellar perforaciones; dimensiones terminadas. Canto flexible 0,45 mm en todo el perímetro; mantener sellados recortes y perforaciones.</x:v>
      </x:c>
    </x:row>
    <x:row r="114" ht="90" customHeight="1">
      <x:c r="A114" s="8" t="str">
        <x:v>Baño S06</x:v>
      </x:c>
      <x:c r="B114" s="10" t="str">
        <x:v>ESPEJO · Tapa RH15 portadora del espejo</x:v>
      </x:c>
      <x:c r="C114" s="10" t="str">
        <x:v>500 × 320</x:v>
      </x:c>
      <x:c r="D114" s="10" t="str">
        <x:v>499,1 × 319,1</x:v>
      </x:c>
      <x:c r="E114" s="10" t="str">
        <x:v>Medida exterior de referencia 320 × 500; espejo pegado en cara exterior. Dos bisagras candidatas, peso conjunto aproximado 2,8 kg sin herrajes. Validar holguras, cazoletas y adhesivo compatible con espejo. Canto flexible 0,45 mm en todo el perímetro; mantener sellados recortes y perforaciones.</x:v>
      </x:c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</x:sheetData>
  <x:mergeCells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11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9" hidden="0" customWidth="1"/>
    <x:col min="15" max="15" width="19" hidden="0" customWidth="1"/>
    <x:col min="16" max="16" width="24" hidden="0" customWidth="1"/>
    <x:col min="17" max="17" width="85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</x:row>
    <x:row r="2">
      <x:c r="A2" s="9" t="str">
        <x:v>Recepción: bordes que faltan por cantear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3" ht="45" customHeight="1">
      <x:c r="A3" s="10" t="str">
        <x:v>Al recibir: en J–M anota cuántas unidades tienen ese borde SIN canto (0 = todas canteadas). Deja vacío hasta revisar. Amarillo = editable; gris = borde sin canto solicitado. Los cálculos son de material pendiente; no descuentan espesor otra vez.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>
      <x:c r="A4" s="8" t="str">
        <x:v>Referencias por revisar</x:v>
      </x:c>
      <x:c r="B4" s="8"/>
      <x:c r="C4" s="8" t="n">
        <x:f>COUNTIFS(P10:P107,"POR REVISAR")</x:f>
        <x:v>96</x:v>
      </x:c>
      <x:c r="D4" s="8" t="str">
        <x:v>Rígido neto m</x:v>
      </x:c>
      <x:c r="E4" s="8"/>
      <x:c r="F4" s="8" t="str">
        <x:f>IF(C4&gt;0,"Revisar entrega",SUM(N10:N107))</x:f>
        <x:v>Revisar entrega</x:v>
      </x:c>
      <x:c r="G4" s="8" t="str">
        <x:v>Bordes rígidos</x:v>
      </x:c>
      <x:c r="H4" s="8"/>
      <x:c r="I4" s="8" t="str">
        <x:f>IF(C4&gt;0,"Revisar entrega",SUMPRODUCT(J10:J107,--(F10:F107="R"))+SUMPRODUCT(K10:K107,--(G10:G107="R"))+SUMPRODUCT(L10:L107,--(H10:H107="R"))+SUMPRODUCT(M10:M107,--(I10:I107="R")))</x:f>
        <x:v>Revisar entrega</x:v>
      </x:c>
      <x:c r="J4" s="8" t="str">
        <x:v>Estimado con reserva, m</x:v>
      </x:c>
      <x:c r="K4" s="8"/>
      <x:c r="L4" s="8" t="str">
        <x:f>IF(C4&gt;0,"Revisar entrega",ROUNDUP((F4+I4*$C$6)*(1+$C$7),0))</x:f>
        <x:v>Revisar entrega</x:v>
      </x:c>
      <x:c r="M4" s="8" t="str">
        <x:v>Metros disponibles</x:v>
      </x:c>
      <x:c r="N4" s="8"/>
      <x:c r="O4" s="11" t="n">
        <x:v>0</x:v>
      </x:c>
      <x:c r="P4" s="8" t="str">
        <x:v>Comprar m</x:v>
      </x:c>
      <x:c r="Q4" s="8" t="str">
        <x:f>IF(C4&gt;0,"Revisar entrega",MAX(L4-O4,0))</x:f>
        <x:v>Revisar entrega</x:v>
      </x:c>
    </x:row>
    <x:row r="5">
      <x:c r="A5" s="8"/>
      <x:c r="B5" s="8"/>
      <x:c r="C5" s="8"/>
      <x:c r="D5" s="8" t="str">
        <x:v>Flexible neto m</x:v>
      </x:c>
      <x:c r="E5" s="8"/>
      <x:c r="F5" s="8" t="str">
        <x:f>IF(C4&gt;0,"Revisar entrega",SUM(O10:O107))</x:f>
        <x:v>Revisar entrega</x:v>
      </x:c>
      <x:c r="G5" s="8" t="str">
        <x:v>Bordes flexibles</x:v>
      </x:c>
      <x:c r="H5" s="8"/>
      <x:c r="I5" s="8" t="str">
        <x:f>IF(C4&gt;0,"Revisar entrega",SUMPRODUCT(J10:J107,--(F10:F107="F"))+SUMPRODUCT(K10:K107,--(G10:G107="F"))+SUMPRODUCT(L10:L107,--(H10:H107="F"))+SUMPRODUCT(M10:M107,--(I10:I107="F")))</x:f>
        <x:v>Revisar entrega</x:v>
      </x:c>
      <x:c r="J5" s="8" t="str">
        <x:v>Estimado con reserva, m</x:v>
      </x:c>
      <x:c r="K5" s="8"/>
      <x:c r="L5" s="8" t="str">
        <x:f>IF(C4&gt;0,"Revisar entrega",ROUNDUP((F5+I5*$C$6)*(1+$C$7),0))</x:f>
        <x:v>Revisar entrega</x:v>
      </x:c>
      <x:c r="M5" s="8" t="str">
        <x:v>Metros disponibles</x:v>
      </x:c>
      <x:c r="N5" s="8"/>
      <x:c r="O5" s="11" t="n">
        <x:v>0</x:v>
      </x:c>
      <x:c r="P5" s="8" t="str">
        <x:v>Comprar m</x:v>
      </x:c>
      <x:c r="Q5" s="8" t="str">
        <x:f>IF(C4&gt;0,"Revisar entrega",MAX(L5-O5,0))</x:f>
        <x:v>Revisar entrega</x:v>
      </x:c>
    </x:row>
    <x:row r="6">
      <x:c r="A6" s="8" t="str">
        <x:v>Extra por borde, m</x:v>
      </x:c>
      <x:c r="B6" s="8"/>
      <x:c r="C6" s="11" t="n">
        <x:v>0.1</x:v>
      </x:c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</x:row>
    <x:row r="7">
      <x:c r="A7" s="8" t="str">
        <x:v>Reserva adicional</x:v>
      </x:c>
      <x:c r="B7" s="8"/>
      <x:c r="C7" s="16" t="n">
        <x:v>0.2</x:v>
      </x:c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</x:row>
    <x:row r="9" ht="48" customHeight="1">
      <x:c r="A9" s="15" t="str">
        <x:v>Pieza</x:v>
      </x:c>
      <x:c r="B9" s="15" t="str">
        <x:v>Descripción</x:v>
      </x:c>
      <x:c r="C9" s="15" t="str">
        <x:v>Cantidad</x:v>
      </x:c>
      <x:c r="D9" s="15" t="str">
        <x:v>Largo final</x:v>
      </x:c>
      <x:c r="E9" s="15" t="str">
        <x:v>Ancho final</x:v>
      </x:c>
      <x:c r="F9" s="15" t="str">
        <x:v>Sup</x:v>
      </x:c>
      <x:c r="G9" s="15" t="str">
        <x:v>Inf</x:v>
      </x:c>
      <x:c r="H9" s="15" t="str">
        <x:v>Izq</x:v>
      </x:c>
      <x:c r="I9" s="15" t="str">
        <x:v>Der</x:v>
      </x:c>
      <x:c r="J9" s="15" t="str">
        <x:v>Sup sin canto</x:v>
      </x:c>
      <x:c r="K9" s="15" t="str">
        <x:v>Inf sin canto</x:v>
      </x:c>
      <x:c r="L9" s="15" t="str">
        <x:v>Izq sin canto</x:v>
      </x:c>
      <x:c r="M9" s="15" t="str">
        <x:v>Der sin canto</x:v>
      </x:c>
      <x:c r="N9" s="15" t="str">
        <x:v>Rígido neto m</x:v>
      </x:c>
      <x:c r="O9" s="15" t="str">
        <x:v>Flexible neto m</x:v>
      </x:c>
      <x:c r="P9" s="15" t="str">
        <x:v>Estado de revisión</x:v>
      </x:c>
      <x:c r="Q9" s="15" t="str">
        <x:v>Previsión / observación</x:v>
      </x:c>
    </x:row>
    <x:row r="10" ht="58" customHeight="1">
      <x:c r="A10" s="8" t="str">
        <x:v>Cocina P001</x:v>
      </x:c>
      <x:c r="B10" s="10" t="str">
        <x:v>Lateral</x:v>
      </x:c>
      <x:c r="C10" s="8" t="n">
        <x:v>2</x:v>
      </x:c>
      <x:c r="D10" s="8" t="n">
        <x:v>785</x:v>
      </x:c>
      <x:c r="E10" s="8" t="n">
        <x:v>580</x:v>
      </x:c>
      <x:c r="F10" s="8" t="str">
        <x:v>F</x:v>
      </x:c>
      <x:c r="G10" s="8" t="str">
        <x:v>—</x:v>
      </x:c>
      <x:c r="H10" s="8" t="str">
        <x:v>F</x:v>
      </x:c>
      <x:c r="I10" s="8" t="str">
        <x:v>—</x:v>
      </x:c>
      <x:c r="J10" s="11"/>
      <x:c r="K10" s="17" t="n">
        <x:v>0</x:v>
      </x:c>
      <x:c r="L10" s="11"/>
      <x:c r="M10" s="17" t="n">
        <x:v>0</x:v>
      </x:c>
      <x:c r="N10" s="18" t="str">
        <x:f>IF(COUNT(J10:M10)&lt;4,"Por revisar",(IF(F10="R",J10*D10,0)+IF(G10="R",K10*D10,0)+IF(H10="R",L10*E10,0)+IF(I10="R",M10*E10,0))/1000)</x:f>
        <x:v>Por revisar</x:v>
      </x:c>
      <x:c r="O10" s="18" t="str">
        <x:f>IF(COUNT(J10:M10)&lt;4,"Por revisar",(IF(F10="F",J10*D10,0)+IF(G10="F",K10*D10,0)+IF(H10="F",L10*E10,0)+IF(I10="F",M10*E10,0))/1000)</x:f>
        <x:v>Por revisar</x:v>
      </x:c>
      <x:c r="P10" s="8" t="str">
        <x:f>IF(COUNT(J10:M10)&lt;4,"POR REVISAR",IF(SUM(J10:M10)=0,"RECIBIDO CONFORME","CANTEAR A MANO"))</x:f>
        <x:v>POR REVISAR</x:v>
      </x:c>
      <x:c r="Q10" s="10" t="str">
        <x:v>Normal · Rebaje para la gola en el armado, cuando se defina el borde del granito; no lo hace el proveedor.</x:v>
      </x:c>
    </x:row>
    <x:row r="11" ht="58" customHeight="1">
      <x:c r="A11" s="8" t="str">
        <x:v>Cocina P002</x:v>
      </x:c>
      <x:c r="B11" s="10" t="str">
        <x:v>Piso</x:v>
      </x:c>
      <x:c r="C11" s="8" t="n">
        <x:v>1</x:v>
      </x:c>
      <x:c r="D11" s="8" t="n">
        <x:v>150</x:v>
      </x:c>
      <x:c r="E11" s="8" t="n">
        <x:v>580</x:v>
      </x:c>
      <x:c r="F11" s="8" t="str">
        <x:v>F</x:v>
      </x:c>
      <x:c r="G11" s="8" t="str">
        <x:v>—</x:v>
      </x:c>
      <x:c r="H11" s="8" t="str">
        <x:v>—</x:v>
      </x:c>
      <x:c r="I11" s="8" t="str">
        <x:v>—</x:v>
      </x:c>
      <x:c r="J11" s="11"/>
      <x:c r="K11" s="17" t="n">
        <x:v>0</x:v>
      </x:c>
      <x:c r="L11" s="17" t="n">
        <x:v>0</x:v>
      </x:c>
      <x:c r="M11" s="17" t="n">
        <x:v>0</x:v>
      </x:c>
      <x:c r="N11" s="18" t="str">
        <x:f>IF(COUNT(J11:M11)&lt;4,"Por revisar",(IF(F11="R",J11*D11,0)+IF(G11="R",K11*D11,0)+IF(H11="R",L11*E11,0)+IF(I11="R",M11*E11,0))/1000)</x:f>
        <x:v>Por revisar</x:v>
      </x:c>
      <x:c r="O11" s="18" t="str">
        <x:f>IF(COUNT(J11:M11)&lt;4,"Por revisar",(IF(F11="F",J11*D11,0)+IF(G11="F",K11*D11,0)+IF(H11="F",L11*E11,0)+IF(I11="F",M11*E11,0))/1000)</x:f>
        <x:v>Por revisar</x:v>
      </x:c>
      <x:c r="P11" s="8" t="str">
        <x:f>IF(COUNT(J11:M11)&lt;4,"POR REVISAR",IF(SUM(J11:M11)=0,"RECIBIDO CONFORME","CANTEAR A MANO"))</x:f>
        <x:v>POR REVISAR</x:v>
      </x:c>
      <x:c r="Q11" s="10" t="str">
        <x:v>Normal</x:v>
      </x:c>
    </x:row>
    <x:row r="12" ht="58" customHeight="1">
      <x:c r="A12" s="8" t="str">
        <x:v>Cocina P003</x:v>
      </x:c>
      <x:c r="B12" s="10" t="str">
        <x:v>Travesaño horizontal</x:v>
      </x:c>
      <x:c r="C12" s="8" t="n">
        <x:v>2</x:v>
      </x:c>
      <x:c r="D12" s="8" t="n">
        <x:v>150</x:v>
      </x:c>
      <x:c r="E12" s="8" t="n">
        <x:v>100</x:v>
      </x:c>
      <x:c r="F12" s="8" t="str">
        <x:v>F</x:v>
      </x:c>
      <x:c r="G12" s="8" t="str">
        <x:v>F</x:v>
      </x:c>
      <x:c r="H12" s="8" t="str">
        <x:v>—</x:v>
      </x:c>
      <x:c r="I12" s="8" t="str">
        <x:v>—</x:v>
      </x:c>
      <x:c r="J12" s="11"/>
      <x:c r="K12" s="11"/>
      <x:c r="L12" s="17" t="n">
        <x:v>0</x:v>
      </x:c>
      <x:c r="M12" s="17" t="n">
        <x:v>0</x:v>
      </x:c>
      <x:c r="N12" s="18" t="str">
        <x:f>IF(COUNT(J12:M12)&lt;4,"Por revisar",(IF(F12="R",J12*D12,0)+IF(G12="R",K12*D12,0)+IF(H12="R",L12*E12,0)+IF(I12="R",M12*E12,0))/1000)</x:f>
        <x:v>Por revisar</x:v>
      </x:c>
      <x:c r="O12" s="18" t="str">
        <x:f>IF(COUNT(J12:M12)&lt;4,"Por revisar",(IF(F12="F",J12*D12,0)+IF(G12="F",K12*D12,0)+IF(H12="F",L12*E12,0)+IF(I12="F",M12*E12,0))/1000)</x:f>
        <x:v>Por revisar</x:v>
      </x:c>
      <x:c r="P12" s="8" t="str">
        <x:f>IF(COUNT(J12:M12)&lt;4,"POR REVISAR",IF(SUM(J12:M12)=0,"RECIBIDO CONFORME","CANTEAR A MANO"))</x:f>
        <x:v>POR REVISAR</x:v>
      </x:c>
      <x:c r="Q12" s="10" t="str">
        <x:v>Pequeña · Si no la cantean: cortar a 150 × 99.1 y cantear en el armado. Rebaje para la gola en el armado, cuando se defina el borde del granito; no lo hace el proveedor.</x:v>
      </x:c>
    </x:row>
    <x:row r="13" ht="58" customHeight="1">
      <x:c r="A13" s="8" t="str">
        <x:v>Cocina P005</x:v>
      </x:c>
      <x:c r="B13" s="10" t="str">
        <x:v>Frente condimentero</x:v>
      </x:c>
      <x:c r="C13" s="8" t="n">
        <x:v>1</x:v>
      </x:c>
      <x:c r="D13" s="8" t="n">
        <x:v>732</x:v>
      </x:c>
      <x:c r="E13" s="8" t="n">
        <x:v>177</x:v>
      </x:c>
      <x:c r="F13" s="8" t="str">
        <x:v>R</x:v>
      </x:c>
      <x:c r="G13" s="8" t="str">
        <x:v>R</x:v>
      </x:c>
      <x:c r="H13" s="8" t="str">
        <x:v>R</x:v>
      </x:c>
      <x:c r="I13" s="8" t="str">
        <x:v>R</x:v>
      </x:c>
      <x:c r="J13" s="11"/>
      <x:c r="K13" s="11"/>
      <x:c r="L13" s="11"/>
      <x:c r="M13" s="11"/>
      <x:c r="N13" s="18" t="str">
        <x:f>IF(COUNT(J13:M13)&lt;4,"Por revisar",(IF(F13="R",J13*D13,0)+IF(G13="R",K13*D13,0)+IF(H13="R",L13*E13,0)+IF(I13="R",M13*E13,0))/1000)</x:f>
        <x:v>Por revisar</x:v>
      </x:c>
      <x:c r="O13" s="18" t="str">
        <x:f>IF(COUNT(J13:M13)&lt;4,"Por revisar",(IF(F13="F",J13*D13,0)+IF(G13="F",K13*D13,0)+IF(H13="F",L13*E13,0)+IF(I13="F",M13*E13,0))/1000)</x:f>
        <x:v>Por revisar</x:v>
      </x:c>
      <x:c r="P13" s="8" t="str">
        <x:f>IF(COUNT(J13:M13)&lt;4,"POR REVISAR",IF(SUM(J13:M13)=0,"RECIBIDO CONFORME","CANTEAR A MANO"))</x:f>
        <x:v>POR REVISAR</x:v>
      </x:c>
      <x:c r="Q13" s="10" t="str">
        <x:v>Normal</x:v>
      </x:c>
    </x:row>
    <x:row r="14" ht="58" customHeight="1">
      <x:c r="A14" s="8" t="str">
        <x:v>Cocina P006</x:v>
      </x:c>
      <x:c r="B14" s="10" t="str">
        <x:v>Lateral</x:v>
      </x:c>
      <x:c r="C14" s="8" t="n">
        <x:v>2</x:v>
      </x:c>
      <x:c r="D14" s="8" t="n">
        <x:v>785</x:v>
      </x:c>
      <x:c r="E14" s="8" t="n">
        <x:v>580</x:v>
      </x:c>
      <x:c r="F14" s="8" t="str">
        <x:v>F</x:v>
      </x:c>
      <x:c r="G14" s="8" t="str">
        <x:v>—</x:v>
      </x:c>
      <x:c r="H14" s="8" t="str">
        <x:v>F</x:v>
      </x:c>
      <x:c r="I14" s="8" t="str">
        <x:v>—</x:v>
      </x:c>
      <x:c r="J14" s="11"/>
      <x:c r="K14" s="17" t="n">
        <x:v>0</x:v>
      </x:c>
      <x:c r="L14" s="11"/>
      <x:c r="M14" s="17" t="n">
        <x:v>0</x:v>
      </x:c>
      <x:c r="N14" s="18" t="str">
        <x:f>IF(COUNT(J14:M14)&lt;4,"Por revisar",(IF(F14="R",J14*D14,0)+IF(G14="R",K14*D14,0)+IF(H14="R",L14*E14,0)+IF(I14="R",M14*E14,0))/1000)</x:f>
        <x:v>Por revisar</x:v>
      </x:c>
      <x:c r="O14" s="18" t="str">
        <x:f>IF(COUNT(J14:M14)&lt;4,"Por revisar",(IF(F14="F",J14*D14,0)+IF(G14="F",K14*D14,0)+IF(H14="F",L14*E14,0)+IF(I14="F",M14*E14,0))/1000)</x:f>
        <x:v>Por revisar</x:v>
      </x:c>
      <x:c r="P14" s="8" t="str">
        <x:f>IF(COUNT(J14:M14)&lt;4,"POR REVISAR",IF(SUM(J14:M14)=0,"RECIBIDO CONFORME","CANTEAR A MANO"))</x:f>
        <x:v>POR REVISAR</x:v>
      </x:c>
      <x:c r="Q14" s="10" t="str">
        <x:v>Normal</x:v>
      </x:c>
    </x:row>
    <x:row r="15" ht="58" customHeight="1">
      <x:c r="A15" s="8" t="str">
        <x:v>Cocina P007</x:v>
      </x:c>
      <x:c r="B15" s="10" t="str">
        <x:v>Piso de apoyo horno (validar montaje)</x:v>
      </x:c>
      <x:c r="C15" s="8" t="n">
        <x:v>1</x:v>
      </x:c>
      <x:c r="D15" s="8" t="n">
        <x:v>570</x:v>
      </x:c>
      <x:c r="E15" s="8" t="n">
        <x:v>580</x:v>
      </x:c>
      <x:c r="F15" s="8" t="str">
        <x:v>F</x:v>
      </x:c>
      <x:c r="G15" s="8" t="str">
        <x:v>—</x:v>
      </x:c>
      <x:c r="H15" s="8" t="str">
        <x:v>—</x:v>
      </x:c>
      <x:c r="I15" s="8" t="str">
        <x:v>—</x:v>
      </x:c>
      <x:c r="J15" s="11"/>
      <x:c r="K15" s="17" t="n">
        <x:v>0</x:v>
      </x:c>
      <x:c r="L15" s="17" t="n">
        <x:v>0</x:v>
      </x:c>
      <x:c r="M15" s="17" t="n">
        <x:v>0</x:v>
      </x:c>
      <x:c r="N15" s="18" t="str">
        <x:f>IF(COUNT(J15:M15)&lt;4,"Por revisar",(IF(F15="R",J15*D15,0)+IF(G15="R",K15*D15,0)+IF(H15="R",L15*E15,0)+IF(I15="R",M15*E15,0))/1000)</x:f>
        <x:v>Por revisar</x:v>
      </x:c>
      <x:c r="O15" s="18" t="str">
        <x:f>IF(COUNT(J15:M15)&lt;4,"Por revisar",(IF(F15="F",J15*D15,0)+IF(G15="F",K15*D15,0)+IF(H15="F",L15*E15,0)+IF(I15="F",M15*E15,0))/1000)</x:f>
        <x:v>Por revisar</x:v>
      </x:c>
      <x:c r="P15" s="8" t="str">
        <x:f>IF(COUNT(J15:M15)&lt;4,"POR REVISAR",IF(SUM(J15:M15)=0,"RECIBIDO CONFORME","CANTEAR A MANO"))</x:f>
        <x:v>POR REVISAR</x:v>
      </x:c>
      <x:c r="Q15" s="10" t="str">
        <x:v>Normal · Ranura de ventilación o paso de cable en obra, si el manual del horno lo pide.</x:v>
      </x:c>
    </x:row>
    <x:row r="16" ht="58" customHeight="1">
      <x:c r="A16" s="8" t="str">
        <x:v>Cocina P008</x:v>
      </x:c>
      <x:c r="B16" s="10" t="str">
        <x:v>Travesaño trasero</x:v>
      </x:c>
      <x:c r="C16" s="8" t="n">
        <x:v>1</x:v>
      </x:c>
      <x:c r="D16" s="8" t="n">
        <x:v>570</x:v>
      </x:c>
      <x:c r="E16" s="8" t="n">
        <x:v>100</x:v>
      </x:c>
      <x:c r="F16" s="8" t="str">
        <x:v>F</x:v>
      </x:c>
      <x:c r="G16" s="8" t="str">
        <x:v>—</x:v>
      </x:c>
      <x:c r="H16" s="8" t="str">
        <x:v>—</x:v>
      </x:c>
      <x:c r="I16" s="8" t="str">
        <x:v>—</x:v>
      </x:c>
      <x:c r="J16" s="11"/>
      <x:c r="K16" s="17" t="n">
        <x:v>0</x:v>
      </x:c>
      <x:c r="L16" s="17" t="n">
        <x:v>0</x:v>
      </x:c>
      <x:c r="M16" s="17" t="n">
        <x:v>0</x:v>
      </x:c>
      <x:c r="N16" s="18" t="str">
        <x:f>IF(COUNT(J16:M16)&lt;4,"Por revisar",(IF(F16="R",J16*D16,0)+IF(G16="R",K16*D16,0)+IF(H16="R",L16*E16,0)+IF(I16="R",M16*E16,0))/1000)</x:f>
        <x:v>Por revisar</x:v>
      </x:c>
      <x:c r="O16" s="18" t="str">
        <x:f>IF(COUNT(J16:M16)&lt;4,"Por revisar",(IF(F16="F",J16*D16,0)+IF(G16="F",K16*D16,0)+IF(H16="F",L16*E16,0)+IF(I16="F",M16*E16,0))/1000)</x:f>
        <x:v>Por revisar</x:v>
      </x:c>
      <x:c r="P16" s="8" t="str">
        <x:f>IF(COUNT(J16:M16)&lt;4,"POR REVISAR",IF(SUM(J16:M16)=0,"RECIBIDO CONFORME","CANTEAR A MANO"))</x:f>
        <x:v>POR REVISAR</x:v>
      </x:c>
      <x:c r="Q16" s="10" t="str">
        <x:v>Pequeña · Si no la cantean: cortar a 570 × 99.55 y cantear en el armado.</x:v>
      </x:c>
    </x:row>
    <x:row r="17" ht="58" customHeight="1">
      <x:c r="A17" s="8" t="str">
        <x:v>Cocina P009</x:v>
      </x:c>
      <x:c r="B17" s="10" t="str">
        <x:v>Repisa sobre horno (posición por manual)</x:v>
      </x:c>
      <x:c r="C17" s="8" t="n">
        <x:v>1</x:v>
      </x:c>
      <x:c r="D17" s="8" t="n">
        <x:v>570</x:v>
      </x:c>
      <x:c r="E17" s="8" t="n">
        <x:v>500</x:v>
      </x:c>
      <x:c r="F17" s="8" t="str">
        <x:v>F</x:v>
      </x:c>
      <x:c r="G17" s="8" t="str">
        <x:v>—</x:v>
      </x:c>
      <x:c r="H17" s="8" t="str">
        <x:v>—</x:v>
      </x:c>
      <x:c r="I17" s="8" t="str">
        <x:v>—</x:v>
      </x:c>
      <x:c r="J17" s="11"/>
      <x:c r="K17" s="17" t="n">
        <x:v>0</x:v>
      </x:c>
      <x:c r="L17" s="17" t="n">
        <x:v>0</x:v>
      </x:c>
      <x:c r="M17" s="17" t="n">
        <x:v>0</x:v>
      </x:c>
      <x:c r="N17" s="18" t="str">
        <x:f>IF(COUNT(J17:M17)&lt;4,"Por revisar",(IF(F17="R",J17*D17,0)+IF(G17="R",K17*D17,0)+IF(H17="R",L17*E17,0)+IF(I17="R",M17*E17,0))/1000)</x:f>
        <x:v>Por revisar</x:v>
      </x:c>
      <x:c r="O17" s="18" t="str">
        <x:f>IF(COUNT(J17:M17)&lt;4,"Por revisar",(IF(F17="F",J17*D17,0)+IF(G17="F",K17*D17,0)+IF(H17="F",L17*E17,0)+IF(I17="F",M17*E17,0))/1000)</x:f>
        <x:v>Por revisar</x:v>
      </x:c>
      <x:c r="P17" s="8" t="str">
        <x:f>IF(COUNT(J17:M17)&lt;4,"POR REVISAR",IF(SUM(J17:M17)=0,"RECIBIDO CONFORME","CANTEAR A MANO"))</x:f>
        <x:v>POR REVISAR</x:v>
      </x:c>
      <x:c r="Q17" s="10" t="str">
        <x:v>Normal · Su altura se fija en el armado según el manual del horno; si pide más ventilación atrás, recortar el borde trasero (sin canto).</x:v>
      </x:c>
    </x:row>
    <x:row r="18" ht="58" customHeight="1">
      <x:c r="A18" s="8" t="str">
        <x:v>Cocina P010</x:v>
      </x:c>
      <x:c r="B18" s="10" t="str">
        <x:v>Listón frontal de apoyo del mesón (de canto)</x:v>
      </x:c>
      <x:c r="C18" s="8" t="n">
        <x:v>1</x:v>
      </x:c>
      <x:c r="D18" s="8" t="n">
        <x:v>570</x:v>
      </x:c>
      <x:c r="E18" s="8" t="n">
        <x:v>80</x:v>
      </x:c>
      <x:c r="F18" s="8" t="str">
        <x:v>F</x:v>
      </x:c>
      <x:c r="G18" s="8" t="str">
        <x:v>—</x:v>
      </x:c>
      <x:c r="H18" s="8" t="str">
        <x:v>—</x:v>
      </x:c>
      <x:c r="I18" s="8" t="str">
        <x:v>—</x:v>
      </x:c>
      <x:c r="J18" s="11"/>
      <x:c r="K18" s="17" t="n">
        <x:v>0</x:v>
      </x:c>
      <x:c r="L18" s="17" t="n">
        <x:v>0</x:v>
      </x:c>
      <x:c r="M18" s="17" t="n">
        <x:v>0</x:v>
      </x:c>
      <x:c r="N18" s="18" t="str">
        <x:f>IF(COUNT(J18:M18)&lt;4,"Por revisar",(IF(F18="R",J18*D18,0)+IF(G18="R",K18*D18,0)+IF(H18="R",L18*E18,0)+IF(I18="R",M18*E18,0))/1000)</x:f>
        <x:v>Por revisar</x:v>
      </x:c>
      <x:c r="O18" s="18" t="str">
        <x:f>IF(COUNT(J18:M18)&lt;4,"Por revisar",(IF(F18="F",J18*D18,0)+IF(G18="F",K18*D18,0)+IF(H18="F",L18*E18,0)+IF(I18="F",M18*E18,0))/1000)</x:f>
        <x:v>Por revisar</x:v>
      </x:c>
      <x:c r="P18" s="8" t="str">
        <x:f>IF(COUNT(J18:M18)&lt;4,"POR REVISAR",IF(SUM(J18:M18)=0,"RECIBIDO CONFORME","CANTEAR A MANO"))</x:f>
        <x:v>POR REVISAR</x:v>
      </x:c>
      <x:c r="Q18" s="10" t="str">
        <x:v>Pequeña · Si no la cantean: cortar a 570 × 79.55 y cantear en el armado.</x:v>
      </x:c>
    </x:row>
    <x:row r="19" ht="58" customHeight="1">
      <x:c r="A19" s="8" t="str">
        <x:v>Cocina P011</x:v>
      </x:c>
      <x:c r="B19" s="10" t="str">
        <x:v>Panel fijo bajo estufa (ajustar con equipo)</x:v>
      </x:c>
      <x:c r="C19" s="8" t="n">
        <x:v>1</x:v>
      </x:c>
      <x:c r="D19" s="8" t="n">
        <x:v>160</x:v>
      </x:c>
      <x:c r="E19" s="8" t="n">
        <x:v>597</x:v>
      </x:c>
      <x:c r="F19" s="8" t="str">
        <x:v>F</x:v>
      </x:c>
      <x:c r="G19" s="8" t="str">
        <x:v>F</x:v>
      </x:c>
      <x:c r="H19" s="8" t="str">
        <x:v>F</x:v>
      </x:c>
      <x:c r="I19" s="8" t="str">
        <x:v>—</x:v>
      </x:c>
      <x:c r="J19" s="11"/>
      <x:c r="K19" s="11"/>
      <x:c r="L19" s="11"/>
      <x:c r="M19" s="17" t="n">
        <x:v>0</x:v>
      </x:c>
      <x:c r="N19" s="18" t="str">
        <x:f>IF(COUNT(J19:M19)&lt;4,"Por revisar",(IF(F19="R",J19*D19,0)+IF(G19="R",K19*D19,0)+IF(H19="R",L19*E19,0)+IF(I19="R",M19*E19,0))/1000)</x:f>
        <x:v>Por revisar</x:v>
      </x:c>
      <x:c r="O19" s="18" t="str">
        <x:f>IF(COUNT(J19:M19)&lt;4,"Por revisar",(IF(F19="F",J19*D19,0)+IF(G19="F",K19*D19,0)+IF(H19="F",L19*E19,0)+IF(I19="F",M19*E19,0))/1000)</x:f>
        <x:v>Por revisar</x:v>
      </x:c>
      <x:c r="P19" s="8" t="str">
        <x:f>IF(COUNT(J19:M19)&lt;4,"POR REVISAR",IF(SUM(J19:M19)=0,"RECIBIDO CONFORME","CANTEAR A MANO"))</x:f>
        <x:v>POR REVISAR</x:v>
      </x:c>
      <x:c r="Q19" s="10" t="str">
        <x:v>Normal · Pedida 15 mm más alta (160 en vez de 145): en el armado, recortar el borde superior —oculto bajo el mesón y sin canto— según el horno instalado.</x:v>
      </x:c>
    </x:row>
    <x:row r="20" ht="58" customHeight="1">
      <x:c r="A20" s="8" t="str">
        <x:v>Cocina P012</x:v>
      </x:c>
      <x:c r="B20" s="10" t="str">
        <x:v>Lateral</x:v>
      </x:c>
      <x:c r="C20" s="8" t="n">
        <x:v>2</x:v>
      </x:c>
      <x:c r="D20" s="8" t="n">
        <x:v>785</x:v>
      </x:c>
      <x:c r="E20" s="8" t="n">
        <x:v>580</x:v>
      </x:c>
      <x:c r="F20" s="8" t="str">
        <x:v>F</x:v>
      </x:c>
      <x:c r="G20" s="8" t="str">
        <x:v>—</x:v>
      </x:c>
      <x:c r="H20" s="8" t="str">
        <x:v>F</x:v>
      </x:c>
      <x:c r="I20" s="8" t="str">
        <x:v>—</x:v>
      </x:c>
      <x:c r="J20" s="11"/>
      <x:c r="K20" s="17" t="n">
        <x:v>0</x:v>
      </x:c>
      <x:c r="L20" s="11"/>
      <x:c r="M20" s="17" t="n">
        <x:v>0</x:v>
      </x:c>
      <x:c r="N20" s="18" t="str">
        <x:f>IF(COUNT(J20:M20)&lt;4,"Por revisar",(IF(F20="R",J20*D20,0)+IF(G20="R",K20*D20,0)+IF(H20="R",L20*E20,0)+IF(I20="R",M20*E20,0))/1000)</x:f>
        <x:v>Por revisar</x:v>
      </x:c>
      <x:c r="O20" s="18" t="str">
        <x:f>IF(COUNT(J20:M20)&lt;4,"Por revisar",(IF(F20="F",J20*D20,0)+IF(G20="F",K20*D20,0)+IF(H20="F",L20*E20,0)+IF(I20="F",M20*E20,0))/1000)</x:f>
        <x:v>Por revisar</x:v>
      </x:c>
      <x:c r="P20" s="8" t="str">
        <x:f>IF(COUNT(J20:M20)&lt;4,"POR REVISAR",IF(SUM(J20:M20)=0,"RECIBIDO CONFORME","CANTEAR A MANO"))</x:f>
        <x:v>POR REVISAR</x:v>
      </x:c>
      <x:c r="Q20" s="10" t="str">
        <x:v>Normal · Rebaje para la gola en el armado, cuando se defina el borde del granito; no lo hace el proveedor.</x:v>
      </x:c>
    </x:row>
    <x:row r="21" ht="58" customHeight="1">
      <x:c r="A21" s="8" t="str">
        <x:v>Cocina P013</x:v>
      </x:c>
      <x:c r="B21" s="10" t="str">
        <x:v>Piso</x:v>
      </x:c>
      <x:c r="C21" s="8" t="n">
        <x:v>1</x:v>
      </x:c>
      <x:c r="D21" s="8" t="n">
        <x:v>640</x:v>
      </x:c>
      <x:c r="E21" s="8" t="n">
        <x:v>580</x:v>
      </x:c>
      <x:c r="F21" s="8" t="str">
        <x:v>F</x:v>
      </x:c>
      <x:c r="G21" s="8" t="str">
        <x:v>—</x:v>
      </x:c>
      <x:c r="H21" s="8" t="str">
        <x:v>—</x:v>
      </x:c>
      <x:c r="I21" s="8" t="str">
        <x:v>—</x:v>
      </x:c>
      <x:c r="J21" s="11"/>
      <x:c r="K21" s="17" t="n">
        <x:v>0</x:v>
      </x:c>
      <x:c r="L21" s="17" t="n">
        <x:v>0</x:v>
      </x:c>
      <x:c r="M21" s="17" t="n">
        <x:v>0</x:v>
      </x:c>
      <x:c r="N21" s="18" t="str">
        <x:f>IF(COUNT(J21:M21)&lt;4,"Por revisar",(IF(F21="R",J21*D21,0)+IF(G21="R",K21*D21,0)+IF(H21="R",L21*E21,0)+IF(I21="R",M21*E21,0))/1000)</x:f>
        <x:v>Por revisar</x:v>
      </x:c>
      <x:c r="O21" s="18" t="str">
        <x:f>IF(COUNT(J21:M21)&lt;4,"Por revisar",(IF(F21="F",J21*D21,0)+IF(G21="F",K21*D21,0)+IF(H21="F",L21*E21,0)+IF(I21="F",M21*E21,0))/1000)</x:f>
        <x:v>Por revisar</x:v>
      </x:c>
      <x:c r="P21" s="8" t="str">
        <x:f>IF(COUNT(J21:M21)&lt;4,"POR REVISAR",IF(SUM(J21:M21)=0,"RECIBIDO CONFORME","CANTEAR A MANO"))</x:f>
        <x:v>POR REVISAR</x:v>
      </x:c>
      <x:c r="Q21" s="10" t="str">
        <x:v>Normal</x:v>
      </x:c>
    </x:row>
    <x:row r="22" ht="58" customHeight="1">
      <x:c r="A22" s="8" t="str">
        <x:v>Cocina P014</x:v>
      </x:c>
      <x:c r="B22" s="10" t="str">
        <x:v>Travesaño horizontal</x:v>
      </x:c>
      <x:c r="C22" s="8" t="n">
        <x:v>2</x:v>
      </x:c>
      <x:c r="D22" s="8" t="n">
        <x:v>640</x:v>
      </x:c>
      <x:c r="E22" s="8" t="n">
        <x:v>100</x:v>
      </x:c>
      <x:c r="F22" s="8" t="str">
        <x:v>F</x:v>
      </x:c>
      <x:c r="G22" s="8" t="str">
        <x:v>F</x:v>
      </x:c>
      <x:c r="H22" s="8" t="str">
        <x:v>—</x:v>
      </x:c>
      <x:c r="I22" s="8" t="str">
        <x:v>—</x:v>
      </x:c>
      <x:c r="J22" s="11"/>
      <x:c r="K22" s="11"/>
      <x:c r="L22" s="17" t="n">
        <x:v>0</x:v>
      </x:c>
      <x:c r="M22" s="17" t="n">
        <x:v>0</x:v>
      </x:c>
      <x:c r="N22" s="18" t="str">
        <x:f>IF(COUNT(J22:M22)&lt;4,"Por revisar",(IF(F22="R",J22*D22,0)+IF(G22="R",K22*D22,0)+IF(H22="R",L22*E22,0)+IF(I22="R",M22*E22,0))/1000)</x:f>
        <x:v>Por revisar</x:v>
      </x:c>
      <x:c r="O22" s="18" t="str">
        <x:f>IF(COUNT(J22:M22)&lt;4,"Por revisar",(IF(F22="F",J22*D22,0)+IF(G22="F",K22*D22,0)+IF(H22="F",L22*E22,0)+IF(I22="F",M22*E22,0))/1000)</x:f>
        <x:v>Por revisar</x:v>
      </x:c>
      <x:c r="P22" s="8" t="str">
        <x:f>IF(COUNT(J22:M22)&lt;4,"POR REVISAR",IF(SUM(J22:M22)=0,"RECIBIDO CONFORME","CANTEAR A MANO"))</x:f>
        <x:v>POR REVISAR</x:v>
      </x:c>
      <x:c r="Q22" s="10" t="str">
        <x:v>Pequeña · Si no la cantean: cortar a 640 × 99.1 y cantear en el armado. Rebaje para la gola en el armado, cuando se defina el borde del granito; no lo hace el proveedor.</x:v>
      </x:c>
    </x:row>
    <x:row r="23" ht="58" customHeight="1">
      <x:c r="A23" s="8" t="str">
        <x:v>Cocina P016</x:v>
      </x:c>
      <x:c r="B23" s="10" t="str">
        <x:v>Frente cajón superior cubiertero</x:v>
      </x:c>
      <x:c r="C23" s="8" t="n">
        <x:v>1</x:v>
      </x:c>
      <x:c r="D23" s="8" t="n">
        <x:v>167</x:v>
      </x:c>
      <x:c r="E23" s="8" t="n">
        <x:v>667</x:v>
      </x:c>
      <x:c r="F23" s="8" t="str">
        <x:v>R</x:v>
      </x:c>
      <x:c r="G23" s="8" t="str">
        <x:v>R</x:v>
      </x:c>
      <x:c r="H23" s="8" t="str">
        <x:v>R</x:v>
      </x:c>
      <x:c r="I23" s="8" t="str">
        <x:v>R</x:v>
      </x:c>
      <x:c r="J23" s="11"/>
      <x:c r="K23" s="11"/>
      <x:c r="L23" s="11"/>
      <x:c r="M23" s="11"/>
      <x:c r="N23" s="18" t="str">
        <x:f>IF(COUNT(J23:M23)&lt;4,"Por revisar",(IF(F23="R",J23*D23,0)+IF(G23="R",K23*D23,0)+IF(H23="R",L23*E23,0)+IF(I23="R",M23*E23,0))/1000)</x:f>
        <x:v>Por revisar</x:v>
      </x:c>
      <x:c r="O23" s="18" t="str">
        <x:f>IF(COUNT(J23:M23)&lt;4,"Por revisar",(IF(F23="F",J23*D23,0)+IF(G23="F",K23*D23,0)+IF(H23="F",L23*E23,0)+IF(I23="F",M23*E23,0))/1000)</x:f>
        <x:v>Por revisar</x:v>
      </x:c>
      <x:c r="P23" s="8" t="str">
        <x:f>IF(COUNT(J23:M23)&lt;4,"POR REVISAR",IF(SUM(J23:M23)=0,"RECIBIDO CONFORME","CANTEAR A MANO"))</x:f>
        <x:v>POR REVISAR</x:v>
      </x:c>
      <x:c r="Q23" s="10" t="str">
        <x:v>Normal</x:v>
      </x:c>
    </x:row>
    <x:row r="24" ht="58" customHeight="1">
      <x:c r="A24" s="8" t="str">
        <x:v>Cocina P017</x:v>
      </x:c>
      <x:c r="B24" s="10" t="str">
        <x:v>Cajón: base aplicada inferior</x:v>
      </x:c>
      <x:c r="C24" s="8" t="n">
        <x:v>1</x:v>
      </x:c>
      <x:c r="D24" s="8" t="n">
        <x:v>613</x:v>
      </x:c>
      <x:c r="E24" s="8" t="n">
        <x:v>550</x:v>
      </x:c>
      <x:c r="F24" s="8" t="str">
        <x:v>F</x:v>
      </x:c>
      <x:c r="G24" s="8" t="str">
        <x:v>—</x:v>
      </x:c>
      <x:c r="H24" s="8" t="str">
        <x:v>F</x:v>
      </x:c>
      <x:c r="I24" s="8" t="str">
        <x:v>F</x:v>
      </x:c>
      <x:c r="J24" s="11"/>
      <x:c r="K24" s="17" t="n">
        <x:v>0</x:v>
      </x:c>
      <x:c r="L24" s="11"/>
      <x:c r="M24" s="11"/>
      <x:c r="N24" s="18" t="str">
        <x:f>IF(COUNT(J24:M24)&lt;4,"Por revisar",(IF(F24="R",J24*D24,0)+IF(G24="R",K24*D24,0)+IF(H24="R",L24*E24,0)+IF(I24="R",M24*E24,0))/1000)</x:f>
        <x:v>Por revisar</x:v>
      </x:c>
      <x:c r="O24" s="18" t="str">
        <x:f>IF(COUNT(J24:M24)&lt;4,"Por revisar",(IF(F24="F",J24*D24,0)+IF(G24="F",K24*D24,0)+IF(H24="F",L24*E24,0)+IF(I24="F",M24*E24,0))/1000)</x:f>
        <x:v>Por revisar</x:v>
      </x:c>
      <x:c r="P24" s="8" t="str">
        <x:f>IF(COUNT(J24:M24)&lt;4,"POR REVISAR",IF(SUM(J24:M24)=0,"RECIBIDO CONFORME","CANTEAR A MANO"))</x:f>
        <x:v>POR REVISAR</x:v>
      </x:c>
      <x:c r="Q24" s="10" t="str">
        <x:v>Normal</x:v>
      </x:c>
    </x:row>
    <x:row r="25" ht="58" customHeight="1">
      <x:c r="A25" s="8" t="str">
        <x:v>Cocina P018</x:v>
      </x:c>
      <x:c r="B25" s="10" t="str">
        <x:v>Cajón: costado</x:v>
      </x:c>
      <x:c r="C25" s="8" t="n">
        <x:v>2</x:v>
      </x:c>
      <x:c r="D25" s="8" t="n">
        <x:v>550</x:v>
      </x:c>
      <x:c r="E25" s="8" t="n">
        <x:v>75</x:v>
      </x:c>
      <x:c r="F25" s="8" t="str">
        <x:v>F</x:v>
      </x:c>
      <x:c r="G25" s="8" t="str">
        <x:v>—</x:v>
      </x:c>
      <x:c r="H25" s="8" t="str">
        <x:v>F</x:v>
      </x:c>
      <x:c r="I25" s="8" t="str">
        <x:v>—</x:v>
      </x:c>
      <x:c r="J25" s="11"/>
      <x:c r="K25" s="17" t="n">
        <x:v>0</x:v>
      </x:c>
      <x:c r="L25" s="11"/>
      <x:c r="M25" s="17" t="n">
        <x:v>0</x:v>
      </x:c>
      <x:c r="N25" s="18" t="str">
        <x:f>IF(COUNT(J25:M25)&lt;4,"Por revisar",(IF(F25="R",J25*D25,0)+IF(G25="R",K25*D25,0)+IF(H25="R",L25*E25,0)+IF(I25="R",M25*E25,0))/1000)</x:f>
        <x:v>Por revisar</x:v>
      </x:c>
      <x:c r="O25" s="18" t="str">
        <x:f>IF(COUNT(J25:M25)&lt;4,"Por revisar",(IF(F25="F",J25*D25,0)+IF(G25="F",K25*D25,0)+IF(H25="F",L25*E25,0)+IF(I25="F",M25*E25,0))/1000)</x:f>
        <x:v>Por revisar</x:v>
      </x:c>
      <x:c r="P25" s="8" t="str">
        <x:f>IF(COUNT(J25:M25)&lt;4,"POR REVISAR",IF(SUM(J25:M25)=0,"RECIBIDO CONFORME","CANTEAR A MANO"))</x:f>
        <x:v>POR REVISAR</x:v>
      </x:c>
      <x:c r="Q25" s="10" t="str">
        <x:v>Pequeña · Si no la cantean: cortar a 549.55 × 74.55 y cantear en el armado.</x:v>
      </x:c>
    </x:row>
    <x:row r="26" ht="58" customHeight="1">
      <x:c r="A26" s="8" t="str">
        <x:v>Cocina P019</x:v>
      </x:c>
      <x:c r="B26" s="10" t="str">
        <x:v>Cajón: frente y trasero interiores</x:v>
      </x:c>
      <x:c r="C26" s="8" t="n">
        <x:v>2</x:v>
      </x:c>
      <x:c r="D26" s="8" t="n">
        <x:v>583</x:v>
      </x:c>
      <x:c r="E26" s="8" t="n">
        <x:v>75</x:v>
      </x:c>
      <x:c r="F26" s="8" t="str">
        <x:v>F</x:v>
      </x:c>
      <x:c r="G26" s="8" t="str">
        <x:v>—</x:v>
      </x:c>
      <x:c r="H26" s="8" t="str">
        <x:v>—</x:v>
      </x:c>
      <x:c r="I26" s="8" t="str">
        <x:v>—</x:v>
      </x:c>
      <x:c r="J26" s="11"/>
      <x:c r="K26" s="17" t="n">
        <x:v>0</x:v>
      </x:c>
      <x:c r="L26" s="17" t="n">
        <x:v>0</x:v>
      </x:c>
      <x:c r="M26" s="17" t="n">
        <x:v>0</x:v>
      </x:c>
      <x:c r="N26" s="18" t="str">
        <x:f>IF(COUNT(J26:M26)&lt;4,"Por revisar",(IF(F26="R",J26*D26,0)+IF(G26="R",K26*D26,0)+IF(H26="R",L26*E26,0)+IF(I26="R",M26*E26,0))/1000)</x:f>
        <x:v>Por revisar</x:v>
      </x:c>
      <x:c r="O26" s="18" t="str">
        <x:f>IF(COUNT(J26:M26)&lt;4,"Por revisar",(IF(F26="F",J26*D26,0)+IF(G26="F",K26*D26,0)+IF(H26="F",L26*E26,0)+IF(I26="F",M26*E26,0))/1000)</x:f>
        <x:v>Por revisar</x:v>
      </x:c>
      <x:c r="P26" s="8" t="str">
        <x:f>IF(COUNT(J26:M26)&lt;4,"POR REVISAR",IF(SUM(J26:M26)=0,"RECIBIDO CONFORME","CANTEAR A MANO"))</x:f>
        <x:v>POR REVISAR</x:v>
      </x:c>
      <x:c r="Q26" s="10" t="str">
        <x:v>Pequeña · Si no la cantean: cortar a 583 × 74.55 y cantear en el armado.</x:v>
      </x:c>
    </x:row>
    <x:row r="27" ht="58" customHeight="1">
      <x:c r="A27" s="8" t="str">
        <x:v>Cocina P020</x:v>
      </x:c>
      <x:c r="B27" s="10" t="str">
        <x:v>Puerta inferior izquierda</x:v>
      </x:c>
      <x:c r="C27" s="8" t="n">
        <x:v>1</x:v>
      </x:c>
      <x:c r="D27" s="8" t="n">
        <x:v>537</x:v>
      </x:c>
      <x:c r="E27" s="8" t="n">
        <x:v>332</x:v>
      </x:c>
      <x:c r="F27" s="8" t="str">
        <x:v>R</x:v>
      </x:c>
      <x:c r="G27" s="8" t="str">
        <x:v>R</x:v>
      </x:c>
      <x:c r="H27" s="8" t="str">
        <x:v>R</x:v>
      </x:c>
      <x:c r="I27" s="8" t="str">
        <x:v>R</x:v>
      </x:c>
      <x:c r="J27" s="11"/>
      <x:c r="K27" s="11"/>
      <x:c r="L27" s="11"/>
      <x:c r="M27" s="11"/>
      <x:c r="N27" s="18" t="str">
        <x:f>IF(COUNT(J27:M27)&lt;4,"Por revisar",(IF(F27="R",J27*D27,0)+IF(G27="R",K27*D27,0)+IF(H27="R",L27*E27,0)+IF(I27="R",M27*E27,0))/1000)</x:f>
        <x:v>Por revisar</x:v>
      </x:c>
      <x:c r="O27" s="18" t="str">
        <x:f>IF(COUNT(J27:M27)&lt;4,"Por revisar",(IF(F27="F",J27*D27,0)+IF(G27="F",K27*D27,0)+IF(H27="F",L27*E27,0)+IF(I27="F",M27*E27,0))/1000)</x:f>
        <x:v>Por revisar</x:v>
      </x:c>
      <x:c r="P27" s="8" t="str">
        <x:f>IF(COUNT(J27:M27)&lt;4,"POR REVISAR",IF(SUM(J27:M27)=0,"RECIBIDO CONFORME","CANTEAR A MANO"))</x:f>
        <x:v>POR REVISAR</x:v>
      </x:c>
      <x:c r="Q27" s="10" t="str">
        <x:v>Normal</x:v>
      </x:c>
    </x:row>
    <x:row r="28" ht="58" customHeight="1">
      <x:c r="A28" s="8" t="str">
        <x:v>Cocina P021</x:v>
      </x:c>
      <x:c r="B28" s="10" t="str">
        <x:v>Puerta inferior derecha</x:v>
      </x:c>
      <x:c r="C28" s="8" t="n">
        <x:v>1</x:v>
      </x:c>
      <x:c r="D28" s="8" t="n">
        <x:v>537</x:v>
      </x:c>
      <x:c r="E28" s="8" t="n">
        <x:v>332</x:v>
      </x:c>
      <x:c r="F28" s="8" t="str">
        <x:v>R</x:v>
      </x:c>
      <x:c r="G28" s="8" t="str">
        <x:v>R</x:v>
      </x:c>
      <x:c r="H28" s="8" t="str">
        <x:v>R</x:v>
      </x:c>
      <x:c r="I28" s="8" t="str">
        <x:v>R</x:v>
      </x:c>
      <x:c r="J28" s="11"/>
      <x:c r="K28" s="11"/>
      <x:c r="L28" s="11"/>
      <x:c r="M28" s="11"/>
      <x:c r="N28" s="18" t="str">
        <x:f>IF(COUNT(J28:M28)&lt;4,"Por revisar",(IF(F28="R",J28*D28,0)+IF(G28="R",K28*D28,0)+IF(H28="R",L28*E28,0)+IF(I28="R",M28*E28,0))/1000)</x:f>
        <x:v>Por revisar</x:v>
      </x:c>
      <x:c r="O28" s="18" t="str">
        <x:f>IF(COUNT(J28:M28)&lt;4,"Por revisar",(IF(F28="F",J28*D28,0)+IF(G28="F",K28*D28,0)+IF(H28="F",L28*E28,0)+IF(I28="F",M28*E28,0))/1000)</x:f>
        <x:v>Por revisar</x:v>
      </x:c>
      <x:c r="P28" s="8" t="str">
        <x:f>IF(COUNT(J28:M28)&lt;4,"POR REVISAR",IF(SUM(J28:M28)=0,"RECIBIDO CONFORME","CANTEAR A MANO"))</x:f>
        <x:v>POR REVISAR</x:v>
      </x:c>
      <x:c r="Q28" s="10" t="str">
        <x:v>Normal</x:v>
      </x:c>
    </x:row>
    <x:row r="29" ht="58" customHeight="1">
      <x:c r="A29" s="8" t="str">
        <x:v>Cocina P022</x:v>
      </x:c>
      <x:c r="B29" s="10" t="str">
        <x:v>Entrepaño regulable inferior</x:v>
      </x:c>
      <x:c r="C29" s="8" t="n">
        <x:v>1</x:v>
      </x:c>
      <x:c r="D29" s="8" t="n">
        <x:v>638</x:v>
      </x:c>
      <x:c r="E29" s="8" t="n">
        <x:v>550</x:v>
      </x:c>
      <x:c r="F29" s="8" t="str">
        <x:v>F</x:v>
      </x:c>
      <x:c r="G29" s="8" t="str">
        <x:v>—</x:v>
      </x:c>
      <x:c r="H29" s="8" t="str">
        <x:v>—</x:v>
      </x:c>
      <x:c r="I29" s="8" t="str">
        <x:v>—</x:v>
      </x:c>
      <x:c r="J29" s="11"/>
      <x:c r="K29" s="17" t="n">
        <x:v>0</x:v>
      </x:c>
      <x:c r="L29" s="17" t="n">
        <x:v>0</x:v>
      </x:c>
      <x:c r="M29" s="17" t="n">
        <x:v>0</x:v>
      </x:c>
      <x:c r="N29" s="18" t="str">
        <x:f>IF(COUNT(J29:M29)&lt;4,"Por revisar",(IF(F29="R",J29*D29,0)+IF(G29="R",K29*D29,0)+IF(H29="R",L29*E29,0)+IF(I29="R",M29*E29,0))/1000)</x:f>
        <x:v>Por revisar</x:v>
      </x:c>
      <x:c r="O29" s="18" t="str">
        <x:f>IF(COUNT(J29:M29)&lt;4,"Por revisar",(IF(F29="F",J29*D29,0)+IF(G29="F",K29*D29,0)+IF(H29="F",L29*E29,0)+IF(I29="F",M29*E29,0))/1000)</x:f>
        <x:v>Por revisar</x:v>
      </x:c>
      <x:c r="P29" s="8" t="str">
        <x:f>IF(COUNT(J29:M29)&lt;4,"POR REVISAR",IF(SUM(J29:M29)=0,"RECIBIDO CONFORME","CANTEAR A MANO"))</x:f>
        <x:v>POR REVISAR</x:v>
      </x:c>
      <x:c r="Q29" s="10" t="str">
        <x:v>Normal</x:v>
      </x:c>
    </x:row>
    <x:row r="30" ht="58" customHeight="1">
      <x:c r="A30" s="8" t="str">
        <x:v>Cocina P023</x:v>
      </x:c>
      <x:c r="B30" s="10" t="str">
        <x:v>Lateral</x:v>
      </x:c>
      <x:c r="C30" s="8" t="n">
        <x:v>2</x:v>
      </x:c>
      <x:c r="D30" s="8" t="n">
        <x:v>785</x:v>
      </x:c>
      <x:c r="E30" s="8" t="n">
        <x:v>580</x:v>
      </x:c>
      <x:c r="F30" s="8" t="str">
        <x:v>F</x:v>
      </x:c>
      <x:c r="G30" s="8" t="str">
        <x:v>—</x:v>
      </x:c>
      <x:c r="H30" s="8" t="str">
        <x:v>F</x:v>
      </x:c>
      <x:c r="I30" s="8" t="str">
        <x:v>—</x:v>
      </x:c>
      <x:c r="J30" s="11"/>
      <x:c r="K30" s="17" t="n">
        <x:v>0</x:v>
      </x:c>
      <x:c r="L30" s="11"/>
      <x:c r="M30" s="17" t="n">
        <x:v>0</x:v>
      </x:c>
      <x:c r="N30" s="18" t="str">
        <x:f>IF(COUNT(J30:M30)&lt;4,"Por revisar",(IF(F30="R",J30*D30,0)+IF(G30="R",K30*D30,0)+IF(H30="R",L30*E30,0)+IF(I30="R",M30*E30,0))/1000)</x:f>
        <x:v>Por revisar</x:v>
      </x:c>
      <x:c r="O30" s="18" t="str">
        <x:f>IF(COUNT(J30:M30)&lt;4,"Por revisar",(IF(F30="F",J30*D30,0)+IF(G30="F",K30*D30,0)+IF(H30="F",L30*E30,0)+IF(I30="F",M30*E30,0))/1000)</x:f>
        <x:v>Por revisar</x:v>
      </x:c>
      <x:c r="P30" s="8" t="str">
        <x:f>IF(COUNT(J30:M30)&lt;4,"POR REVISAR",IF(SUM(J30:M30)=0,"RECIBIDO CONFORME","CANTEAR A MANO"))</x:f>
        <x:v>POR REVISAR</x:v>
      </x:c>
      <x:c r="Q30" s="10" t="str">
        <x:v>Normal · Rebaje para la gola en el armado, cuando se defina el borde del granito; no lo hace el proveedor.</x:v>
      </x:c>
    </x:row>
    <x:row r="31" ht="58" customHeight="1">
      <x:c r="A31" s="8" t="str">
        <x:v>Cocina P024</x:v>
      </x:c>
      <x:c r="B31" s="10" t="str">
        <x:v>Piso</x:v>
      </x:c>
      <x:c r="C31" s="8" t="n">
        <x:v>1</x:v>
      </x:c>
      <x:c r="D31" s="8" t="n">
        <x:v>670</x:v>
      </x:c>
      <x:c r="E31" s="8" t="n">
        <x:v>580</x:v>
      </x:c>
      <x:c r="F31" s="8" t="str">
        <x:v>F</x:v>
      </x:c>
      <x:c r="G31" s="8" t="str">
        <x:v>—</x:v>
      </x:c>
      <x:c r="H31" s="8" t="str">
        <x:v>—</x:v>
      </x:c>
      <x:c r="I31" s="8" t="str">
        <x:v>—</x:v>
      </x:c>
      <x:c r="J31" s="11"/>
      <x:c r="K31" s="17" t="n">
        <x:v>0</x:v>
      </x:c>
      <x:c r="L31" s="17" t="n">
        <x:v>0</x:v>
      </x:c>
      <x:c r="M31" s="17" t="n">
        <x:v>0</x:v>
      </x:c>
      <x:c r="N31" s="18" t="str">
        <x:f>IF(COUNT(J31:M31)&lt;4,"Por revisar",(IF(F31="R",J31*D31,0)+IF(G31="R",K31*D31,0)+IF(H31="R",L31*E31,0)+IF(I31="R",M31*E31,0))/1000)</x:f>
        <x:v>Por revisar</x:v>
      </x:c>
      <x:c r="O31" s="18" t="str">
        <x:f>IF(COUNT(J31:M31)&lt;4,"Por revisar",(IF(F31="F",J31*D31,0)+IF(G31="F",K31*D31,0)+IF(H31="F",L31*E31,0)+IF(I31="F",M31*E31,0))/1000)</x:f>
        <x:v>Por revisar</x:v>
      </x:c>
      <x:c r="P31" s="8" t="str">
        <x:f>IF(COUNT(J31:M31)&lt;4,"POR REVISAR",IF(SUM(J31:M31)=0,"RECIBIDO CONFORME","CANTEAR A MANO"))</x:f>
        <x:v>POR REVISAR</x:v>
      </x:c>
      <x:c r="Q31" s="10" t="str">
        <x:v>Normal</x:v>
      </x:c>
    </x:row>
    <x:row r="32" ht="58" customHeight="1">
      <x:c r="A32" s="8" t="str">
        <x:v>Cocina P025</x:v>
      </x:c>
      <x:c r="B32" s="10" t="str">
        <x:v>Travesaño de canto</x:v>
      </x:c>
      <x:c r="C32" s="8" t="n">
        <x:v>2</x:v>
      </x:c>
      <x:c r="D32" s="8" t="n">
        <x:v>670</x:v>
      </x:c>
      <x:c r="E32" s="8" t="n">
        <x:v>100</x:v>
      </x:c>
      <x:c r="F32" s="8" t="str">
        <x:v>F</x:v>
      </x:c>
      <x:c r="G32" s="8" t="str">
        <x:v>F</x:v>
      </x:c>
      <x:c r="H32" s="8" t="str">
        <x:v>F</x:v>
      </x:c>
      <x:c r="I32" s="8" t="str">
        <x:v>F</x:v>
      </x:c>
      <x:c r="J32" s="11"/>
      <x:c r="K32" s="11"/>
      <x:c r="L32" s="11"/>
      <x:c r="M32" s="11"/>
      <x:c r="N32" s="18" t="str">
        <x:f>IF(COUNT(J32:M32)&lt;4,"Por revisar",(IF(F32="R",J32*D32,0)+IF(G32="R",K32*D32,0)+IF(H32="R",L32*E32,0)+IF(I32="R",M32*E32,0))/1000)</x:f>
        <x:v>Por revisar</x:v>
      </x:c>
      <x:c r="O32" s="18" t="str">
        <x:f>IF(COUNT(J32:M32)&lt;4,"Por revisar",(IF(F32="F",J32*D32,0)+IF(G32="F",K32*D32,0)+IF(H32="F",L32*E32,0)+IF(I32="F",M32*E32,0))/1000)</x:f>
        <x:v>Por revisar</x:v>
      </x:c>
      <x:c r="P32" s="8" t="str">
        <x:f>IF(COUNT(J32:M32)&lt;4,"POR REVISAR",IF(SUM(J32:M32)=0,"RECIBIDO CONFORME","CANTEAR A MANO"))</x:f>
        <x:v>POR REVISAR</x:v>
      </x:c>
      <x:c r="Q32" s="10" t="str">
        <x:v>Pequeña · Si no la cantean: cortar a 669.1 × 99.1 y cantear en el armado. Rebaje para la gola en el armado, cuando se defina el borde del granito; no lo hace el proveedor.</x:v>
      </x:c>
    </x:row>
    <x:row r="33" ht="58" customHeight="1">
      <x:c r="A33" s="8" t="str">
        <x:v>Cocina P027</x:v>
      </x:c>
      <x:c r="B33" s="10" t="str">
        <x:v>Puerta izquierda</x:v>
      </x:c>
      <x:c r="C33" s="8" t="n">
        <x:v>1</x:v>
      </x:c>
      <x:c r="D33" s="8" t="n">
        <x:v>732</x:v>
      </x:c>
      <x:c r="E33" s="8" t="n">
        <x:v>347</x:v>
      </x:c>
      <x:c r="F33" s="8" t="str">
        <x:v>R</x:v>
      </x:c>
      <x:c r="G33" s="8" t="str">
        <x:v>R</x:v>
      </x:c>
      <x:c r="H33" s="8" t="str">
        <x:v>R</x:v>
      </x:c>
      <x:c r="I33" s="8" t="str">
        <x:v>R</x:v>
      </x:c>
      <x:c r="J33" s="11"/>
      <x:c r="K33" s="11"/>
      <x:c r="L33" s="11"/>
      <x:c r="M33" s="11"/>
      <x:c r="N33" s="18" t="str">
        <x:f>IF(COUNT(J33:M33)&lt;4,"Por revisar",(IF(F33="R",J33*D33,0)+IF(G33="R",K33*D33,0)+IF(H33="R",L33*E33,0)+IF(I33="R",M33*E33,0))/1000)</x:f>
        <x:v>Por revisar</x:v>
      </x:c>
      <x:c r="O33" s="18" t="str">
        <x:f>IF(COUNT(J33:M33)&lt;4,"Por revisar",(IF(F33="F",J33*D33,0)+IF(G33="F",K33*D33,0)+IF(H33="F",L33*E33,0)+IF(I33="F",M33*E33,0))/1000)</x:f>
        <x:v>Por revisar</x:v>
      </x:c>
      <x:c r="P33" s="8" t="str">
        <x:f>IF(COUNT(J33:M33)&lt;4,"POR REVISAR",IF(SUM(J33:M33)=0,"RECIBIDO CONFORME","CANTEAR A MANO"))</x:f>
        <x:v>POR REVISAR</x:v>
      </x:c>
      <x:c r="Q33" s="10" t="str">
        <x:v>Normal</x:v>
      </x:c>
    </x:row>
    <x:row r="34" ht="58" customHeight="1">
      <x:c r="A34" s="8" t="str">
        <x:v>Cocina P028</x:v>
      </x:c>
      <x:c r="B34" s="10" t="str">
        <x:v>Puerta derecha</x:v>
      </x:c>
      <x:c r="C34" s="8" t="n">
        <x:v>1</x:v>
      </x:c>
      <x:c r="D34" s="8" t="n">
        <x:v>732</x:v>
      </x:c>
      <x:c r="E34" s="8" t="n">
        <x:v>347</x:v>
      </x:c>
      <x:c r="F34" s="8" t="str">
        <x:v>R</x:v>
      </x:c>
      <x:c r="G34" s="8" t="str">
        <x:v>R</x:v>
      </x:c>
      <x:c r="H34" s="8" t="str">
        <x:v>R</x:v>
      </x:c>
      <x:c r="I34" s="8" t="str">
        <x:v>R</x:v>
      </x:c>
      <x:c r="J34" s="11"/>
      <x:c r="K34" s="11"/>
      <x:c r="L34" s="11"/>
      <x:c r="M34" s="11"/>
      <x:c r="N34" s="18" t="str">
        <x:f>IF(COUNT(J34:M34)&lt;4,"Por revisar",(IF(F34="R",J34*D34,0)+IF(G34="R",K34*D34,0)+IF(H34="R",L34*E34,0)+IF(I34="R",M34*E34,0))/1000)</x:f>
        <x:v>Por revisar</x:v>
      </x:c>
      <x:c r="O34" s="18" t="str">
        <x:f>IF(COUNT(J34:M34)&lt;4,"Por revisar",(IF(F34="F",J34*D34,0)+IF(G34="F",K34*D34,0)+IF(H34="F",L34*E34,0)+IF(I34="F",M34*E34,0))/1000)</x:f>
        <x:v>Por revisar</x:v>
      </x:c>
      <x:c r="P34" s="8" t="str">
        <x:f>IF(COUNT(J34:M34)&lt;4,"POR REVISAR",IF(SUM(J34:M34)=0,"RECIBIDO CONFORME","CANTEAR A MANO"))</x:f>
        <x:v>POR REVISAR</x:v>
      </x:c>
      <x:c r="Q34" s="10" t="str">
        <x:v>Normal</x:v>
      </x:c>
    </x:row>
    <x:row r="35" ht="58" customHeight="1">
      <x:c r="A35" s="8" t="str">
        <x:v>Cocina P029</x:v>
      </x:c>
      <x:c r="B35" s="10" t="str">
        <x:v>Entrepaño desmontable; recortar sifón en obra</x:v>
      </x:c>
      <x:c r="C35" s="8" t="n">
        <x:v>1</x:v>
      </x:c>
      <x:c r="D35" s="8" t="n">
        <x:v>668</x:v>
      </x:c>
      <x:c r="E35" s="8" t="n">
        <x:v>520</x:v>
      </x:c>
      <x:c r="F35" s="8" t="str">
        <x:v>F</x:v>
      </x:c>
      <x:c r="G35" s="8" t="str">
        <x:v>F</x:v>
      </x:c>
      <x:c r="H35" s="8" t="str">
        <x:v>F</x:v>
      </x:c>
      <x:c r="I35" s="8" t="str">
        <x:v>F</x:v>
      </x:c>
      <x:c r="J35" s="11"/>
      <x:c r="K35" s="11"/>
      <x:c r="L35" s="11"/>
      <x:c r="M35" s="11"/>
      <x:c r="N35" s="18" t="str">
        <x:f>IF(COUNT(J35:M35)&lt;4,"Por revisar",(IF(F35="R",J35*D35,0)+IF(G35="R",K35*D35,0)+IF(H35="R",L35*E35,0)+IF(I35="R",M35*E35,0))/1000)</x:f>
        <x:v>Por revisar</x:v>
      </x:c>
      <x:c r="O35" s="18" t="str">
        <x:f>IF(COUNT(J35:M35)&lt;4,"Por revisar",(IF(F35="F",J35*D35,0)+IF(G35="F",K35*D35,0)+IF(H35="F",L35*E35,0)+IF(I35="F",M35*E35,0))/1000)</x:f>
        <x:v>Por revisar</x:v>
      </x:c>
      <x:c r="P35" s="8" t="str">
        <x:f>IF(COUNT(J35:M35)&lt;4,"POR REVISAR",IF(SUM(J35:M35)=0,"RECIBIDO CONFORME","CANTEAR A MANO"))</x:f>
        <x:v>POR REVISAR</x:v>
      </x:c>
      <x:c r="Q35" s="10" t="str">
        <x:v>Normal · P029: flexible 0,45 mm en los cuatro bordes. Recorte de sifón y tuberías en obra: sellar el corte.</x:v>
      </x:c>
    </x:row>
    <x:row r="36" ht="58" customHeight="1">
      <x:c r="A36" s="8" t="str">
        <x:v>Cocina P030</x:v>
      </x:c>
      <x:c r="B36" s="10" t="str">
        <x:v>Lateral</x:v>
      </x:c>
      <x:c r="C36" s="8" t="n">
        <x:v>2</x:v>
      </x:c>
      <x:c r="D36" s="8" t="n">
        <x:v>785</x:v>
      </x:c>
      <x:c r="E36" s="8" t="n">
        <x:v>580</x:v>
      </x:c>
      <x:c r="F36" s="8" t="str">
        <x:v>F</x:v>
      </x:c>
      <x:c r="G36" s="8" t="str">
        <x:v>—</x:v>
      </x:c>
      <x:c r="H36" s="8" t="str">
        <x:v>F</x:v>
      </x:c>
      <x:c r="I36" s="8" t="str">
        <x:v>—</x:v>
      </x:c>
      <x:c r="J36" s="11"/>
      <x:c r="K36" s="17" t="n">
        <x:v>0</x:v>
      </x:c>
      <x:c r="L36" s="11"/>
      <x:c r="M36" s="17" t="n">
        <x:v>0</x:v>
      </x:c>
      <x:c r="N36" s="18" t="str">
        <x:f>IF(COUNT(J36:M36)&lt;4,"Por revisar",(IF(F36="R",J36*D36,0)+IF(G36="R",K36*D36,0)+IF(H36="R",L36*E36,0)+IF(I36="R",M36*E36,0))/1000)</x:f>
        <x:v>Por revisar</x:v>
      </x:c>
      <x:c r="O36" s="18" t="str">
        <x:f>IF(COUNT(J36:M36)&lt;4,"Por revisar",(IF(F36="F",J36*D36,0)+IF(G36="F",K36*D36,0)+IF(H36="F",L36*E36,0)+IF(I36="F",M36*E36,0))/1000)</x:f>
        <x:v>Por revisar</x:v>
      </x:c>
      <x:c r="P36" s="8" t="str">
        <x:f>IF(COUNT(J36:M36)&lt;4,"POR REVISAR",IF(SUM(J36:M36)=0,"RECIBIDO CONFORME","CANTEAR A MANO"))</x:f>
        <x:v>POR REVISAR</x:v>
      </x:c>
      <x:c r="Q36" s="10" t="str">
        <x:v>Normal · Rebaje para la gola en el armado, cuando se defina el borde del granito; no lo hace el proveedor.</x:v>
      </x:c>
    </x:row>
    <x:row r="37" ht="58" customHeight="1">
      <x:c r="A37" s="8" t="str">
        <x:v>Cocina P031</x:v>
      </x:c>
      <x:c r="B37" s="10" t="str">
        <x:v>Piso</x:v>
      </x:c>
      <x:c r="C37" s="8" t="n">
        <x:v>1</x:v>
      </x:c>
      <x:c r="D37" s="8" t="n">
        <x:v>370</x:v>
      </x:c>
      <x:c r="E37" s="8" t="n">
        <x:v>580</x:v>
      </x:c>
      <x:c r="F37" s="8" t="str">
        <x:v>F</x:v>
      </x:c>
      <x:c r="G37" s="8" t="str">
        <x:v>—</x:v>
      </x:c>
      <x:c r="H37" s="8" t="str">
        <x:v>—</x:v>
      </x:c>
      <x:c r="I37" s="8" t="str">
        <x:v>—</x:v>
      </x:c>
      <x:c r="J37" s="11"/>
      <x:c r="K37" s="17" t="n">
        <x:v>0</x:v>
      </x:c>
      <x:c r="L37" s="17" t="n">
        <x:v>0</x:v>
      </x:c>
      <x:c r="M37" s="17" t="n">
        <x:v>0</x:v>
      </x:c>
      <x:c r="N37" s="18" t="str">
        <x:f>IF(COUNT(J37:M37)&lt;4,"Por revisar",(IF(F37="R",J37*D37,0)+IF(G37="R",K37*D37,0)+IF(H37="R",L37*E37,0)+IF(I37="R",M37*E37,0))/1000)</x:f>
        <x:v>Por revisar</x:v>
      </x:c>
      <x:c r="O37" s="18" t="str">
        <x:f>IF(COUNT(J37:M37)&lt;4,"Por revisar",(IF(F37="F",J37*D37,0)+IF(G37="F",K37*D37,0)+IF(H37="F",L37*E37,0)+IF(I37="F",M37*E37,0))/1000)</x:f>
        <x:v>Por revisar</x:v>
      </x:c>
      <x:c r="P37" s="8" t="str">
        <x:f>IF(COUNT(J37:M37)&lt;4,"POR REVISAR",IF(SUM(J37:M37)=0,"RECIBIDO CONFORME","CANTEAR A MANO"))</x:f>
        <x:v>POR REVISAR</x:v>
      </x:c>
      <x:c r="Q37" s="10" t="str">
        <x:v>Normal</x:v>
      </x:c>
    </x:row>
    <x:row r="38" ht="58" customHeight="1">
      <x:c r="A38" s="8" t="str">
        <x:v>Cocina P032</x:v>
      </x:c>
      <x:c r="B38" s="10" t="str">
        <x:v>Travesaño horizontal</x:v>
      </x:c>
      <x:c r="C38" s="8" t="n">
        <x:v>2</x:v>
      </x:c>
      <x:c r="D38" s="8" t="n">
        <x:v>370</x:v>
      </x:c>
      <x:c r="E38" s="8" t="n">
        <x:v>100</x:v>
      </x:c>
      <x:c r="F38" s="8" t="str">
        <x:v>F</x:v>
      </x:c>
      <x:c r="G38" s="8" t="str">
        <x:v>F</x:v>
      </x:c>
      <x:c r="H38" s="8" t="str">
        <x:v>—</x:v>
      </x:c>
      <x:c r="I38" s="8" t="str">
        <x:v>—</x:v>
      </x:c>
      <x:c r="J38" s="11"/>
      <x:c r="K38" s="11"/>
      <x:c r="L38" s="17" t="n">
        <x:v>0</x:v>
      </x:c>
      <x:c r="M38" s="17" t="n">
        <x:v>0</x:v>
      </x:c>
      <x:c r="N38" s="18" t="str">
        <x:f>IF(COUNT(J38:M38)&lt;4,"Por revisar",(IF(F38="R",J38*D38,0)+IF(G38="R",K38*D38,0)+IF(H38="R",L38*E38,0)+IF(I38="R",M38*E38,0))/1000)</x:f>
        <x:v>Por revisar</x:v>
      </x:c>
      <x:c r="O38" s="18" t="str">
        <x:f>IF(COUNT(J38:M38)&lt;4,"Por revisar",(IF(F38="F",J38*D38,0)+IF(G38="F",K38*D38,0)+IF(H38="F",L38*E38,0)+IF(I38="F",M38*E38,0))/1000)</x:f>
        <x:v>Por revisar</x:v>
      </x:c>
      <x:c r="P38" s="8" t="str">
        <x:f>IF(COUNT(J38:M38)&lt;4,"POR REVISAR",IF(SUM(J38:M38)=0,"RECIBIDO CONFORME","CANTEAR A MANO"))</x:f>
        <x:v>POR REVISAR</x:v>
      </x:c>
      <x:c r="Q38" s="10" t="str">
        <x:v>Pequeña · Si no la cantean: cortar a 370 × 99.1 y cantear en el armado. Rebaje para la gola en el armado, cuando se defina el borde del granito; no lo hace el proveedor.</x:v>
      </x:c>
    </x:row>
    <x:row r="39" ht="58" customHeight="1">
      <x:c r="A39" s="8" t="str">
        <x:v>Cocina P034</x:v>
      </x:c>
      <x:c r="B39" s="10" t="str">
        <x:v>Entrepaño FIJO separador superior/basurero</x:v>
      </x:c>
      <x:c r="C39" s="8" t="n">
        <x:v>1</x:v>
      </x:c>
      <x:c r="D39" s="8" t="n">
        <x:v>370</x:v>
      </x:c>
      <x:c r="E39" s="8" t="n">
        <x:v>550</x:v>
      </x:c>
      <x:c r="F39" s="8" t="str">
        <x:v>F</x:v>
      </x:c>
      <x:c r="G39" s="8" t="str">
        <x:v>—</x:v>
      </x:c>
      <x:c r="H39" s="8" t="str">
        <x:v>—</x:v>
      </x:c>
      <x:c r="I39" s="8" t="str">
        <x:v>—</x:v>
      </x:c>
      <x:c r="J39" s="11"/>
      <x:c r="K39" s="17" t="n">
        <x:v>0</x:v>
      </x:c>
      <x:c r="L39" s="17" t="n">
        <x:v>0</x:v>
      </x:c>
      <x:c r="M39" s="17" t="n">
        <x:v>0</x:v>
      </x:c>
      <x:c r="N39" s="18" t="str">
        <x:f>IF(COUNT(J39:M39)&lt;4,"Por revisar",(IF(F39="R",J39*D39,0)+IF(G39="R",K39*D39,0)+IF(H39="R",L39*E39,0)+IF(I39="R",M39*E39,0))/1000)</x:f>
        <x:v>Por revisar</x:v>
      </x:c>
      <x:c r="O39" s="18" t="str">
        <x:f>IF(COUNT(J39:M39)&lt;4,"Por revisar",(IF(F39="F",J39*D39,0)+IF(G39="F",K39*D39,0)+IF(H39="F",L39*E39,0)+IF(I39="F",M39*E39,0))/1000)</x:f>
        <x:v>Por revisar</x:v>
      </x:c>
      <x:c r="P39" s="8" t="str">
        <x:f>IF(COUNT(J39:M39)&lt;4,"POR REVISAR",IF(SUM(J39:M39)=0,"RECIBIDO CONFORME","CANTEAR A MANO"))</x:f>
        <x:v>POR REVISAR</x:v>
      </x:c>
      <x:c r="Q39" s="10" t="str">
        <x:v>Normal · Rebaje para la gola en el armado, cuando se defina el borde del granito; no lo hace el proveedor.</x:v>
      </x:c>
    </x:row>
    <x:row r="40" ht="58" customHeight="1">
      <x:c r="A40" s="8" t="str">
        <x:v>Cocina P035</x:v>
      </x:c>
      <x:c r="B40" s="10" t="str">
        <x:v>Puerta superior</x:v>
      </x:c>
      <x:c r="C40" s="8" t="n">
        <x:v>1</x:v>
      </x:c>
      <x:c r="D40" s="8" t="n">
        <x:v>402</x:v>
      </x:c>
      <x:c r="E40" s="8" t="n">
        <x:v>397</x:v>
      </x:c>
      <x:c r="F40" s="8" t="str">
        <x:v>R</x:v>
      </x:c>
      <x:c r="G40" s="8" t="str">
        <x:v>R</x:v>
      </x:c>
      <x:c r="H40" s="8" t="str">
        <x:v>R</x:v>
      </x:c>
      <x:c r="I40" s="8" t="str">
        <x:v>R</x:v>
      </x:c>
      <x:c r="J40" s="11"/>
      <x:c r="K40" s="11"/>
      <x:c r="L40" s="11"/>
      <x:c r="M40" s="11"/>
      <x:c r="N40" s="18" t="str">
        <x:f>IF(COUNT(J40:M40)&lt;4,"Por revisar",(IF(F40="R",J40*D40,0)+IF(G40="R",K40*D40,0)+IF(H40="R",L40*E40,0)+IF(I40="R",M40*E40,0))/1000)</x:f>
        <x:v>Por revisar</x:v>
      </x:c>
      <x:c r="O40" s="18" t="str">
        <x:f>IF(COUNT(J40:M40)&lt;4,"Por revisar",(IF(F40="F",J40*D40,0)+IF(G40="F",K40*D40,0)+IF(H40="F",L40*E40,0)+IF(I40="F",M40*E40,0))/1000)</x:f>
        <x:v>Por revisar</x:v>
      </x:c>
      <x:c r="P40" s="8" t="str">
        <x:f>IF(COUNT(J40:M40)&lt;4,"POR REVISAR",IF(SUM(J40:M40)=0,"RECIBIDO CONFORME","CANTEAR A MANO"))</x:f>
        <x:v>POR REVISAR</x:v>
      </x:c>
      <x:c r="Q40" s="10" t="str">
        <x:v>Normal</x:v>
      </x:c>
    </x:row>
    <x:row r="41" ht="58" customHeight="1">
      <x:c r="A41" s="8" t="str">
        <x:v>Cocina P036</x:v>
      </x:c>
      <x:c r="B41" s="10" t="str">
        <x:v>Frente inferior extraíble basurero</x:v>
      </x:c>
      <x:c r="C41" s="8" t="n">
        <x:v>1</x:v>
      </x:c>
      <x:c r="D41" s="8" t="n">
        <x:v>302</x:v>
      </x:c>
      <x:c r="E41" s="8" t="n">
        <x:v>397</x:v>
      </x:c>
      <x:c r="F41" s="8" t="str">
        <x:v>R</x:v>
      </x:c>
      <x:c r="G41" s="8" t="str">
        <x:v>R</x:v>
      </x:c>
      <x:c r="H41" s="8" t="str">
        <x:v>R</x:v>
      </x:c>
      <x:c r="I41" s="8" t="str">
        <x:v>R</x:v>
      </x:c>
      <x:c r="J41" s="11"/>
      <x:c r="K41" s="11"/>
      <x:c r="L41" s="11"/>
      <x:c r="M41" s="11"/>
      <x:c r="N41" s="18" t="str">
        <x:f>IF(COUNT(J41:M41)&lt;4,"Por revisar",(IF(F41="R",J41*D41,0)+IF(G41="R",K41*D41,0)+IF(H41="R",L41*E41,0)+IF(I41="R",M41*E41,0))/1000)</x:f>
        <x:v>Por revisar</x:v>
      </x:c>
      <x:c r="O41" s="18" t="str">
        <x:f>IF(COUNT(J41:M41)&lt;4,"Por revisar",(IF(F41="F",J41*D41,0)+IF(G41="F",K41*D41,0)+IF(H41="F",L41*E41,0)+IF(I41="F",M41*E41,0))/1000)</x:f>
        <x:v>Por revisar</x:v>
      </x:c>
      <x:c r="P41" s="8" t="str">
        <x:f>IF(COUNT(J41:M41)&lt;4,"POR REVISAR",IF(SUM(J41:M41)=0,"RECIBIDO CONFORME","CANTEAR A MANO"))</x:f>
        <x:v>POR REVISAR</x:v>
      </x:c>
      <x:c r="Q41" s="10" t="str">
        <x:v>Normal</x:v>
      </x:c>
    </x:row>
    <x:row r="42" ht="58" customHeight="1">
      <x:c r="A42" s="8" t="str">
        <x:v>Cocina P037</x:v>
      </x:c>
      <x:c r="B42" s="10" t="str">
        <x:v>Costado de terminación</x:v>
      </x:c>
      <x:c r="C42" s="8" t="n">
        <x:v>1</x:v>
      </x:c>
      <x:c r="D42" s="8" t="n">
        <x:v>882</x:v>
      </x:c>
      <x:c r="E42" s="8" t="n">
        <x:v>595</x:v>
      </x:c>
      <x:c r="F42" s="8" t="str">
        <x:v>R</x:v>
      </x:c>
      <x:c r="G42" s="8" t="str">
        <x:v>—</x:v>
      </x:c>
      <x:c r="H42" s="8" t="str">
        <x:v>R</x:v>
      </x:c>
      <x:c r="I42" s="8" t="str">
        <x:v>—</x:v>
      </x:c>
      <x:c r="J42" s="11"/>
      <x:c r="K42" s="17" t="n">
        <x:v>0</x:v>
      </x:c>
      <x:c r="L42" s="11"/>
      <x:c r="M42" s="17" t="n">
        <x:v>0</x:v>
      </x:c>
      <x:c r="N42" s="18" t="str">
        <x:f>IF(COUNT(J42:M42)&lt;4,"Por revisar",(IF(F42="R",J42*D42,0)+IF(G42="R",K42*D42,0)+IF(H42="R",L42*E42,0)+IF(I42="R",M42*E42,0))/1000)</x:f>
        <x:v>Por revisar</x:v>
      </x:c>
      <x:c r="O42" s="18" t="str">
        <x:f>IF(COUNT(J42:M42)&lt;4,"Por revisar",(IF(F42="F",J42*D42,0)+IF(G42="F",K42*D42,0)+IF(H42="F",L42*E42,0)+IF(I42="F",M42*E42,0))/1000)</x:f>
        <x:v>Por revisar</x:v>
      </x:c>
      <x:c r="P42" s="8" t="str">
        <x:f>IF(COUNT(J42:M42)&lt;4,"POR REVISAR",IF(SUM(J42:M42)=0,"RECIBIDO CONFORME","CANTEAR A MANO"))</x:f>
        <x:v>POR REVISAR</x:v>
      </x:c>
      <x:c r="Q42" s="10" t="str">
        <x:v>Normal</x:v>
      </x:c>
    </x:row>
    <x:row r="43" ht="58" customHeight="1">
      <x:c r="A43" s="8" t="str">
        <x:v>Cocina P038</x:v>
      </x:c>
      <x:c r="B43" s="10" t="str">
        <x:v>Zócalo retranqueado (dos tramos)</x:v>
      </x:c>
      <x:c r="C43" s="8" t="n">
        <x:v>2</x:v>
      </x:c>
      <x:c r="D43" s="8" t="n">
        <x:v>1275</x:v>
      </x:c>
      <x:c r="E43" s="8" t="n">
        <x:v>97</x:v>
      </x:c>
      <x:c r="F43" s="8" t="str">
        <x:v>F</x:v>
      </x:c>
      <x:c r="G43" s="8" t="str">
        <x:v>F</x:v>
      </x:c>
      <x:c r="H43" s="8" t="str">
        <x:v>F</x:v>
      </x:c>
      <x:c r="I43" s="8" t="str">
        <x:v>F</x:v>
      </x:c>
      <x:c r="J43" s="11"/>
      <x:c r="K43" s="11"/>
      <x:c r="L43" s="11"/>
      <x:c r="M43" s="11"/>
      <x:c r="N43" s="18" t="str">
        <x:f>IF(COUNT(J43:M43)&lt;4,"Por revisar",(IF(F43="R",J43*D43,0)+IF(G43="R",K43*D43,0)+IF(H43="R",L43*E43,0)+IF(I43="R",M43*E43,0))/1000)</x:f>
        <x:v>Por revisar</x:v>
      </x:c>
      <x:c r="O43" s="18" t="str">
        <x:f>IF(COUNT(J43:M43)&lt;4,"Por revisar",(IF(F43="F",J43*D43,0)+IF(G43="F",K43*D43,0)+IF(H43="F",L43*E43,0)+IF(I43="F",M43*E43,0))/1000)</x:f>
        <x:v>Por revisar</x:v>
      </x:c>
      <x:c r="P43" s="8" t="str">
        <x:f>IF(COUNT(J43:M43)&lt;4,"POR REVISAR",IF(SUM(J43:M43)=0,"RECIBIDO CONFORME","CANTEAR A MANO"))</x:f>
        <x:v>POR REVISAR</x:v>
      </x:c>
      <x:c r="Q43" s="10" t="str">
        <x:v>Pequeña · Si no la cantean: cortar a 1274.1 × 96.1 y cantear en el armado.</x:v>
      </x:c>
    </x:row>
    <x:row r="44" ht="58" customHeight="1">
      <x:c r="A44" s="8" t="str">
        <x:v>Cocina P039</x:v>
      </x:c>
      <x:c r="B44" s="10" t="str">
        <x:v>Lateral</x:v>
      </x:c>
      <x:c r="C44" s="8" t="n">
        <x:v>2</x:v>
      </x:c>
      <x:c r="D44" s="8" t="n">
        <x:v>700</x:v>
      </x:c>
      <x:c r="E44" s="8" t="n">
        <x:v>320</x:v>
      </x:c>
      <x:c r="F44" s="8" t="str">
        <x:v>F</x:v>
      </x:c>
      <x:c r="G44" s="8" t="str">
        <x:v>—</x:v>
      </x:c>
      <x:c r="H44" s="8" t="str">
        <x:v>F</x:v>
      </x:c>
      <x:c r="I44" s="8" t="str">
        <x:v>F</x:v>
      </x:c>
      <x:c r="J44" s="11"/>
      <x:c r="K44" s="17" t="n">
        <x:v>0</x:v>
      </x:c>
      <x:c r="L44" s="11"/>
      <x:c r="M44" s="11"/>
      <x:c r="N44" s="18" t="str">
        <x:f>IF(COUNT(J44:M44)&lt;4,"Por revisar",(IF(F44="R",J44*D44,0)+IF(G44="R",K44*D44,0)+IF(H44="R",L44*E44,0)+IF(I44="R",M44*E44,0))/1000)</x:f>
        <x:v>Por revisar</x:v>
      </x:c>
      <x:c r="O44" s="18" t="str">
        <x:f>IF(COUNT(J44:M44)&lt;4,"Por revisar",(IF(F44="F",J44*D44,0)+IF(G44="F",K44*D44,0)+IF(H44="F",L44*E44,0)+IF(I44="F",M44*E44,0))/1000)</x:f>
        <x:v>Por revisar</x:v>
      </x:c>
      <x:c r="P44" s="8" t="str">
        <x:f>IF(COUNT(J44:M44)&lt;4,"POR REVISAR",IF(SUM(J44:M44)=0,"RECIBIDO CONFORME","CANTEAR A MANO"))</x:f>
        <x:v>POR REVISAR</x:v>
      </x:c>
      <x:c r="Q44" s="10" t="str">
        <x:v>Normal</x:v>
      </x:c>
    </x:row>
    <x:row r="45" ht="58" customHeight="1">
      <x:c r="A45" s="8" t="str">
        <x:v>Cocina P040</x:v>
      </x:c>
      <x:c r="B45" s="10" t="str">
        <x:v>Techo</x:v>
      </x:c>
      <x:c r="C45" s="8" t="n">
        <x:v>1</x:v>
      </x:c>
      <x:c r="D45" s="8" t="n">
        <x:v>165</x:v>
      </x:c>
      <x:c r="E45" s="8" t="n">
        <x:v>320</x:v>
      </x:c>
      <x:c r="F45" s="8" t="str">
        <x:v>F</x:v>
      </x:c>
      <x:c r="G45" s="8" t="str">
        <x:v>—</x:v>
      </x:c>
      <x:c r="H45" s="8" t="str">
        <x:v>—</x:v>
      </x:c>
      <x:c r="I45" s="8" t="str">
        <x:v>—</x:v>
      </x:c>
      <x:c r="J45" s="11"/>
      <x:c r="K45" s="17" t="n">
        <x:v>0</x:v>
      </x:c>
      <x:c r="L45" s="17" t="n">
        <x:v>0</x:v>
      </x:c>
      <x:c r="M45" s="17" t="n">
        <x:v>0</x:v>
      </x:c>
      <x:c r="N45" s="18" t="str">
        <x:f>IF(COUNT(J45:M45)&lt;4,"Por revisar",(IF(F45="R",J45*D45,0)+IF(G45="R",K45*D45,0)+IF(H45="R",L45*E45,0)+IF(I45="R",M45*E45,0))/1000)</x:f>
        <x:v>Por revisar</x:v>
      </x:c>
      <x:c r="O45" s="18" t="str">
        <x:f>IF(COUNT(J45:M45)&lt;4,"Por revisar",(IF(F45="F",J45*D45,0)+IF(G45="F",K45*D45,0)+IF(H45="F",L45*E45,0)+IF(I45="F",M45*E45,0))/1000)</x:f>
        <x:v>Por revisar</x:v>
      </x:c>
      <x:c r="P45" s="8" t="str">
        <x:f>IF(COUNT(J45:M45)&lt;4,"POR REVISAR",IF(SUM(J45:M45)=0,"RECIBIDO CONFORME","CANTEAR A MANO"))</x:f>
        <x:v>POR REVISAR</x:v>
      </x:c>
      <x:c r="Q45" s="10" t="str">
        <x:v>Normal</x:v>
      </x:c>
    </x:row>
    <x:row r="46" ht="58" customHeight="1">
      <x:c r="A46" s="8" t="str">
        <x:v>Cocina P041</x:v>
      </x:c>
      <x:c r="B46" s="10" t="str">
        <x:v>Piso</x:v>
      </x:c>
      <x:c r="C46" s="8" t="n">
        <x:v>1</x:v>
      </x:c>
      <x:c r="D46" s="8" t="n">
        <x:v>165</x:v>
      </x:c>
      <x:c r="E46" s="8" t="n">
        <x:v>320</x:v>
      </x:c>
      <x:c r="F46" s="8" t="str">
        <x:v>F</x:v>
      </x:c>
      <x:c r="G46" s="8" t="str">
        <x:v>—</x:v>
      </x:c>
      <x:c r="H46" s="8" t="str">
        <x:v>—</x:v>
      </x:c>
      <x:c r="I46" s="8" t="str">
        <x:v>—</x:v>
      </x:c>
      <x:c r="J46" s="11"/>
      <x:c r="K46" s="17" t="n">
        <x:v>0</x:v>
      </x:c>
      <x:c r="L46" s="17" t="n">
        <x:v>0</x:v>
      </x:c>
      <x:c r="M46" s="17" t="n">
        <x:v>0</x:v>
      </x:c>
      <x:c r="N46" s="18" t="str">
        <x:f>IF(COUNT(J46:M46)&lt;4,"Por revisar",(IF(F46="R",J46*D46,0)+IF(G46="R",K46*D46,0)+IF(H46="R",L46*E46,0)+IF(I46="R",M46*E46,0))/1000)</x:f>
        <x:v>Por revisar</x:v>
      </x:c>
      <x:c r="O46" s="18" t="str">
        <x:f>IF(COUNT(J46:M46)&lt;4,"Por revisar",(IF(F46="F",J46*D46,0)+IF(G46="F",K46*D46,0)+IF(H46="F",L46*E46,0)+IF(I46="F",M46*E46,0))/1000)</x:f>
        <x:v>Por revisar</x:v>
      </x:c>
      <x:c r="P46" s="8" t="str">
        <x:f>IF(COUNT(J46:M46)&lt;4,"POR REVISAR",IF(SUM(J46:M46)=0,"RECIBIDO CONFORME","CANTEAR A MANO"))</x:f>
        <x:v>POR REVISAR</x:v>
      </x:c>
      <x:c r="Q46" s="10" t="str">
        <x:v>Normal</x:v>
      </x:c>
    </x:row>
    <x:row r="47" ht="58" customHeight="1">
      <x:c r="A47" s="8" t="str">
        <x:v>Cocina P043</x:v>
      </x:c>
      <x:c r="B47" s="10" t="str">
        <x:v>Entrepaño regulable</x:v>
      </x:c>
      <x:c r="C47" s="8" t="n">
        <x:v>1</x:v>
      </x:c>
      <x:c r="D47" s="8" t="n">
        <x:v>163</x:v>
      </x:c>
      <x:c r="E47" s="8" t="n">
        <x:v>300</x:v>
      </x:c>
      <x:c r="F47" s="8" t="str">
        <x:v>F</x:v>
      </x:c>
      <x:c r="G47" s="8" t="str">
        <x:v>—</x:v>
      </x:c>
      <x:c r="H47" s="8" t="str">
        <x:v>—</x:v>
      </x:c>
      <x:c r="I47" s="8" t="str">
        <x:v>—</x:v>
      </x:c>
      <x:c r="J47" s="11"/>
      <x:c r="K47" s="17" t="n">
        <x:v>0</x:v>
      </x:c>
      <x:c r="L47" s="17" t="n">
        <x:v>0</x:v>
      </x:c>
      <x:c r="M47" s="17" t="n">
        <x:v>0</x:v>
      </x:c>
      <x:c r="N47" s="18" t="str">
        <x:f>IF(COUNT(J47:M47)&lt;4,"Por revisar",(IF(F47="R",J47*D47,0)+IF(G47="R",K47*D47,0)+IF(H47="R",L47*E47,0)+IF(I47="R",M47*E47,0))/1000)</x:f>
        <x:v>Por revisar</x:v>
      </x:c>
      <x:c r="O47" s="18" t="str">
        <x:f>IF(COUNT(J47:M47)&lt;4,"Por revisar",(IF(F47="F",J47*D47,0)+IF(G47="F",K47*D47,0)+IF(H47="F",L47*E47,0)+IF(I47="F",M47*E47,0))/1000)</x:f>
        <x:v>Por revisar</x:v>
      </x:c>
      <x:c r="P47" s="8" t="str">
        <x:f>IF(COUNT(J47:M47)&lt;4,"POR REVISAR",IF(SUM(J47:M47)=0,"RECIBIDO CONFORME","CANTEAR A MANO"))</x:f>
        <x:v>POR REVISAR</x:v>
      </x:c>
      <x:c r="Q47" s="10" t="str">
        <x:v>Normal</x:v>
      </x:c>
    </x:row>
    <x:row r="48" ht="58" customHeight="1">
      <x:c r="A48" s="8" t="str">
        <x:v>Cocina P044</x:v>
      </x:c>
      <x:c r="B48" s="10" t="str">
        <x:v>Puerta</x:v>
      </x:c>
      <x:c r="C48" s="8" t="n">
        <x:v>1</x:v>
      </x:c>
      <x:c r="D48" s="8" t="n">
        <x:v>717</x:v>
      </x:c>
      <x:c r="E48" s="8" t="n">
        <x:v>192</x:v>
      </x:c>
      <x:c r="F48" s="8" t="str">
        <x:v>R</x:v>
      </x:c>
      <x:c r="G48" s="8" t="str">
        <x:v>R</x:v>
      </x:c>
      <x:c r="H48" s="8" t="str">
        <x:v>R</x:v>
      </x:c>
      <x:c r="I48" s="8" t="str">
        <x:v>R</x:v>
      </x:c>
      <x:c r="J48" s="11"/>
      <x:c r="K48" s="11"/>
      <x:c r="L48" s="11"/>
      <x:c r="M48" s="11"/>
      <x:c r="N48" s="18" t="str">
        <x:f>IF(COUNT(J48:M48)&lt;4,"Por revisar",(IF(F48="R",J48*D48,0)+IF(G48="R",K48*D48,0)+IF(H48="R",L48*E48,0)+IF(I48="R",M48*E48,0))/1000)</x:f>
        <x:v>Por revisar</x:v>
      </x:c>
      <x:c r="O48" s="18" t="str">
        <x:f>IF(COUNT(J48:M48)&lt;4,"Por revisar",(IF(F48="F",J48*D48,0)+IF(G48="F",K48*D48,0)+IF(H48="F",L48*E48,0)+IF(I48="F",M48*E48,0))/1000)</x:f>
        <x:v>Por revisar</x:v>
      </x:c>
      <x:c r="P48" s="8" t="str">
        <x:f>IF(COUNT(J48:M48)&lt;4,"POR REVISAR",IF(SUM(J48:M48)=0,"RECIBIDO CONFORME","CANTEAR A MANO"))</x:f>
        <x:v>POR REVISAR</x:v>
      </x:c>
      <x:c r="Q48" s="10" t="str">
        <x:v>Normal</x:v>
      </x:c>
    </x:row>
    <x:row r="49" ht="58" customHeight="1">
      <x:c r="A49" s="8" t="str">
        <x:v>Cocina P045</x:v>
      </x:c>
      <x:c r="B49" s="10" t="str">
        <x:v>Lateral</x:v>
      </x:c>
      <x:c r="C49" s="8" t="n">
        <x:v>2</x:v>
      </x:c>
      <x:c r="D49" s="8" t="n">
        <x:v>350</x:v>
      </x:c>
      <x:c r="E49" s="8" t="n">
        <x:v>320</x:v>
      </x:c>
      <x:c r="F49" s="8" t="str">
        <x:v>F</x:v>
      </x:c>
      <x:c r="G49" s="8" t="str">
        <x:v>—</x:v>
      </x:c>
      <x:c r="H49" s="8" t="str">
        <x:v>F</x:v>
      </x:c>
      <x:c r="I49" s="8" t="str">
        <x:v>F</x:v>
      </x:c>
      <x:c r="J49" s="11"/>
      <x:c r="K49" s="17" t="n">
        <x:v>0</x:v>
      </x:c>
      <x:c r="L49" s="11"/>
      <x:c r="M49" s="11"/>
      <x:c r="N49" s="18" t="str">
        <x:f>IF(COUNT(J49:M49)&lt;4,"Por revisar",(IF(F49="R",J49*D49,0)+IF(G49="R",K49*D49,0)+IF(H49="R",L49*E49,0)+IF(I49="R",M49*E49,0))/1000)</x:f>
        <x:v>Por revisar</x:v>
      </x:c>
      <x:c r="O49" s="18" t="str">
        <x:f>IF(COUNT(J49:M49)&lt;4,"Por revisar",(IF(F49="F",J49*D49,0)+IF(G49="F",K49*D49,0)+IF(H49="F",L49*E49,0)+IF(I49="F",M49*E49,0))/1000)</x:f>
        <x:v>Por revisar</x:v>
      </x:c>
      <x:c r="P49" s="8" t="str">
        <x:f>IF(COUNT(J49:M49)&lt;4,"POR REVISAR",IF(SUM(J49:M49)=0,"RECIBIDO CONFORME","CANTEAR A MANO"))</x:f>
        <x:v>POR REVISAR</x:v>
      </x:c>
      <x:c r="Q49" s="10" t="str">
        <x:v>Normal</x:v>
      </x:c>
    </x:row>
    <x:row r="50" ht="58" customHeight="1">
      <x:c r="A50" s="8" t="str">
        <x:v>Cocina P046</x:v>
      </x:c>
      <x:c r="B50" s="10" t="str">
        <x:v>Techo (perforar solo si el ducto sale hacia arriba; definir con manual)</x:v>
      </x:c>
      <x:c r="C50" s="8" t="n">
        <x:v>1</x:v>
      </x:c>
      <x:c r="D50" s="8" t="n">
        <x:v>570</x:v>
      </x:c>
      <x:c r="E50" s="8" t="n">
        <x:v>320</x:v>
      </x:c>
      <x:c r="F50" s="8" t="str">
        <x:v>F</x:v>
      </x:c>
      <x:c r="G50" s="8" t="str">
        <x:v>—</x:v>
      </x:c>
      <x:c r="H50" s="8" t="str">
        <x:v>—</x:v>
      </x:c>
      <x:c r="I50" s="8" t="str">
        <x:v>—</x:v>
      </x:c>
      <x:c r="J50" s="11"/>
      <x:c r="K50" s="17" t="n">
        <x:v>0</x:v>
      </x:c>
      <x:c r="L50" s="17" t="n">
        <x:v>0</x:v>
      </x:c>
      <x:c r="M50" s="17" t="n">
        <x:v>0</x:v>
      </x:c>
      <x:c r="N50" s="18" t="str">
        <x:f>IF(COUNT(J50:M50)&lt;4,"Por revisar",(IF(F50="R",J50*D50,0)+IF(G50="R",K50*D50,0)+IF(H50="R",L50*E50,0)+IF(I50="R",M50*E50,0))/1000)</x:f>
        <x:v>Por revisar</x:v>
      </x:c>
      <x:c r="O50" s="18" t="str">
        <x:f>IF(COUNT(J50:M50)&lt;4,"Por revisar",(IF(F50="F",J50*D50,0)+IF(G50="F",K50*D50,0)+IF(H50="F",L50*E50,0)+IF(I50="F",M50*E50,0))/1000)</x:f>
        <x:v>Por revisar</x:v>
      </x:c>
      <x:c r="P50" s="8" t="str">
        <x:f>IF(COUNT(J50:M50)&lt;4,"POR REVISAR",IF(SUM(J50:M50)=0,"RECIBIDO CONFORME","CANTEAR A MANO"))</x:f>
        <x:v>POR REVISAR</x:v>
      </x:c>
      <x:c r="Q50" s="10" t="str">
        <x:v>Normal · Perforación del ducto en obra, según manual de la campana.</x:v>
      </x:c>
    </x:row>
    <x:row r="51" ht="58" customHeight="1">
      <x:c r="A51" s="8" t="str">
        <x:v>Cocina P047</x:v>
      </x:c>
      <x:c r="B51" s="10" t="str">
        <x:v>Piso elevado 40 mm para agarre inferior; perforar para ducto (diámetro y posición según manual de campana)</x:v>
      </x:c>
      <x:c r="C51" s="8" t="n">
        <x:v>1</x:v>
      </x:c>
      <x:c r="D51" s="8" t="n">
        <x:v>570</x:v>
      </x:c>
      <x:c r="E51" s="8" t="n">
        <x:v>320</x:v>
      </x:c>
      <x:c r="F51" s="8" t="str">
        <x:v>F</x:v>
      </x:c>
      <x:c r="G51" s="8" t="str">
        <x:v>—</x:v>
      </x:c>
      <x:c r="H51" s="8" t="str">
        <x:v>—</x:v>
      </x:c>
      <x:c r="I51" s="8" t="str">
        <x:v>—</x:v>
      </x:c>
      <x:c r="J51" s="11"/>
      <x:c r="K51" s="17" t="n">
        <x:v>0</x:v>
      </x:c>
      <x:c r="L51" s="17" t="n">
        <x:v>0</x:v>
      </x:c>
      <x:c r="M51" s="17" t="n">
        <x:v>0</x:v>
      </x:c>
      <x:c r="N51" s="18" t="str">
        <x:f>IF(COUNT(J51:M51)&lt;4,"Por revisar",(IF(F51="R",J51*D51,0)+IF(G51="R",K51*D51,0)+IF(H51="R",L51*E51,0)+IF(I51="R",M51*E51,0))/1000)</x:f>
        <x:v>Por revisar</x:v>
      </x:c>
      <x:c r="O51" s="18" t="str">
        <x:f>IF(COUNT(J51:M51)&lt;4,"Por revisar",(IF(F51="F",J51*D51,0)+IF(G51="F",K51*D51,0)+IF(H51="F",L51*E51,0)+IF(I51="F",M51*E51,0))/1000)</x:f>
        <x:v>Por revisar</x:v>
      </x:c>
      <x:c r="P51" s="8" t="str">
        <x:f>IF(COUNT(J51:M51)&lt;4,"POR REVISAR",IF(SUM(J51:M51)=0,"RECIBIDO CONFORME","CANTEAR A MANO"))</x:f>
        <x:v>POR REVISAR</x:v>
      </x:c>
      <x:c r="Q51" s="10" t="str">
        <x:v>Normal · Perforación del ducto en obra, según manual de la campana.</x:v>
      </x:c>
    </x:row>
    <x:row r="52" ht="58" customHeight="1">
      <x:c r="A52" s="8" t="str">
        <x:v>Cocina P049</x:v>
      </x:c>
      <x:c r="B52" s="10" t="str">
        <x:v>Puerta abatible superior</x:v>
      </x:c>
      <x:c r="C52" s="8" t="n">
        <x:v>1</x:v>
      </x:c>
      <x:c r="D52" s="8" t="n">
        <x:v>347</x:v>
      </x:c>
      <x:c r="E52" s="8" t="n">
        <x:v>597</x:v>
      </x:c>
      <x:c r="F52" s="8" t="str">
        <x:v>R</x:v>
      </x:c>
      <x:c r="G52" s="8" t="str">
        <x:v>R</x:v>
      </x:c>
      <x:c r="H52" s="8" t="str">
        <x:v>R</x:v>
      </x:c>
      <x:c r="I52" s="8" t="str">
        <x:v>R</x:v>
      </x:c>
      <x:c r="J52" s="11"/>
      <x:c r="K52" s="11"/>
      <x:c r="L52" s="11"/>
      <x:c r="M52" s="11"/>
      <x:c r="N52" s="18" t="str">
        <x:f>IF(COUNT(J52:M52)&lt;4,"Por revisar",(IF(F52="R",J52*D52,0)+IF(G52="R",K52*D52,0)+IF(H52="R",L52*E52,0)+IF(I52="R",M52*E52,0))/1000)</x:f>
        <x:v>Por revisar</x:v>
      </x:c>
      <x:c r="O52" s="18" t="str">
        <x:f>IF(COUNT(J52:M52)&lt;4,"Por revisar",(IF(F52="F",J52*D52,0)+IF(G52="F",K52*D52,0)+IF(H52="F",L52*E52,0)+IF(I52="F",M52*E52,0))/1000)</x:f>
        <x:v>Por revisar</x:v>
      </x:c>
      <x:c r="P52" s="8" t="str">
        <x:f>IF(COUNT(J52:M52)&lt;4,"POR REVISAR",IF(SUM(J52:M52)=0,"RECIBIDO CONFORME","CANTEAR A MANO"))</x:f>
        <x:v>POR REVISAR</x:v>
      </x:c>
      <x:c r="Q52" s="10" t="str">
        <x:v>Normal</x:v>
      </x:c>
    </x:row>
    <x:row r="53" ht="58" customHeight="1">
      <x:c r="A53" s="8" t="str">
        <x:v>Cocina P071</x:v>
      </x:c>
      <x:c r="B53" s="10" t="str">
        <x:v>Faja retranqueada de agarre sobre campana</x:v>
      </x:c>
      <x:c r="C53" s="8" t="n">
        <x:v>1</x:v>
      </x:c>
      <x:c r="D53" s="8" t="n">
        <x:v>570</x:v>
      </x:c>
      <x:c r="E53" s="8" t="n">
        <x:v>60</x:v>
      </x:c>
      <x:c r="F53" s="8" t="str">
        <x:v>F</x:v>
      </x:c>
      <x:c r="G53" s="8" t="str">
        <x:v>F</x:v>
      </x:c>
      <x:c r="H53" s="8" t="str">
        <x:v>F</x:v>
      </x:c>
      <x:c r="I53" s="8" t="str">
        <x:v>F</x:v>
      </x:c>
      <x:c r="J53" s="11"/>
      <x:c r="K53" s="11"/>
      <x:c r="L53" s="11"/>
      <x:c r="M53" s="11"/>
      <x:c r="N53" s="18" t="str">
        <x:f>IF(COUNT(J53:M53)&lt;4,"Por revisar",(IF(F53="R",J53*D53,0)+IF(G53="R",K53*D53,0)+IF(H53="R",L53*E53,0)+IF(I53="R",M53*E53,0))/1000)</x:f>
        <x:v>Por revisar</x:v>
      </x:c>
      <x:c r="O53" s="18" t="str">
        <x:f>IF(COUNT(J53:M53)&lt;4,"Por revisar",(IF(F53="F",J53*D53,0)+IF(G53="F",K53*D53,0)+IF(H53="F",L53*E53,0)+IF(I53="F",M53*E53,0))/1000)</x:f>
        <x:v>Por revisar</x:v>
      </x:c>
      <x:c r="P53" s="8" t="str">
        <x:f>IF(COUNT(J53:M53)&lt;4,"POR REVISAR",IF(SUM(J53:M53)=0,"RECIBIDO CONFORME","CANTEAR A MANO"))</x:f>
        <x:v>POR REVISAR</x:v>
      </x:c>
      <x:c r="Q53" s="10" t="str">
        <x:v>Pequeña · Si no la cantean: cortar a 569.1 × 59.1 y cantear en el armado. P071: flexible 0,45 mm en los cuatro bordes. Confirmar cabida en canteadora; si la rechaza, cantear en taller con el descuento correspondiente.</x:v>
      </x:c>
    </x:row>
    <x:row r="54" ht="58" customHeight="1">
      <x:c r="A54" s="8" t="str">
        <x:v>Cocina P050</x:v>
      </x:c>
      <x:c r="B54" s="10" t="str">
        <x:v>Lateral</x:v>
      </x:c>
      <x:c r="C54" s="8" t="n">
        <x:v>2</x:v>
      </x:c>
      <x:c r="D54" s="8" t="n">
        <x:v>700</x:v>
      </x:c>
      <x:c r="E54" s="8" t="n">
        <x:v>320</x:v>
      </x:c>
      <x:c r="F54" s="8" t="str">
        <x:v>F</x:v>
      </x:c>
      <x:c r="G54" s="8" t="str">
        <x:v>—</x:v>
      </x:c>
      <x:c r="H54" s="8" t="str">
        <x:v>F</x:v>
      </x:c>
      <x:c r="I54" s="8" t="str">
        <x:v>F</x:v>
      </x:c>
      <x:c r="J54" s="11"/>
      <x:c r="K54" s="17" t="n">
        <x:v>0</x:v>
      </x:c>
      <x:c r="L54" s="11"/>
      <x:c r="M54" s="11"/>
      <x:c r="N54" s="18" t="str">
        <x:f>IF(COUNT(J54:M54)&lt;4,"Por revisar",(IF(F54="R",J54*D54,0)+IF(G54="R",K54*D54,0)+IF(H54="R",L54*E54,0)+IF(I54="R",M54*E54,0))/1000)</x:f>
        <x:v>Por revisar</x:v>
      </x:c>
      <x:c r="O54" s="18" t="str">
        <x:f>IF(COUNT(J54:M54)&lt;4,"Por revisar",(IF(F54="F",J54*D54,0)+IF(G54="F",K54*D54,0)+IF(H54="F",L54*E54,0)+IF(I54="F",M54*E54,0))/1000)</x:f>
        <x:v>Por revisar</x:v>
      </x:c>
      <x:c r="P54" s="8" t="str">
        <x:f>IF(COUNT(J54:M54)&lt;4,"POR REVISAR",IF(SUM(J54:M54)=0,"RECIBIDO CONFORME","CANTEAR A MANO"))</x:f>
        <x:v>POR REVISAR</x:v>
      </x:c>
      <x:c r="Q54" s="10" t="str">
        <x:v>Normal</x:v>
      </x:c>
    </x:row>
    <x:row r="55" ht="58" customHeight="1">
      <x:c r="A55" s="8" t="str">
        <x:v>Cocina P051</x:v>
      </x:c>
      <x:c r="B55" s="10" t="str">
        <x:v>Techo</x:v>
      </x:c>
      <x:c r="C55" s="8" t="n">
        <x:v>1</x:v>
      </x:c>
      <x:c r="D55" s="8" t="n">
        <x:v>625</x:v>
      </x:c>
      <x:c r="E55" s="8" t="n">
        <x:v>320</x:v>
      </x:c>
      <x:c r="F55" s="8" t="str">
        <x:v>F</x:v>
      </x:c>
      <x:c r="G55" s="8" t="str">
        <x:v>—</x:v>
      </x:c>
      <x:c r="H55" s="8" t="str">
        <x:v>—</x:v>
      </x:c>
      <x:c r="I55" s="8" t="str">
        <x:v>—</x:v>
      </x:c>
      <x:c r="J55" s="11"/>
      <x:c r="K55" s="17" t="n">
        <x:v>0</x:v>
      </x:c>
      <x:c r="L55" s="17" t="n">
        <x:v>0</x:v>
      </x:c>
      <x:c r="M55" s="17" t="n">
        <x:v>0</x:v>
      </x:c>
      <x:c r="N55" s="18" t="str">
        <x:f>IF(COUNT(J55:M55)&lt;4,"Por revisar",(IF(F55="R",J55*D55,0)+IF(G55="R",K55*D55,0)+IF(H55="R",L55*E55,0)+IF(I55="R",M55*E55,0))/1000)</x:f>
        <x:v>Por revisar</x:v>
      </x:c>
      <x:c r="O55" s="18" t="str">
        <x:f>IF(COUNT(J55:M55)&lt;4,"Por revisar",(IF(F55="F",J55*D55,0)+IF(G55="F",K55*D55,0)+IF(H55="F",L55*E55,0)+IF(I55="F",M55*E55,0))/1000)</x:f>
        <x:v>Por revisar</x:v>
      </x:c>
      <x:c r="P55" s="8" t="str">
        <x:f>IF(COUNT(J55:M55)&lt;4,"POR REVISAR",IF(SUM(J55:M55)=0,"RECIBIDO CONFORME","CANTEAR A MANO"))</x:f>
        <x:v>POR REVISAR</x:v>
      </x:c>
      <x:c r="Q55" s="10" t="str">
        <x:v>Normal</x:v>
      </x:c>
    </x:row>
    <x:row r="56" ht="58" customHeight="1">
      <x:c r="A56" s="8" t="str">
        <x:v>Cocina P052</x:v>
      </x:c>
      <x:c r="B56" s="10" t="str">
        <x:v>Piso</x:v>
      </x:c>
      <x:c r="C56" s="8" t="n">
        <x:v>1</x:v>
      </x:c>
      <x:c r="D56" s="8" t="n">
        <x:v>625</x:v>
      </x:c>
      <x:c r="E56" s="8" t="n">
        <x:v>320</x:v>
      </x:c>
      <x:c r="F56" s="8" t="str">
        <x:v>F</x:v>
      </x:c>
      <x:c r="G56" s="8" t="str">
        <x:v>—</x:v>
      </x:c>
      <x:c r="H56" s="8" t="str">
        <x:v>—</x:v>
      </x:c>
      <x:c r="I56" s="8" t="str">
        <x:v>—</x:v>
      </x:c>
      <x:c r="J56" s="11"/>
      <x:c r="K56" s="17" t="n">
        <x:v>0</x:v>
      </x:c>
      <x:c r="L56" s="17" t="n">
        <x:v>0</x:v>
      </x:c>
      <x:c r="M56" s="17" t="n">
        <x:v>0</x:v>
      </x:c>
      <x:c r="N56" s="18" t="str">
        <x:f>IF(COUNT(J56:M56)&lt;4,"Por revisar",(IF(F56="R",J56*D56,0)+IF(G56="R",K56*D56,0)+IF(H56="R",L56*E56,0)+IF(I56="R",M56*E56,0))/1000)</x:f>
        <x:v>Por revisar</x:v>
      </x:c>
      <x:c r="O56" s="18" t="str">
        <x:f>IF(COUNT(J56:M56)&lt;4,"Por revisar",(IF(F56="F",J56*D56,0)+IF(G56="F",K56*D56,0)+IF(H56="F",L56*E56,0)+IF(I56="F",M56*E56,0))/1000)</x:f>
        <x:v>Por revisar</x:v>
      </x:c>
      <x:c r="P56" s="8" t="str">
        <x:f>IF(COUNT(J56:M56)&lt;4,"POR REVISAR",IF(SUM(J56:M56)=0,"RECIBIDO CONFORME","CANTEAR A MANO"))</x:f>
        <x:v>POR REVISAR</x:v>
      </x:c>
      <x:c r="Q56" s="10" t="str">
        <x:v>Normal</x:v>
      </x:c>
    </x:row>
    <x:row r="57" ht="58" customHeight="1">
      <x:c r="A57" s="8" t="str">
        <x:v>Cocina P054</x:v>
      </x:c>
      <x:c r="B57" s="10" t="str">
        <x:v>División vertical</x:v>
      </x:c>
      <x:c r="C57" s="8" t="n">
        <x:v>1</x:v>
      </x:c>
      <x:c r="D57" s="8" t="n">
        <x:v>670</x:v>
      </x:c>
      <x:c r="E57" s="8" t="n">
        <x:v>320</x:v>
      </x:c>
      <x:c r="F57" s="8" t="str">
        <x:v>F</x:v>
      </x:c>
      <x:c r="G57" s="8" t="str">
        <x:v>—</x:v>
      </x:c>
      <x:c r="H57" s="8" t="str">
        <x:v>—</x:v>
      </x:c>
      <x:c r="I57" s="8" t="str">
        <x:v>—</x:v>
      </x:c>
      <x:c r="J57" s="11"/>
      <x:c r="K57" s="17" t="n">
        <x:v>0</x:v>
      </x:c>
      <x:c r="L57" s="17" t="n">
        <x:v>0</x:v>
      </x:c>
      <x:c r="M57" s="17" t="n">
        <x:v>0</x:v>
      </x:c>
      <x:c r="N57" s="18" t="str">
        <x:f>IF(COUNT(J57:M57)&lt;4,"Por revisar",(IF(F57="R",J57*D57,0)+IF(G57="R",K57*D57,0)+IF(H57="R",L57*E57,0)+IF(I57="R",M57*E57,0))/1000)</x:f>
        <x:v>Por revisar</x:v>
      </x:c>
      <x:c r="O57" s="18" t="str">
        <x:f>IF(COUNT(J57:M57)&lt;4,"Por revisar",(IF(F57="F",J57*D57,0)+IF(G57="F",K57*D57,0)+IF(H57="F",L57*E57,0)+IF(I57="F",M57*E57,0))/1000)</x:f>
        <x:v>Por revisar</x:v>
      </x:c>
      <x:c r="P57" s="8" t="str">
        <x:f>IF(COUNT(J57:M57)&lt;4,"POR REVISAR",IF(SUM(J57:M57)=0,"RECIBIDO CONFORME","CANTEAR A MANO"))</x:f>
        <x:v>POR REVISAR</x:v>
      </x:c>
      <x:c r="Q57" s="10" t="str">
        <x:v>Normal</x:v>
      </x:c>
    </x:row>
    <x:row r="58" ht="58" customHeight="1">
      <x:c r="A58" s="8" t="str">
        <x:v>Cocina P055</x:v>
      </x:c>
      <x:c r="B58" s="10" t="str">
        <x:v>Entrepaño regulable</x:v>
      </x:c>
      <x:c r="C58" s="8" t="n">
        <x:v>2</x:v>
      </x:c>
      <x:c r="D58" s="8" t="n">
        <x:v>303</x:v>
      </x:c>
      <x:c r="E58" s="8" t="n">
        <x:v>300</x:v>
      </x:c>
      <x:c r="F58" s="8" t="str">
        <x:v>F</x:v>
      </x:c>
      <x:c r="G58" s="8" t="str">
        <x:v>—</x:v>
      </x:c>
      <x:c r="H58" s="8" t="str">
        <x:v>—</x:v>
      </x:c>
      <x:c r="I58" s="8" t="str">
        <x:v>—</x:v>
      </x:c>
      <x:c r="J58" s="11"/>
      <x:c r="K58" s="17" t="n">
        <x:v>0</x:v>
      </x:c>
      <x:c r="L58" s="17" t="n">
        <x:v>0</x:v>
      </x:c>
      <x:c r="M58" s="17" t="n">
        <x:v>0</x:v>
      </x:c>
      <x:c r="N58" s="18" t="str">
        <x:f>IF(COUNT(J58:M58)&lt;4,"Por revisar",(IF(F58="R",J58*D58,0)+IF(G58="R",K58*D58,0)+IF(H58="R",L58*E58,0)+IF(I58="R",M58*E58,0))/1000)</x:f>
        <x:v>Por revisar</x:v>
      </x:c>
      <x:c r="O58" s="18" t="str">
        <x:f>IF(COUNT(J58:M58)&lt;4,"Por revisar",(IF(F58="F",J58*D58,0)+IF(G58="F",K58*D58,0)+IF(H58="F",L58*E58,0)+IF(I58="F",M58*E58,0))/1000)</x:f>
        <x:v>Por revisar</x:v>
      </x:c>
      <x:c r="P58" s="8" t="str">
        <x:f>IF(COUNT(J58:M58)&lt;4,"POR REVISAR",IF(SUM(J58:M58)=0,"RECIBIDO CONFORME","CANTEAR A MANO"))</x:f>
        <x:v>POR REVISAR</x:v>
      </x:c>
      <x:c r="Q58" s="10" t="str">
        <x:v>Normal</x:v>
      </x:c>
    </x:row>
    <x:row r="59" ht="58" customHeight="1">
      <x:c r="A59" s="8" t="str">
        <x:v>Cocina P056</x:v>
      </x:c>
      <x:c r="B59" s="10" t="str">
        <x:v>Puerta izquierda</x:v>
      </x:c>
      <x:c r="C59" s="8" t="n">
        <x:v>1</x:v>
      </x:c>
      <x:c r="D59" s="8" t="n">
        <x:v>717</x:v>
      </x:c>
      <x:c r="E59" s="8" t="n">
        <x:v>324.5</x:v>
      </x:c>
      <x:c r="F59" s="8" t="str">
        <x:v>R</x:v>
      </x:c>
      <x:c r="G59" s="8" t="str">
        <x:v>R</x:v>
      </x:c>
      <x:c r="H59" s="8" t="str">
        <x:v>R</x:v>
      </x:c>
      <x:c r="I59" s="8" t="str">
        <x:v>R</x:v>
      </x:c>
      <x:c r="J59" s="11"/>
      <x:c r="K59" s="11"/>
      <x:c r="L59" s="11"/>
      <x:c r="M59" s="11"/>
      <x:c r="N59" s="18" t="str">
        <x:f>IF(COUNT(J59:M59)&lt;4,"Por revisar",(IF(F59="R",J59*D59,0)+IF(G59="R",K59*D59,0)+IF(H59="R",L59*E59,0)+IF(I59="R",M59*E59,0))/1000)</x:f>
        <x:v>Por revisar</x:v>
      </x:c>
      <x:c r="O59" s="18" t="str">
        <x:f>IF(COUNT(J59:M59)&lt;4,"Por revisar",(IF(F59="F",J59*D59,0)+IF(G59="F",K59*D59,0)+IF(H59="F",L59*E59,0)+IF(I59="F",M59*E59,0))/1000)</x:f>
        <x:v>Por revisar</x:v>
      </x:c>
      <x:c r="P59" s="8" t="str">
        <x:f>IF(COUNT(J59:M59)&lt;4,"POR REVISAR",IF(SUM(J59:M59)=0,"RECIBIDO CONFORME","CANTEAR A MANO"))</x:f>
        <x:v>POR REVISAR</x:v>
      </x:c>
      <x:c r="Q59" s="10" t="str">
        <x:v>Normal</x:v>
      </x:c>
    </x:row>
    <x:row r="60" ht="58" customHeight="1">
      <x:c r="A60" s="8" t="str">
        <x:v>Cocina P057</x:v>
      </x:c>
      <x:c r="B60" s="10" t="str">
        <x:v>Puerta derecha</x:v>
      </x:c>
      <x:c r="C60" s="8" t="n">
        <x:v>1</x:v>
      </x:c>
      <x:c r="D60" s="8" t="n">
        <x:v>717</x:v>
      </x:c>
      <x:c r="E60" s="8" t="n">
        <x:v>324.5</x:v>
      </x:c>
      <x:c r="F60" s="8" t="str">
        <x:v>R</x:v>
      </x:c>
      <x:c r="G60" s="8" t="str">
        <x:v>R</x:v>
      </x:c>
      <x:c r="H60" s="8" t="str">
        <x:v>R</x:v>
      </x:c>
      <x:c r="I60" s="8" t="str">
        <x:v>R</x:v>
      </x:c>
      <x:c r="J60" s="11"/>
      <x:c r="K60" s="11"/>
      <x:c r="L60" s="11"/>
      <x:c r="M60" s="11"/>
      <x:c r="N60" s="18" t="str">
        <x:f>IF(COUNT(J60:M60)&lt;4,"Por revisar",(IF(F60="R",J60*D60,0)+IF(G60="R",K60*D60,0)+IF(H60="R",L60*E60,0)+IF(I60="R",M60*E60,0))/1000)</x:f>
        <x:v>Por revisar</x:v>
      </x:c>
      <x:c r="O60" s="18" t="str">
        <x:f>IF(COUNT(J60:M60)&lt;4,"Por revisar",(IF(F60="F",J60*D60,0)+IF(G60="F",K60*D60,0)+IF(H60="F",L60*E60,0)+IF(I60="F",M60*E60,0))/1000)</x:f>
        <x:v>Por revisar</x:v>
      </x:c>
      <x:c r="P60" s="8" t="str">
        <x:f>IF(COUNT(J60:M60)&lt;4,"POR REVISAR",IF(SUM(J60:M60)=0,"RECIBIDO CONFORME","CANTEAR A MANO"))</x:f>
        <x:v>POR REVISAR</x:v>
      </x:c>
      <x:c r="Q60" s="10" t="str">
        <x:v>Normal</x:v>
      </x:c>
    </x:row>
    <x:row r="61" ht="58" customHeight="1">
      <x:c r="A61" s="8" t="str">
        <x:v>Cocina P058</x:v>
      </x:c>
      <x:c r="B61" s="10" t="str">
        <x:v>Lateral</x:v>
      </x:c>
      <x:c r="C61" s="8" t="n">
        <x:v>2</x:v>
      </x:c>
      <x:c r="D61" s="8" t="n">
        <x:v>700</x:v>
      </x:c>
      <x:c r="E61" s="8" t="n">
        <x:v>320</x:v>
      </x:c>
      <x:c r="F61" s="8" t="str">
        <x:v>F</x:v>
      </x:c>
      <x:c r="G61" s="8" t="str">
        <x:v>—</x:v>
      </x:c>
      <x:c r="H61" s="8" t="str">
        <x:v>F</x:v>
      </x:c>
      <x:c r="I61" s="8" t="str">
        <x:v>F</x:v>
      </x:c>
      <x:c r="J61" s="11"/>
      <x:c r="K61" s="17" t="n">
        <x:v>0</x:v>
      </x:c>
      <x:c r="L61" s="11"/>
      <x:c r="M61" s="11"/>
      <x:c r="N61" s="18" t="str">
        <x:f>IF(COUNT(J61:M61)&lt;4,"Por revisar",(IF(F61="R",J61*D61,0)+IF(G61="R",K61*D61,0)+IF(H61="R",L61*E61,0)+IF(I61="R",M61*E61,0))/1000)</x:f>
        <x:v>Por revisar</x:v>
      </x:c>
      <x:c r="O61" s="18" t="str">
        <x:f>IF(COUNT(J61:M61)&lt;4,"Por revisar",(IF(F61="F",J61*D61,0)+IF(G61="F",K61*D61,0)+IF(H61="F",L61*E61,0)+IF(I61="F",M61*E61,0))/1000)</x:f>
        <x:v>Por revisar</x:v>
      </x:c>
      <x:c r="P61" s="8" t="str">
        <x:f>IF(COUNT(J61:M61)&lt;4,"POR REVISAR",IF(SUM(J61:M61)=0,"RECIBIDO CONFORME","CANTEAR A MANO"))</x:f>
        <x:v>POR REVISAR</x:v>
      </x:c>
      <x:c r="Q61" s="10" t="str">
        <x:v>Normal</x:v>
      </x:c>
    </x:row>
    <x:row r="62" ht="58" customHeight="1">
      <x:c r="A62" s="8" t="str">
        <x:v>Cocina P059</x:v>
      </x:c>
      <x:c r="B62" s="10" t="str">
        <x:v>Techo</x:v>
      </x:c>
      <x:c r="C62" s="8" t="n">
        <x:v>1</x:v>
      </x:c>
      <x:c r="D62" s="8" t="n">
        <x:v>685</x:v>
      </x:c>
      <x:c r="E62" s="8" t="n">
        <x:v>320</x:v>
      </x:c>
      <x:c r="F62" s="8" t="str">
        <x:v>F</x:v>
      </x:c>
      <x:c r="G62" s="8" t="str">
        <x:v>—</x:v>
      </x:c>
      <x:c r="H62" s="8" t="str">
        <x:v>—</x:v>
      </x:c>
      <x:c r="I62" s="8" t="str">
        <x:v>—</x:v>
      </x:c>
      <x:c r="J62" s="11"/>
      <x:c r="K62" s="17" t="n">
        <x:v>0</x:v>
      </x:c>
      <x:c r="L62" s="17" t="n">
        <x:v>0</x:v>
      </x:c>
      <x:c r="M62" s="17" t="n">
        <x:v>0</x:v>
      </x:c>
      <x:c r="N62" s="18" t="str">
        <x:f>IF(COUNT(J62:M62)&lt;4,"Por revisar",(IF(F62="R",J62*D62,0)+IF(G62="R",K62*D62,0)+IF(H62="R",L62*E62,0)+IF(I62="R",M62*E62,0))/1000)</x:f>
        <x:v>Por revisar</x:v>
      </x:c>
      <x:c r="O62" s="18" t="str">
        <x:f>IF(COUNT(J62:M62)&lt;4,"Por revisar",(IF(F62="F",J62*D62,0)+IF(G62="F",K62*D62,0)+IF(H62="F",L62*E62,0)+IF(I62="F",M62*E62,0))/1000)</x:f>
        <x:v>Por revisar</x:v>
      </x:c>
      <x:c r="P62" s="8" t="str">
        <x:f>IF(COUNT(J62:M62)&lt;4,"POR REVISAR",IF(SUM(J62:M62)=0,"RECIBIDO CONFORME","CANTEAR A MANO"))</x:f>
        <x:v>POR REVISAR</x:v>
      </x:c>
      <x:c r="Q62" s="10" t="str">
        <x:v>Normal</x:v>
      </x:c>
    </x:row>
    <x:row r="63" ht="58" customHeight="1">
      <x:c r="A63" s="8" t="str">
        <x:v>Cocina P060</x:v>
      </x:c>
      <x:c r="B63" s="10" t="str">
        <x:v>Listón inferior delantero</x:v>
      </x:c>
      <x:c r="C63" s="8" t="n">
        <x:v>1</x:v>
      </x:c>
      <x:c r="D63" s="8" t="n">
        <x:v>685</x:v>
      </x:c>
      <x:c r="E63" s="8" t="n">
        <x:v>60</x:v>
      </x:c>
      <x:c r="F63" s="8" t="str">
        <x:v>F</x:v>
      </x:c>
      <x:c r="G63" s="8" t="str">
        <x:v>F</x:v>
      </x:c>
      <x:c r="H63" s="8" t="str">
        <x:v>F</x:v>
      </x:c>
      <x:c r="I63" s="8" t="str">
        <x:v>F</x:v>
      </x:c>
      <x:c r="J63" s="11"/>
      <x:c r="K63" s="11"/>
      <x:c r="L63" s="11"/>
      <x:c r="M63" s="11"/>
      <x:c r="N63" s="18" t="str">
        <x:f>IF(COUNT(J63:M63)&lt;4,"Por revisar",(IF(F63="R",J63*D63,0)+IF(G63="R",K63*D63,0)+IF(H63="R",L63*E63,0)+IF(I63="R",M63*E63,0))/1000)</x:f>
        <x:v>Por revisar</x:v>
      </x:c>
      <x:c r="O63" s="18" t="str">
        <x:f>IF(COUNT(J63:M63)&lt;4,"Por revisar",(IF(F63="F",J63*D63,0)+IF(G63="F",K63*D63,0)+IF(H63="F",L63*E63,0)+IF(I63="F",M63*E63,0))/1000)</x:f>
        <x:v>Por revisar</x:v>
      </x:c>
      <x:c r="P63" s="8" t="str">
        <x:f>IF(COUNT(J63:M63)&lt;4,"POR REVISAR",IF(SUM(J63:M63)=0,"RECIBIDO CONFORME","CANTEAR A MANO"))</x:f>
        <x:v>POR REVISAR</x:v>
      </x:c>
      <x:c r="Q63" s="10" t="str">
        <x:v>Pequeña · Si no la cantean: cortar a 684.1 × 59.1 y cantear en el armado.</x:v>
      </x:c>
    </x:row>
    <x:row r="64" ht="58" customHeight="1">
      <x:c r="A64" s="8" t="str">
        <x:v>Cocina P061</x:v>
      </x:c>
      <x:c r="B64" s="10" t="str">
        <x:v>Listón inferior trasero</x:v>
      </x:c>
      <x:c r="C64" s="8" t="n">
        <x:v>1</x:v>
      </x:c>
      <x:c r="D64" s="8" t="n">
        <x:v>685</x:v>
      </x:c>
      <x:c r="E64" s="8" t="n">
        <x:v>80</x:v>
      </x:c>
      <x:c r="F64" s="8" t="str">
        <x:v>F</x:v>
      </x:c>
      <x:c r="G64" s="8" t="str">
        <x:v>F</x:v>
      </x:c>
      <x:c r="H64" s="8" t="str">
        <x:v>F</x:v>
      </x:c>
      <x:c r="I64" s="8" t="str">
        <x:v>F</x:v>
      </x:c>
      <x:c r="J64" s="11"/>
      <x:c r="K64" s="11"/>
      <x:c r="L64" s="11"/>
      <x:c r="M64" s="11"/>
      <x:c r="N64" s="18" t="str">
        <x:f>IF(COUNT(J64:M64)&lt;4,"Por revisar",(IF(F64="R",J64*D64,0)+IF(G64="R",K64*D64,0)+IF(H64="R",L64*E64,0)+IF(I64="R",M64*E64,0))/1000)</x:f>
        <x:v>Por revisar</x:v>
      </x:c>
      <x:c r="O64" s="18" t="str">
        <x:f>IF(COUNT(J64:M64)&lt;4,"Por revisar",(IF(F64="F",J64*D64,0)+IF(G64="F",K64*D64,0)+IF(H64="F",L64*E64,0)+IF(I64="F",M64*E64,0))/1000)</x:f>
        <x:v>Por revisar</x:v>
      </x:c>
      <x:c r="P64" s="8" t="str">
        <x:f>IF(COUNT(J64:M64)&lt;4,"POR REVISAR",IF(SUM(J64:M64)=0,"RECIBIDO CONFORME","CANTEAR A MANO"))</x:f>
        <x:v>POR REVISAR</x:v>
      </x:c>
      <x:c r="Q64" s="10" t="str">
        <x:v>Pequeña · Si no la cantean: cortar a 684.1 × 79.1 y cantear en el armado.</x:v>
      </x:c>
    </x:row>
    <x:row r="65" ht="58" customHeight="1">
      <x:c r="A65" s="8" t="str">
        <x:v>Cocina P063</x:v>
      </x:c>
      <x:c r="B65" s="10" t="str">
        <x:v>Puerta izquierda</x:v>
      </x:c>
      <x:c r="C65" s="8" t="n">
        <x:v>1</x:v>
      </x:c>
      <x:c r="D65" s="8" t="n">
        <x:v>717</x:v>
      </x:c>
      <x:c r="E65" s="8" t="n">
        <x:v>354.5</x:v>
      </x:c>
      <x:c r="F65" s="8" t="str">
        <x:v>R</x:v>
      </x:c>
      <x:c r="G65" s="8" t="str">
        <x:v>R</x:v>
      </x:c>
      <x:c r="H65" s="8" t="str">
        <x:v>R</x:v>
      </x:c>
      <x:c r="I65" s="8" t="str">
        <x:v>R</x:v>
      </x:c>
      <x:c r="J65" s="11"/>
      <x:c r="K65" s="11"/>
      <x:c r="L65" s="11"/>
      <x:c r="M65" s="11"/>
      <x:c r="N65" s="18" t="str">
        <x:f>IF(COUNT(J65:M65)&lt;4,"Por revisar",(IF(F65="R",J65*D65,0)+IF(G65="R",K65*D65,0)+IF(H65="R",L65*E65,0)+IF(I65="R",M65*E65,0))/1000)</x:f>
        <x:v>Por revisar</x:v>
      </x:c>
      <x:c r="O65" s="18" t="str">
        <x:f>IF(COUNT(J65:M65)&lt;4,"Por revisar",(IF(F65="F",J65*D65,0)+IF(G65="F",K65*D65,0)+IF(H65="F",L65*E65,0)+IF(I65="F",M65*E65,0))/1000)</x:f>
        <x:v>Por revisar</x:v>
      </x:c>
      <x:c r="P65" s="8" t="str">
        <x:f>IF(COUNT(J65:M65)&lt;4,"POR REVISAR",IF(SUM(J65:M65)=0,"RECIBIDO CONFORME","CANTEAR A MANO"))</x:f>
        <x:v>POR REVISAR</x:v>
      </x:c>
      <x:c r="Q65" s="10" t="str">
        <x:v>Normal</x:v>
      </x:c>
    </x:row>
    <x:row r="66" ht="58" customHeight="1">
      <x:c r="A66" s="8" t="str">
        <x:v>Cocina P064</x:v>
      </x:c>
      <x:c r="B66" s="10" t="str">
        <x:v>Puerta derecha</x:v>
      </x:c>
      <x:c r="C66" s="8" t="n">
        <x:v>1</x:v>
      </x:c>
      <x:c r="D66" s="8" t="n">
        <x:v>717</x:v>
      </x:c>
      <x:c r="E66" s="8" t="n">
        <x:v>354.5</x:v>
      </x:c>
      <x:c r="F66" s="8" t="str">
        <x:v>R</x:v>
      </x:c>
      <x:c r="G66" s="8" t="str">
        <x:v>R</x:v>
      </x:c>
      <x:c r="H66" s="8" t="str">
        <x:v>R</x:v>
      </x:c>
      <x:c r="I66" s="8" t="str">
        <x:v>R</x:v>
      </x:c>
      <x:c r="J66" s="11"/>
      <x:c r="K66" s="11"/>
      <x:c r="L66" s="11"/>
      <x:c r="M66" s="11"/>
      <x:c r="N66" s="18" t="str">
        <x:f>IF(COUNT(J66:M66)&lt;4,"Por revisar",(IF(F66="R",J66*D66,0)+IF(G66="R",K66*D66,0)+IF(H66="R",L66*E66,0)+IF(I66="R",M66*E66,0))/1000)</x:f>
        <x:v>Por revisar</x:v>
      </x:c>
      <x:c r="O66" s="18" t="str">
        <x:f>IF(COUNT(J66:M66)&lt;4,"Por revisar",(IF(F66="F",J66*D66,0)+IF(G66="F",K66*D66,0)+IF(H66="F",L66*E66,0)+IF(I66="F",M66*E66,0))/1000)</x:f>
        <x:v>Por revisar</x:v>
      </x:c>
      <x:c r="P66" s="8" t="str">
        <x:f>IF(COUNT(J66:M66)&lt;4,"POR REVISAR",IF(SUM(J66:M66)=0,"RECIBIDO CONFORME","CANTEAR A MANO"))</x:f>
        <x:v>POR REVISAR</x:v>
      </x:c>
      <x:c r="Q66" s="10" t="str">
        <x:v>Normal</x:v>
      </x:c>
    </x:row>
    <x:row r="67" ht="58" customHeight="1">
      <x:c r="A67" s="8" t="str">
        <x:v>Cocina P065</x:v>
      </x:c>
      <x:c r="B67" s="10" t="str">
        <x:v>Lateral</x:v>
      </x:c>
      <x:c r="C67" s="8" t="n">
        <x:v>2</x:v>
      </x:c>
      <x:c r="D67" s="8" t="n">
        <x:v>700</x:v>
      </x:c>
      <x:c r="E67" s="8" t="n">
        <x:v>320</x:v>
      </x:c>
      <x:c r="F67" s="8" t="str">
        <x:v>F</x:v>
      </x:c>
      <x:c r="G67" s="8" t="str">
        <x:v>—</x:v>
      </x:c>
      <x:c r="H67" s="8" t="str">
        <x:v>F</x:v>
      </x:c>
      <x:c r="I67" s="8" t="str">
        <x:v>F</x:v>
      </x:c>
      <x:c r="J67" s="11"/>
      <x:c r="K67" s="17" t="n">
        <x:v>0</x:v>
      </x:c>
      <x:c r="L67" s="11"/>
      <x:c r="M67" s="11"/>
      <x:c r="N67" s="18" t="str">
        <x:f>IF(COUNT(J67:M67)&lt;4,"Por revisar",(IF(F67="R",J67*D67,0)+IF(G67="R",K67*D67,0)+IF(H67="R",L67*E67,0)+IF(I67="R",M67*E67,0))/1000)</x:f>
        <x:v>Por revisar</x:v>
      </x:c>
      <x:c r="O67" s="18" t="str">
        <x:f>IF(COUNT(J67:M67)&lt;4,"Por revisar",(IF(F67="F",J67*D67,0)+IF(G67="F",K67*D67,0)+IF(H67="F",L67*E67,0)+IF(I67="F",M67*E67,0))/1000)</x:f>
        <x:v>Por revisar</x:v>
      </x:c>
      <x:c r="P67" s="8" t="str">
        <x:f>IF(COUNT(J67:M67)&lt;4,"POR REVISAR",IF(SUM(J67:M67)=0,"RECIBIDO CONFORME","CANTEAR A MANO"))</x:f>
        <x:v>POR REVISAR</x:v>
      </x:c>
      <x:c r="Q67" s="10" t="str">
        <x:v>Normal</x:v>
      </x:c>
    </x:row>
    <x:row r="68" ht="58" customHeight="1">
      <x:c r="A68" s="8" t="str">
        <x:v>Cocina P066</x:v>
      </x:c>
      <x:c r="B68" s="10" t="str">
        <x:v>Techo</x:v>
      </x:c>
      <x:c r="C68" s="8" t="n">
        <x:v>1</x:v>
      </x:c>
      <x:c r="D68" s="8" t="n">
        <x:v>370</x:v>
      </x:c>
      <x:c r="E68" s="8" t="n">
        <x:v>320</x:v>
      </x:c>
      <x:c r="F68" s="8" t="str">
        <x:v>F</x:v>
      </x:c>
      <x:c r="G68" s="8" t="str">
        <x:v>—</x:v>
      </x:c>
      <x:c r="H68" s="8" t="str">
        <x:v>—</x:v>
      </x:c>
      <x:c r="I68" s="8" t="str">
        <x:v>—</x:v>
      </x:c>
      <x:c r="J68" s="11"/>
      <x:c r="K68" s="17" t="n">
        <x:v>0</x:v>
      </x:c>
      <x:c r="L68" s="17" t="n">
        <x:v>0</x:v>
      </x:c>
      <x:c r="M68" s="17" t="n">
        <x:v>0</x:v>
      </x:c>
      <x:c r="N68" s="18" t="str">
        <x:f>IF(COUNT(J68:M68)&lt;4,"Por revisar",(IF(F68="R",J68*D68,0)+IF(G68="R",K68*D68,0)+IF(H68="R",L68*E68,0)+IF(I68="R",M68*E68,0))/1000)</x:f>
        <x:v>Por revisar</x:v>
      </x:c>
      <x:c r="O68" s="18" t="str">
        <x:f>IF(COUNT(J68:M68)&lt;4,"Por revisar",(IF(F68="F",J68*D68,0)+IF(G68="F",K68*D68,0)+IF(H68="F",L68*E68,0)+IF(I68="F",M68*E68,0))/1000)</x:f>
        <x:v>Por revisar</x:v>
      </x:c>
      <x:c r="P68" s="8" t="str">
        <x:f>IF(COUNT(J68:M68)&lt;4,"POR REVISAR",IF(SUM(J68:M68)=0,"RECIBIDO CONFORME","CANTEAR A MANO"))</x:f>
        <x:v>POR REVISAR</x:v>
      </x:c>
      <x:c r="Q68" s="10" t="str">
        <x:v>Normal</x:v>
      </x:c>
    </x:row>
    <x:row r="69" ht="58" customHeight="1">
      <x:c r="A69" s="8" t="str">
        <x:v>Cocina P067</x:v>
      </x:c>
      <x:c r="B69" s="10" t="str">
        <x:v>Piso</x:v>
      </x:c>
      <x:c r="C69" s="8" t="n">
        <x:v>1</x:v>
      </x:c>
      <x:c r="D69" s="8" t="n">
        <x:v>370</x:v>
      </x:c>
      <x:c r="E69" s="8" t="n">
        <x:v>320</x:v>
      </x:c>
      <x:c r="F69" s="8" t="str">
        <x:v>F</x:v>
      </x:c>
      <x:c r="G69" s="8" t="str">
        <x:v>—</x:v>
      </x:c>
      <x:c r="H69" s="8" t="str">
        <x:v>—</x:v>
      </x:c>
      <x:c r="I69" s="8" t="str">
        <x:v>—</x:v>
      </x:c>
      <x:c r="J69" s="11"/>
      <x:c r="K69" s="17" t="n">
        <x:v>0</x:v>
      </x:c>
      <x:c r="L69" s="17" t="n">
        <x:v>0</x:v>
      </x:c>
      <x:c r="M69" s="17" t="n">
        <x:v>0</x:v>
      </x:c>
      <x:c r="N69" s="18" t="str">
        <x:f>IF(COUNT(J69:M69)&lt;4,"Por revisar",(IF(F69="R",J69*D69,0)+IF(G69="R",K69*D69,0)+IF(H69="R",L69*E69,0)+IF(I69="R",M69*E69,0))/1000)</x:f>
        <x:v>Por revisar</x:v>
      </x:c>
      <x:c r="O69" s="18" t="str">
        <x:f>IF(COUNT(J69:M69)&lt;4,"Por revisar",(IF(F69="F",J69*D69,0)+IF(G69="F",K69*D69,0)+IF(H69="F",L69*E69,0)+IF(I69="F",M69*E69,0))/1000)</x:f>
        <x:v>Por revisar</x:v>
      </x:c>
      <x:c r="P69" s="8" t="str">
        <x:f>IF(COUNT(J69:M69)&lt;4,"POR REVISAR",IF(SUM(J69:M69)=0,"RECIBIDO CONFORME","CANTEAR A MANO"))</x:f>
        <x:v>POR REVISAR</x:v>
      </x:c>
      <x:c r="Q69" s="10" t="str">
        <x:v>Normal</x:v>
      </x:c>
    </x:row>
    <x:row r="70" ht="58" customHeight="1">
      <x:c r="A70" s="8" t="str">
        <x:v>Cocina P069</x:v>
      </x:c>
      <x:c r="B70" s="10" t="str">
        <x:v>Entrepaño regulable</x:v>
      </x:c>
      <x:c r="C70" s="8" t="n">
        <x:v>1</x:v>
      </x:c>
      <x:c r="D70" s="8" t="n">
        <x:v>368</x:v>
      </x:c>
      <x:c r="E70" s="8" t="n">
        <x:v>300</x:v>
      </x:c>
      <x:c r="F70" s="8" t="str">
        <x:v>F</x:v>
      </x:c>
      <x:c r="G70" s="8" t="str">
        <x:v>—</x:v>
      </x:c>
      <x:c r="H70" s="8" t="str">
        <x:v>—</x:v>
      </x:c>
      <x:c r="I70" s="8" t="str">
        <x:v>—</x:v>
      </x:c>
      <x:c r="J70" s="11"/>
      <x:c r="K70" s="17" t="n">
        <x:v>0</x:v>
      </x:c>
      <x:c r="L70" s="17" t="n">
        <x:v>0</x:v>
      </x:c>
      <x:c r="M70" s="17" t="n">
        <x:v>0</x:v>
      </x:c>
      <x:c r="N70" s="18" t="str">
        <x:f>IF(COUNT(J70:M70)&lt;4,"Por revisar",(IF(F70="R",J70*D70,0)+IF(G70="R",K70*D70,0)+IF(H70="R",L70*E70,0)+IF(I70="R",M70*E70,0))/1000)</x:f>
        <x:v>Por revisar</x:v>
      </x:c>
      <x:c r="O70" s="18" t="str">
        <x:f>IF(COUNT(J70:M70)&lt;4,"Por revisar",(IF(F70="F",J70*D70,0)+IF(G70="F",K70*D70,0)+IF(H70="F",L70*E70,0)+IF(I70="F",M70*E70,0))/1000)</x:f>
        <x:v>Por revisar</x:v>
      </x:c>
      <x:c r="P70" s="8" t="str">
        <x:f>IF(COUNT(J70:M70)&lt;4,"POR REVISAR",IF(SUM(J70:M70)=0,"RECIBIDO CONFORME","CANTEAR A MANO"))</x:f>
        <x:v>POR REVISAR</x:v>
      </x:c>
      <x:c r="Q70" s="10" t="str">
        <x:v>Normal</x:v>
      </x:c>
    </x:row>
    <x:row r="71" ht="58" customHeight="1">
      <x:c r="A71" s="8" t="str">
        <x:v>Cocina P070</x:v>
      </x:c>
      <x:c r="B71" s="10" t="str">
        <x:v>Puerta</x:v>
      </x:c>
      <x:c r="C71" s="8" t="n">
        <x:v>1</x:v>
      </x:c>
      <x:c r="D71" s="8" t="n">
        <x:v>717</x:v>
      </x:c>
      <x:c r="E71" s="8" t="n">
        <x:v>397</x:v>
      </x:c>
      <x:c r="F71" s="8" t="str">
        <x:v>R</x:v>
      </x:c>
      <x:c r="G71" s="8" t="str">
        <x:v>R</x:v>
      </x:c>
      <x:c r="H71" s="8" t="str">
        <x:v>R</x:v>
      </x:c>
      <x:c r="I71" s="8" t="str">
        <x:v>R</x:v>
      </x:c>
      <x:c r="J71" s="11"/>
      <x:c r="K71" s="11"/>
      <x:c r="L71" s="11"/>
      <x:c r="M71" s="11"/>
      <x:c r="N71" s="18" t="str">
        <x:f>IF(COUNT(J71:M71)&lt;4,"Por revisar",(IF(F71="R",J71*D71,0)+IF(G71="R",K71*D71,0)+IF(H71="R",L71*E71,0)+IF(I71="R",M71*E71,0))/1000)</x:f>
        <x:v>Por revisar</x:v>
      </x:c>
      <x:c r="O71" s="18" t="str">
        <x:f>IF(COUNT(J71:M71)&lt;4,"Por revisar",(IF(F71="F",J71*D71,0)+IF(G71="F",K71*D71,0)+IF(H71="F",L71*E71,0)+IF(I71="F",M71*E71,0))/1000)</x:f>
        <x:v>Por revisar</x:v>
      </x:c>
      <x:c r="P71" s="8" t="str">
        <x:f>IF(COUNT(J71:M71)&lt;4,"POR REVISAR",IF(SUM(J71:M71)=0,"RECIBIDO CONFORME","CANTEAR A MANO"))</x:f>
        <x:v>POR REVISAR</x:v>
      </x:c>
      <x:c r="Q71" s="10" t="str">
        <x:v>Normal</x:v>
      </x:c>
    </x:row>
    <x:row r="72" ht="58" customHeight="1">
      <x:c r="A72" s="8" t="str">
        <x:v>Clóset C3-001</x:v>
      </x:c>
      <x:c r="B72" s="10" t="str">
        <x:v>Lateral exterior</x:v>
      </x:c>
      <x:c r="C72" s="8" t="n">
        <x:v>2</x:v>
      </x:c>
      <x:c r="D72" s="8" t="n">
        <x:v>2280</x:v>
      </x:c>
      <x:c r="E72" s="8" t="n">
        <x:v>560</x:v>
      </x:c>
      <x:c r="F72" s="8" t="str">
        <x:v>F</x:v>
      </x:c>
      <x:c r="G72" s="8" t="str">
        <x:v>—</x:v>
      </x:c>
      <x:c r="H72" s="8" t="str">
        <x:v>F</x:v>
      </x:c>
      <x:c r="I72" s="8" t="str">
        <x:v>F</x:v>
      </x:c>
      <x:c r="J72" s="11"/>
      <x:c r="K72" s="17" t="n">
        <x:v>0</x:v>
      </x:c>
      <x:c r="L72" s="11"/>
      <x:c r="M72" s="11"/>
      <x:c r="N72" s="18" t="str">
        <x:f>IF(COUNT(J72:M72)&lt;4,"Por revisar",(IF(F72="R",J72*D72,0)+IF(G72="R",K72*D72,0)+IF(H72="R",L72*E72,0)+IF(I72="R",M72*E72,0))/1000)</x:f>
        <x:v>Por revisar</x:v>
      </x:c>
      <x:c r="O72" s="18" t="str">
        <x:f>IF(COUNT(J72:M72)&lt;4,"Por revisar",(IF(F72="F",J72*D72,0)+IF(G72="F",K72*D72,0)+IF(H72="F",L72*E72,0)+IF(I72="F",M72*E72,0))/1000)</x:f>
        <x:v>Por revisar</x:v>
      </x:c>
      <x:c r="P72" s="8" t="str">
        <x:f>IF(COUNT(J72:M72)&lt;4,"POR REVISAR",IF(SUM(J72:M72)=0,"RECIBIDO CONFORME","CANTEAR A MANO"))</x:f>
        <x:v>POR REVISAR</x:v>
      </x:c>
      <x:c r="Q72" s="10" t="str">
        <x:v>Normal · Rebaje superior para el listón de pino 4 × 4 en taller.</x:v>
      </x:c>
    </x:row>
    <x:row r="73" ht="58" customHeight="1">
      <x:c r="A73" s="8" t="str">
        <x:v>Clóset C3-002</x:v>
      </x:c>
      <x:c r="B73" s="10" t="str">
        <x:v>Divisor central</x:v>
      </x:c>
      <x:c r="C73" s="8" t="n">
        <x:v>1</x:v>
      </x:c>
      <x:c r="D73" s="8" t="n">
        <x:v>2280</x:v>
      </x:c>
      <x:c r="E73" s="8" t="n">
        <x:v>490</x:v>
      </x:c>
      <x:c r="F73" s="8" t="str">
        <x:v>F</x:v>
      </x:c>
      <x:c r="G73" s="8" t="str">
        <x:v>—</x:v>
      </x:c>
      <x:c r="H73" s="8" t="str">
        <x:v>F</x:v>
      </x:c>
      <x:c r="I73" s="8" t="str">
        <x:v>—</x:v>
      </x:c>
      <x:c r="J73" s="11"/>
      <x:c r="K73" s="17" t="n">
        <x:v>0</x:v>
      </x:c>
      <x:c r="L73" s="11"/>
      <x:c r="M73" s="17" t="n">
        <x:v>0</x:v>
      </x:c>
      <x:c r="N73" s="18" t="str">
        <x:f>IF(COUNT(J73:M73)&lt;4,"Por revisar",(IF(F73="R",J73*D73,0)+IF(G73="R",K73*D73,0)+IF(H73="R",L73*E73,0)+IF(I73="R",M73*E73,0))/1000)</x:f>
        <x:v>Por revisar</x:v>
      </x:c>
      <x:c r="O73" s="18" t="str">
        <x:f>IF(COUNT(J73:M73)&lt;4,"Por revisar",(IF(F73="F",J73*D73,0)+IF(G73="F",K73*D73,0)+IF(H73="F",L73*E73,0)+IF(I73="F",M73*E73,0))/1000)</x:f>
        <x:v>Por revisar</x:v>
      </x:c>
      <x:c r="P73" s="8" t="str">
        <x:f>IF(COUNT(J73:M73)&lt;4,"POR REVISAR",IF(SUM(J73:M73)=0,"RECIBIDO CONFORME","CANTEAR A MANO"))</x:f>
        <x:v>POR REVISAR</x:v>
      </x:c>
      <x:c r="Q73" s="10" t="str">
        <x:v>Normal</x:v>
      </x:c>
    </x:row>
    <x:row r="74" ht="58" customHeight="1">
      <x:c r="A74" s="8" t="str">
        <x:v>Clóset C3-003</x:v>
      </x:c>
      <x:c r="B74" s="10" t="str">
        <x:v>Piso sobre base</x:v>
      </x:c>
      <x:c r="C74" s="8" t="n">
        <x:v>1</x:v>
      </x:c>
      <x:c r="D74" s="8" t="n">
        <x:v>830</x:v>
      </x:c>
      <x:c r="E74" s="8" t="n">
        <x:v>560</x:v>
      </x:c>
      <x:c r="F74" s="8" t="str">
        <x:v>F</x:v>
      </x:c>
      <x:c r="G74" s="8" t="str">
        <x:v>—</x:v>
      </x:c>
      <x:c r="H74" s="8" t="str">
        <x:v>F</x:v>
      </x:c>
      <x:c r="I74" s="8" t="str">
        <x:v>—</x:v>
      </x:c>
      <x:c r="J74" s="11"/>
      <x:c r="K74" s="17" t="n">
        <x:v>0</x:v>
      </x:c>
      <x:c r="L74" s="11"/>
      <x:c r="M74" s="17" t="n">
        <x:v>0</x:v>
      </x:c>
      <x:c r="N74" s="18" t="str">
        <x:f>IF(COUNT(J74:M74)&lt;4,"Por revisar",(IF(F74="R",J74*D74,0)+IF(G74="R",K74*D74,0)+IF(H74="R",L74*E74,0)+IF(I74="R",M74*E74,0))/1000)</x:f>
        <x:v>Por revisar</x:v>
      </x:c>
      <x:c r="O74" s="18" t="str">
        <x:f>IF(COUNT(J74:M74)&lt;4,"Por revisar",(IF(F74="F",J74*D74,0)+IF(G74="F",K74*D74,0)+IF(H74="F",L74*E74,0)+IF(I74="F",M74*E74,0))/1000)</x:f>
        <x:v>Por revisar</x:v>
      </x:c>
      <x:c r="P74" s="8" t="str">
        <x:f>IF(COUNT(J74:M74)&lt;4,"POR REVISAR",IF(SUM(J74:M74)=0,"RECIBIDO CONFORME","CANTEAR A MANO"))</x:f>
        <x:v>POR REVISAR</x:v>
      </x:c>
      <x:c r="Q74" s="10" t="str">
        <x:v>Normal</x:v>
      </x:c>
    </x:row>
    <x:row r="75" ht="58" customHeight="1">
      <x:c r="A75" s="8" t="str">
        <x:v>Clóset C3-004</x:v>
      </x:c>
      <x:c r="B75" s="10" t="str">
        <x:v>Tapa superior</x:v>
      </x:c>
      <x:c r="C75" s="8" t="n">
        <x:v>1</x:v>
      </x:c>
      <x:c r="D75" s="8" t="n">
        <x:v>830</x:v>
      </x:c>
      <x:c r="E75" s="8" t="n">
        <x:v>505</x:v>
      </x:c>
      <x:c r="F75" s="8" t="str">
        <x:v>F</x:v>
      </x:c>
      <x:c r="G75" s="8" t="str">
        <x:v>—</x:v>
      </x:c>
      <x:c r="H75" s="8" t="str">
        <x:v>—</x:v>
      </x:c>
      <x:c r="I75" s="8" t="str">
        <x:v>—</x:v>
      </x:c>
      <x:c r="J75" s="11"/>
      <x:c r="K75" s="17" t="n">
        <x:v>0</x:v>
      </x:c>
      <x:c r="L75" s="17" t="n">
        <x:v>0</x:v>
      </x:c>
      <x:c r="M75" s="17" t="n">
        <x:v>0</x:v>
      </x:c>
      <x:c r="N75" s="18" t="str">
        <x:f>IF(COUNT(J75:M75)&lt;4,"Por revisar",(IF(F75="R",J75*D75,0)+IF(G75="R",K75*D75,0)+IF(H75="R",L75*E75,0)+IF(I75="R",M75*E75,0))/1000)</x:f>
        <x:v>Por revisar</x:v>
      </x:c>
      <x:c r="O75" s="18" t="str">
        <x:f>IF(COUNT(J75:M75)&lt;4,"Por revisar",(IF(F75="F",J75*D75,0)+IF(G75="F",K75*D75,0)+IF(H75="F",L75*E75,0)+IF(I75="F",M75*E75,0))/1000)</x:f>
        <x:v>Por revisar</x:v>
      </x:c>
      <x:c r="P75" s="8" t="str">
        <x:f>IF(COUNT(J75:M75)&lt;4,"POR REVISAR",IF(SUM(J75:M75)=0,"RECIBIDO CONFORME","CANTEAR A MANO"))</x:f>
        <x:v>POR REVISAR</x:v>
      </x:c>
      <x:c r="Q75" s="10" t="str">
        <x:v>Normal</x:v>
      </x:c>
    </x:row>
    <x:row r="76" ht="58" customHeight="1">
      <x:c r="A76" s="8" t="str">
        <x:v>Clóset C3-005</x:v>
      </x:c>
      <x:c r="B76" s="10" t="str">
        <x:v>Fondo RH15</x:v>
      </x:c>
      <x:c r="C76" s="8" t="n">
        <x:v>1</x:v>
      </x:c>
      <x:c r="D76" s="8" t="n">
        <x:v>2250</x:v>
      </x:c>
      <x:c r="E76" s="8" t="n">
        <x:v>830</x:v>
      </x:c>
      <x:c r="F76" s="8" t="str">
        <x:v>—</x:v>
      </x:c>
      <x:c r="G76" s="8" t="str">
        <x:v>—</x:v>
      </x:c>
      <x:c r="H76" s="8" t="str">
        <x:v>—</x:v>
      </x:c>
      <x:c r="I76" s="8" t="str">
        <x:v>—</x:v>
      </x:c>
      <x:c r="J76" s="17" t="n">
        <x:v>0</x:v>
      </x:c>
      <x:c r="K76" s="17" t="n">
        <x:v>0</x:v>
      </x:c>
      <x:c r="L76" s="17" t="n">
        <x:v>0</x:v>
      </x:c>
      <x:c r="M76" s="17" t="n">
        <x:v>0</x:v>
      </x:c>
      <x:c r="N76" s="18" t="n">
        <x:f>IF(COUNT(J76:M76)&lt;4,"Por revisar",(IF(F76="R",J76*D76,0)+IF(G76="R",K76*D76,0)+IF(H76="R",L76*E76,0)+IF(I76="R",M76*E76,0))/1000)</x:f>
        <x:v>0</x:v>
      </x:c>
      <x:c r="O76" s="18" t="n">
        <x:f>IF(COUNT(J76:M76)&lt;4,"Por revisar",(IF(F76="F",J76*D76,0)+IF(G76="F",K76*D76,0)+IF(H76="F",L76*E76,0)+IF(I76="F",M76*E76,0))/1000)</x:f>
        <x:v>0</x:v>
      </x:c>
      <x:c r="P76" s="8" t="str">
        <x:v>SIN CANTO SOLICITADO</x:v>
      </x:c>
      <x:c r="Q76" s="10" t="str">
        <x:v>Sin canto</x:v>
      </x:c>
    </x:row>
    <x:row r="77" ht="58" customHeight="1">
      <x:c r="A77" s="8" t="str">
        <x:v>Clóset C3-006</x:v>
      </x:c>
      <x:c r="B77" s="10" t="str">
        <x:v>Piso de maletero</x:v>
      </x:c>
      <x:c r="C77" s="8" t="n">
        <x:v>1</x:v>
      </x:c>
      <x:c r="D77" s="8" t="n">
        <x:v>830</x:v>
      </x:c>
      <x:c r="E77" s="8" t="n">
        <x:v>475</x:v>
      </x:c>
      <x:c r="F77" s="8" t="str">
        <x:v>F</x:v>
      </x:c>
      <x:c r="G77" s="8" t="str">
        <x:v>—</x:v>
      </x:c>
      <x:c r="H77" s="8" t="str">
        <x:v>—</x:v>
      </x:c>
      <x:c r="I77" s="8" t="str">
        <x:v>—</x:v>
      </x:c>
      <x:c r="J77" s="11"/>
      <x:c r="K77" s="17" t="n">
        <x:v>0</x:v>
      </x:c>
      <x:c r="L77" s="17" t="n">
        <x:v>0</x:v>
      </x:c>
      <x:c r="M77" s="17" t="n">
        <x:v>0</x:v>
      </x:c>
      <x:c r="N77" s="18" t="str">
        <x:f>IF(COUNT(J77:M77)&lt;4,"Por revisar",(IF(F77="R",J77*D77,0)+IF(G77="R",K77*D77,0)+IF(H77="R",L77*E77,0)+IF(I77="R",M77*E77,0))/1000)</x:f>
        <x:v>Por revisar</x:v>
      </x:c>
      <x:c r="O77" s="18" t="str">
        <x:f>IF(COUNT(J77:M77)&lt;4,"Por revisar",(IF(F77="F",J77*D77,0)+IF(G77="F",K77*D77,0)+IF(H77="F",L77*E77,0)+IF(I77="F",M77*E77,0))/1000)</x:f>
        <x:v>Por revisar</x:v>
      </x:c>
      <x:c r="P77" s="8" t="str">
        <x:f>IF(COUNT(J77:M77)&lt;4,"POR REVISAR",IF(SUM(J77:M77)=0,"RECIBIDO CONFORME","CANTEAR A MANO"))</x:f>
        <x:v>POR REVISAR</x:v>
      </x:c>
      <x:c r="Q77" s="10" t="str">
        <x:v>Normal</x:v>
      </x:c>
    </x:row>
    <x:row r="78" ht="58" customHeight="1">
      <x:c r="A78" s="8" t="str">
        <x:v>Clóset C3-007</x:v>
      </x:c>
      <x:c r="B78" s="10" t="str">
        <x:v>Refuerzo frontal de maletero</x:v>
      </x:c>
      <x:c r="C78" s="8" t="n">
        <x:v>1</x:v>
      </x:c>
      <x:c r="D78" s="8" t="n">
        <x:v>830</x:v>
      </x:c>
      <x:c r="E78" s="8" t="n">
        <x:v>80</x:v>
      </x:c>
      <x:c r="F78" s="8" t="str">
        <x:v>F</x:v>
      </x:c>
      <x:c r="G78" s="8" t="str">
        <x:v>—</x:v>
      </x:c>
      <x:c r="H78" s="8" t="str">
        <x:v>—</x:v>
      </x:c>
      <x:c r="I78" s="8" t="str">
        <x:v>—</x:v>
      </x:c>
      <x:c r="J78" s="11"/>
      <x:c r="K78" s="17" t="n">
        <x:v>0</x:v>
      </x:c>
      <x:c r="L78" s="17" t="n">
        <x:v>0</x:v>
      </x:c>
      <x:c r="M78" s="17" t="n">
        <x:v>0</x:v>
      </x:c>
      <x:c r="N78" s="18" t="str">
        <x:f>IF(COUNT(J78:M78)&lt;4,"Por revisar",(IF(F78="R",J78*D78,0)+IF(G78="R",K78*D78,0)+IF(H78="R",L78*E78,0)+IF(I78="R",M78*E78,0))/1000)</x:f>
        <x:v>Por revisar</x:v>
      </x:c>
      <x:c r="O78" s="18" t="str">
        <x:f>IF(COUNT(J78:M78)&lt;4,"Por revisar",(IF(F78="F",J78*D78,0)+IF(G78="F",K78*D78,0)+IF(H78="F",L78*E78,0)+IF(I78="F",M78*E78,0))/1000)</x:f>
        <x:v>Por revisar</x:v>
      </x:c>
      <x:c r="P78" s="8" t="str">
        <x:f>IF(COUNT(J78:M78)&lt;4,"POR REVISAR",IF(SUM(J78:M78)=0,"RECIBIDO CONFORME","CANTEAR A MANO"))</x:f>
        <x:v>POR REVISAR</x:v>
      </x:c>
      <x:c r="Q78" s="10" t="str">
        <x:v>Pequeña · Si no la cantean: cortar a 830 × 79.55 y cantear en el armado.</x:v>
      </x:c>
    </x:row>
    <x:row r="79" ht="58" customHeight="1">
      <x:c r="A79" s="8" t="str">
        <x:v>Clóset C3-008</x:v>
      </x:c>
      <x:c r="B79" s="10" t="str">
        <x:v>Refuerzo trasero de maletero</x:v>
      </x:c>
      <x:c r="C79" s="8" t="n">
        <x:v>1</x:v>
      </x:c>
      <x:c r="D79" s="8" t="n">
        <x:v>830</x:v>
      </x:c>
      <x:c r="E79" s="8" t="n">
        <x:v>100</x:v>
      </x:c>
      <x:c r="F79" s="8" t="str">
        <x:v>F</x:v>
      </x:c>
      <x:c r="G79" s="8" t="str">
        <x:v>—</x:v>
      </x:c>
      <x:c r="H79" s="8" t="str">
        <x:v>—</x:v>
      </x:c>
      <x:c r="I79" s="8" t="str">
        <x:v>—</x:v>
      </x:c>
      <x:c r="J79" s="11"/>
      <x:c r="K79" s="17" t="n">
        <x:v>0</x:v>
      </x:c>
      <x:c r="L79" s="17" t="n">
        <x:v>0</x:v>
      </x:c>
      <x:c r="M79" s="17" t="n">
        <x:v>0</x:v>
      </x:c>
      <x:c r="N79" s="18" t="str">
        <x:f>IF(COUNT(J79:M79)&lt;4,"Por revisar",(IF(F79="R",J79*D79,0)+IF(G79="R",K79*D79,0)+IF(H79="R",L79*E79,0)+IF(I79="R",M79*E79,0))/1000)</x:f>
        <x:v>Por revisar</x:v>
      </x:c>
      <x:c r="O79" s="18" t="str">
        <x:f>IF(COUNT(J79:M79)&lt;4,"Por revisar",(IF(F79="F",J79*D79,0)+IF(G79="F",K79*D79,0)+IF(H79="F",L79*E79,0)+IF(I79="F",M79*E79,0))/1000)</x:f>
        <x:v>Por revisar</x:v>
      </x:c>
      <x:c r="P79" s="8" t="str">
        <x:f>IF(COUNT(J79:M79)&lt;4,"POR REVISAR",IF(SUM(J79:M79)=0,"RECIBIDO CONFORME","CANTEAR A MANO"))</x:f>
        <x:v>POR REVISAR</x:v>
      </x:c>
      <x:c r="Q79" s="10" t="str">
        <x:v>Pequeña · Si no la cantean: cortar a 830 × 99.55 y cantear en el armado.</x:v>
      </x:c>
    </x:row>
    <x:row r="80" ht="58" customHeight="1">
      <x:c r="A80" s="8" t="str">
        <x:v>Clóset C3-009</x:v>
      </x:c>
      <x:c r="B80" s="10" t="str">
        <x:v>Piso sobre base</x:v>
      </x:c>
      <x:c r="C80" s="8" t="n">
        <x:v>1</x:v>
      </x:c>
      <x:c r="D80" s="8" t="n">
        <x:v>1075</x:v>
      </x:c>
      <x:c r="E80" s="8" t="n">
        <x:v>560</x:v>
      </x:c>
      <x:c r="F80" s="8" t="str">
        <x:v>F</x:v>
      </x:c>
      <x:c r="G80" s="8" t="str">
        <x:v>—</x:v>
      </x:c>
      <x:c r="H80" s="8" t="str">
        <x:v>F</x:v>
      </x:c>
      <x:c r="I80" s="8" t="str">
        <x:v>—</x:v>
      </x:c>
      <x:c r="J80" s="11"/>
      <x:c r="K80" s="17" t="n">
        <x:v>0</x:v>
      </x:c>
      <x:c r="L80" s="11"/>
      <x:c r="M80" s="17" t="n">
        <x:v>0</x:v>
      </x:c>
      <x:c r="N80" s="18" t="str">
        <x:f>IF(COUNT(J80:M80)&lt;4,"Por revisar",(IF(F80="R",J80*D80,0)+IF(G80="R",K80*D80,0)+IF(H80="R",L80*E80,0)+IF(I80="R",M80*E80,0))/1000)</x:f>
        <x:v>Por revisar</x:v>
      </x:c>
      <x:c r="O80" s="18" t="str">
        <x:f>IF(COUNT(J80:M80)&lt;4,"Por revisar",(IF(F80="F",J80*D80,0)+IF(G80="F",K80*D80,0)+IF(H80="F",L80*E80,0)+IF(I80="F",M80*E80,0))/1000)</x:f>
        <x:v>Por revisar</x:v>
      </x:c>
      <x:c r="P80" s="8" t="str">
        <x:f>IF(COUNT(J80:M80)&lt;4,"POR REVISAR",IF(SUM(J80:M80)=0,"RECIBIDO CONFORME","CANTEAR A MANO"))</x:f>
        <x:v>POR REVISAR</x:v>
      </x:c>
      <x:c r="Q80" s="10" t="str">
        <x:v>Normal</x:v>
      </x:c>
    </x:row>
    <x:row r="81" ht="58" customHeight="1">
      <x:c r="A81" s="8" t="str">
        <x:v>Clóset C3-010</x:v>
      </x:c>
      <x:c r="B81" s="10" t="str">
        <x:v>Tapa superior</x:v>
      </x:c>
      <x:c r="C81" s="8" t="n">
        <x:v>1</x:v>
      </x:c>
      <x:c r="D81" s="8" t="n">
        <x:v>1075</x:v>
      </x:c>
      <x:c r="E81" s="8" t="n">
        <x:v>505</x:v>
      </x:c>
      <x:c r="F81" s="8" t="str">
        <x:v>F</x:v>
      </x:c>
      <x:c r="G81" s="8" t="str">
        <x:v>—</x:v>
      </x:c>
      <x:c r="H81" s="8" t="str">
        <x:v>—</x:v>
      </x:c>
      <x:c r="I81" s="8" t="str">
        <x:v>—</x:v>
      </x:c>
      <x:c r="J81" s="11"/>
      <x:c r="K81" s="17" t="n">
        <x:v>0</x:v>
      </x:c>
      <x:c r="L81" s="17" t="n">
        <x:v>0</x:v>
      </x:c>
      <x:c r="M81" s="17" t="n">
        <x:v>0</x:v>
      </x:c>
      <x:c r="N81" s="18" t="str">
        <x:f>IF(COUNT(J81:M81)&lt;4,"Por revisar",(IF(F81="R",J81*D81,0)+IF(G81="R",K81*D81,0)+IF(H81="R",L81*E81,0)+IF(I81="R",M81*E81,0))/1000)</x:f>
        <x:v>Por revisar</x:v>
      </x:c>
      <x:c r="O81" s="18" t="str">
        <x:f>IF(COUNT(J81:M81)&lt;4,"Por revisar",(IF(F81="F",J81*D81,0)+IF(G81="F",K81*D81,0)+IF(H81="F",L81*E81,0)+IF(I81="F",M81*E81,0))/1000)</x:f>
        <x:v>Por revisar</x:v>
      </x:c>
      <x:c r="P81" s="8" t="str">
        <x:f>IF(COUNT(J81:M81)&lt;4,"POR REVISAR",IF(SUM(J81:M81)=0,"RECIBIDO CONFORME","CANTEAR A MANO"))</x:f>
        <x:v>POR REVISAR</x:v>
      </x:c>
      <x:c r="Q81" s="10" t="str">
        <x:v>Normal</x:v>
      </x:c>
    </x:row>
    <x:row r="82" ht="58" customHeight="1">
      <x:c r="A82" s="8" t="str">
        <x:v>Clóset C3-011</x:v>
      </x:c>
      <x:c r="B82" s="10" t="str">
        <x:v>Fondo RH15</x:v>
      </x:c>
      <x:c r="C82" s="8" t="n">
        <x:v>1</x:v>
      </x:c>
      <x:c r="D82" s="8" t="n">
        <x:v>2250</x:v>
      </x:c>
      <x:c r="E82" s="8" t="n">
        <x:v>1075</x:v>
      </x:c>
      <x:c r="F82" s="8" t="str">
        <x:v>—</x:v>
      </x:c>
      <x:c r="G82" s="8" t="str">
        <x:v>—</x:v>
      </x:c>
      <x:c r="H82" s="8" t="str">
        <x:v>—</x:v>
      </x:c>
      <x:c r="I82" s="8" t="str">
        <x:v>—</x:v>
      </x:c>
      <x:c r="J82" s="17" t="n">
        <x:v>0</x:v>
      </x:c>
      <x:c r="K82" s="17" t="n">
        <x:v>0</x:v>
      </x:c>
      <x:c r="L82" s="17" t="n">
        <x:v>0</x:v>
      </x:c>
      <x:c r="M82" s="17" t="n">
        <x:v>0</x:v>
      </x:c>
      <x:c r="N82" s="18" t="n">
        <x:f>IF(COUNT(J82:M82)&lt;4,"Por revisar",(IF(F82="R",J82*D82,0)+IF(G82="R",K82*D82,0)+IF(H82="R",L82*E82,0)+IF(I82="R",M82*E82,0))/1000)</x:f>
        <x:v>0</x:v>
      </x:c>
      <x:c r="O82" s="18" t="n">
        <x:f>IF(COUNT(J82:M82)&lt;4,"Por revisar",(IF(F82="F",J82*D82,0)+IF(G82="F",K82*D82,0)+IF(H82="F",L82*E82,0)+IF(I82="F",M82*E82,0))/1000)</x:f>
        <x:v>0</x:v>
      </x:c>
      <x:c r="P82" s="8" t="str">
        <x:v>SIN CANTO SOLICITADO</x:v>
      </x:c>
      <x:c r="Q82" s="10" t="str">
        <x:v>Sin canto</x:v>
      </x:c>
    </x:row>
    <x:row r="83" ht="58" customHeight="1">
      <x:c r="A83" s="8" t="str">
        <x:v>Clóset C3-012</x:v>
      </x:c>
      <x:c r="B83" s="10" t="str">
        <x:v>Piso de maletero</x:v>
      </x:c>
      <x:c r="C83" s="8" t="n">
        <x:v>1</x:v>
      </x:c>
      <x:c r="D83" s="8" t="n">
        <x:v>1075</x:v>
      </x:c>
      <x:c r="E83" s="8" t="n">
        <x:v>475</x:v>
      </x:c>
      <x:c r="F83" s="8" t="str">
        <x:v>F</x:v>
      </x:c>
      <x:c r="G83" s="8" t="str">
        <x:v>—</x:v>
      </x:c>
      <x:c r="H83" s="8" t="str">
        <x:v>—</x:v>
      </x:c>
      <x:c r="I83" s="8" t="str">
        <x:v>—</x:v>
      </x:c>
      <x:c r="J83" s="11"/>
      <x:c r="K83" s="17" t="n">
        <x:v>0</x:v>
      </x:c>
      <x:c r="L83" s="17" t="n">
        <x:v>0</x:v>
      </x:c>
      <x:c r="M83" s="17" t="n">
        <x:v>0</x:v>
      </x:c>
      <x:c r="N83" s="18" t="str">
        <x:f>IF(COUNT(J83:M83)&lt;4,"Por revisar",(IF(F83="R",J83*D83,0)+IF(G83="R",K83*D83,0)+IF(H83="R",L83*E83,0)+IF(I83="R",M83*E83,0))/1000)</x:f>
        <x:v>Por revisar</x:v>
      </x:c>
      <x:c r="O83" s="18" t="str">
        <x:f>IF(COUNT(J83:M83)&lt;4,"Por revisar",(IF(F83="F",J83*D83,0)+IF(G83="F",K83*D83,0)+IF(H83="F",L83*E83,0)+IF(I83="F",M83*E83,0))/1000)</x:f>
        <x:v>Por revisar</x:v>
      </x:c>
      <x:c r="P83" s="8" t="str">
        <x:f>IF(COUNT(J83:M83)&lt;4,"POR REVISAR",IF(SUM(J83:M83)=0,"RECIBIDO CONFORME","CANTEAR A MANO"))</x:f>
        <x:v>POR REVISAR</x:v>
      </x:c>
      <x:c r="Q83" s="10" t="str">
        <x:v>Normal</x:v>
      </x:c>
    </x:row>
    <x:row r="84" ht="58" customHeight="1">
      <x:c r="A84" s="8" t="str">
        <x:v>Clóset C3-013</x:v>
      </x:c>
      <x:c r="B84" s="10" t="str">
        <x:v>Refuerzo frontal de maletero</x:v>
      </x:c>
      <x:c r="C84" s="8" t="n">
        <x:v>1</x:v>
      </x:c>
      <x:c r="D84" s="8" t="n">
        <x:v>1075</x:v>
      </x:c>
      <x:c r="E84" s="8" t="n">
        <x:v>80</x:v>
      </x:c>
      <x:c r="F84" s="8" t="str">
        <x:v>F</x:v>
      </x:c>
      <x:c r="G84" s="8" t="str">
        <x:v>—</x:v>
      </x:c>
      <x:c r="H84" s="8" t="str">
        <x:v>—</x:v>
      </x:c>
      <x:c r="I84" s="8" t="str">
        <x:v>—</x:v>
      </x:c>
      <x:c r="J84" s="11"/>
      <x:c r="K84" s="17" t="n">
        <x:v>0</x:v>
      </x:c>
      <x:c r="L84" s="17" t="n">
        <x:v>0</x:v>
      </x:c>
      <x:c r="M84" s="17" t="n">
        <x:v>0</x:v>
      </x:c>
      <x:c r="N84" s="18" t="str">
        <x:f>IF(COUNT(J84:M84)&lt;4,"Por revisar",(IF(F84="R",J84*D84,0)+IF(G84="R",K84*D84,0)+IF(H84="R",L84*E84,0)+IF(I84="R",M84*E84,0))/1000)</x:f>
        <x:v>Por revisar</x:v>
      </x:c>
      <x:c r="O84" s="18" t="str">
        <x:f>IF(COUNT(J84:M84)&lt;4,"Por revisar",(IF(F84="F",J84*D84,0)+IF(G84="F",K84*D84,0)+IF(H84="F",L84*E84,0)+IF(I84="F",M84*E84,0))/1000)</x:f>
        <x:v>Por revisar</x:v>
      </x:c>
      <x:c r="P84" s="8" t="str">
        <x:f>IF(COUNT(J84:M84)&lt;4,"POR REVISAR",IF(SUM(J84:M84)=0,"RECIBIDO CONFORME","CANTEAR A MANO"))</x:f>
        <x:v>POR REVISAR</x:v>
      </x:c>
      <x:c r="Q84" s="10" t="str">
        <x:v>Pequeña · Si no la cantean: cortar a 1075 × 79.55 y cantear en el armado.</x:v>
      </x:c>
    </x:row>
    <x:row r="85" ht="58" customHeight="1">
      <x:c r="A85" s="8" t="str">
        <x:v>Clóset C3-014</x:v>
      </x:c>
      <x:c r="B85" s="10" t="str">
        <x:v>Refuerzo trasero de maletero</x:v>
      </x:c>
      <x:c r="C85" s="8" t="n">
        <x:v>1</x:v>
      </x:c>
      <x:c r="D85" s="8" t="n">
        <x:v>1075</x:v>
      </x:c>
      <x:c r="E85" s="8" t="n">
        <x:v>100</x:v>
      </x:c>
      <x:c r="F85" s="8" t="str">
        <x:v>F</x:v>
      </x:c>
      <x:c r="G85" s="8" t="str">
        <x:v>—</x:v>
      </x:c>
      <x:c r="H85" s="8" t="str">
        <x:v>—</x:v>
      </x:c>
      <x:c r="I85" s="8" t="str">
        <x:v>—</x:v>
      </x:c>
      <x:c r="J85" s="11"/>
      <x:c r="K85" s="17" t="n">
        <x:v>0</x:v>
      </x:c>
      <x:c r="L85" s="17" t="n">
        <x:v>0</x:v>
      </x:c>
      <x:c r="M85" s="17" t="n">
        <x:v>0</x:v>
      </x:c>
      <x:c r="N85" s="18" t="str">
        <x:f>IF(COUNT(J85:M85)&lt;4,"Por revisar",(IF(F85="R",J85*D85,0)+IF(G85="R",K85*D85,0)+IF(H85="R",L85*E85,0)+IF(I85="R",M85*E85,0))/1000)</x:f>
        <x:v>Por revisar</x:v>
      </x:c>
      <x:c r="O85" s="18" t="str">
        <x:f>IF(COUNT(J85:M85)&lt;4,"Por revisar",(IF(F85="F",J85*D85,0)+IF(G85="F",K85*D85,0)+IF(H85="F",L85*E85,0)+IF(I85="F",M85*E85,0))/1000)</x:f>
        <x:v>Por revisar</x:v>
      </x:c>
      <x:c r="P85" s="8" t="str">
        <x:f>IF(COUNT(J85:M85)&lt;4,"POR REVISAR",IF(SUM(J85:M85)=0,"RECIBIDO CONFORME","CANTEAR A MANO"))</x:f>
        <x:v>POR REVISAR</x:v>
      </x:c>
      <x:c r="Q85" s="10" t="str">
        <x:v>Pequeña · Si no la cantean: cortar a 1075 × 99.55 y cantear en el armado.</x:v>
      </x:c>
    </x:row>
    <x:row r="86" ht="58" customHeight="1">
      <x:c r="A86" s="8" t="str">
        <x:v>Clóset C3-015</x:v>
      </x:c>
      <x:c r="B86" s="10" t="str">
        <x:v>Frente de cajón</x:v>
      </x:c>
      <x:c r="C86" s="8" t="n">
        <x:v>3</x:v>
      </x:c>
      <x:c r="D86" s="8" t="n">
        <x:v>824</x:v>
      </x:c>
      <x:c r="E86" s="8" t="n">
        <x:v>210</x:v>
      </x:c>
      <x:c r="F86" s="8" t="str">
        <x:v>R</x:v>
      </x:c>
      <x:c r="G86" s="8" t="str">
        <x:v>R</x:v>
      </x:c>
      <x:c r="H86" s="8" t="str">
        <x:v>R</x:v>
      </x:c>
      <x:c r="I86" s="8" t="str">
        <x:v>R</x:v>
      </x:c>
      <x:c r="J86" s="11"/>
      <x:c r="K86" s="11"/>
      <x:c r="L86" s="11"/>
      <x:c r="M86" s="11"/>
      <x:c r="N86" s="18" t="str">
        <x:f>IF(COUNT(J86:M86)&lt;4,"Por revisar",(IF(F86="R",J86*D86,0)+IF(G86="R",K86*D86,0)+IF(H86="R",L86*E86,0)+IF(I86="R",M86*E86,0))/1000)</x:f>
        <x:v>Por revisar</x:v>
      </x:c>
      <x:c r="O86" s="18" t="str">
        <x:f>IF(COUNT(J86:M86)&lt;4,"Por revisar",(IF(F86="F",J86*D86,0)+IF(G86="F",K86*D86,0)+IF(H86="F",L86*E86,0)+IF(I86="F",M86*E86,0))/1000)</x:f>
        <x:v>Por revisar</x:v>
      </x:c>
      <x:c r="P86" s="8" t="str">
        <x:f>IF(COUNT(J86:M86)&lt;4,"POR REVISAR",IF(SUM(J86:M86)=0,"RECIBIDO CONFORME","CANTEAR A MANO"))</x:f>
        <x:v>POR REVISAR</x:v>
      </x:c>
      <x:c r="Q86" s="10" t="str">
        <x:v>Normal · Veta horizontal: frente de 824 de ancho, queda detrás de las hojas.</x:v>
      </x:c>
    </x:row>
    <x:row r="87" ht="58" customHeight="1">
      <x:c r="A87" s="8" t="str">
        <x:v>Clóset C3-016</x:v>
      </x:c>
      <x:c r="B87" s="10" t="str">
        <x:v>Costado de cajón</x:v>
      </x:c>
      <x:c r="C87" s="8" t="n">
        <x:v>6</x:v>
      </x:c>
      <x:c r="D87" s="8" t="n">
        <x:v>450</x:v>
      </x:c>
      <x:c r="E87" s="8" t="n">
        <x:v>155</x:v>
      </x:c>
      <x:c r="F87" s="8" t="str">
        <x:v>F</x:v>
      </x:c>
      <x:c r="G87" s="8" t="str">
        <x:v>—</x:v>
      </x:c>
      <x:c r="H87" s="8" t="str">
        <x:v>F</x:v>
      </x:c>
      <x:c r="I87" s="8" t="str">
        <x:v>—</x:v>
      </x:c>
      <x:c r="J87" s="11"/>
      <x:c r="K87" s="17" t="n">
        <x:v>0</x:v>
      </x:c>
      <x:c r="L87" s="11"/>
      <x:c r="M87" s="17" t="n">
        <x:v>0</x:v>
      </x:c>
      <x:c r="N87" s="18" t="str">
        <x:f>IF(COUNT(J87:M87)&lt;4,"Por revisar",(IF(F87="R",J87*D87,0)+IF(G87="R",K87*D87,0)+IF(H87="R",L87*E87,0)+IF(I87="R",M87*E87,0))/1000)</x:f>
        <x:v>Por revisar</x:v>
      </x:c>
      <x:c r="O87" s="18" t="str">
        <x:f>IF(COUNT(J87:M87)&lt;4,"Por revisar",(IF(F87="F",J87*D87,0)+IF(G87="F",K87*D87,0)+IF(H87="F",L87*E87,0)+IF(I87="F",M87*E87,0))/1000)</x:f>
        <x:v>Por revisar</x:v>
      </x:c>
      <x:c r="P87" s="8" t="str">
        <x:f>IF(COUNT(J87:M87)&lt;4,"POR REVISAR",IF(SUM(J87:M87)=0,"RECIBIDO CONFORME","CANTEAR A MANO"))</x:f>
        <x:v>POR REVISAR</x:v>
      </x:c>
      <x:c r="Q87" s="10" t="str">
        <x:v>Normal</x:v>
      </x:c>
    </x:row>
    <x:row r="88" ht="58" customHeight="1">
      <x:c r="A88" s="8" t="str">
        <x:v>Clóset C3-017</x:v>
      </x:c>
      <x:c r="B88" s="10" t="str">
        <x:v>Base aplicada de cajón</x:v>
      </x:c>
      <x:c r="C88" s="8" t="n">
        <x:v>3</x:v>
      </x:c>
      <x:c r="D88" s="8" t="n">
        <x:v>803</x:v>
      </x:c>
      <x:c r="E88" s="8" t="n">
        <x:v>450</x:v>
      </x:c>
      <x:c r="F88" s="8" t="str">
        <x:v>F</x:v>
      </x:c>
      <x:c r="G88" s="8" t="str">
        <x:v>—</x:v>
      </x:c>
      <x:c r="H88" s="8" t="str">
        <x:v>F</x:v>
      </x:c>
      <x:c r="I88" s="8" t="str">
        <x:v>F</x:v>
      </x:c>
      <x:c r="J88" s="11"/>
      <x:c r="K88" s="17" t="n">
        <x:v>0</x:v>
      </x:c>
      <x:c r="L88" s="11"/>
      <x:c r="M88" s="11"/>
      <x:c r="N88" s="18" t="str">
        <x:f>IF(COUNT(J88:M88)&lt;4,"Por revisar",(IF(F88="R",J88*D88,0)+IF(G88="R",K88*D88,0)+IF(H88="R",L88*E88,0)+IF(I88="R",M88*E88,0))/1000)</x:f>
        <x:v>Por revisar</x:v>
      </x:c>
      <x:c r="O88" s="18" t="str">
        <x:f>IF(COUNT(J88:M88)&lt;4,"Por revisar",(IF(F88="F",J88*D88,0)+IF(G88="F",K88*D88,0)+IF(H88="F",L88*E88,0)+IF(I88="F",M88*E88,0))/1000)</x:f>
        <x:v>Por revisar</x:v>
      </x:c>
      <x:c r="P88" s="8" t="str">
        <x:f>IF(COUNT(J88:M88)&lt;4,"POR REVISAR",IF(SUM(J88:M88)=0,"RECIBIDO CONFORME","CANTEAR A MANO"))</x:f>
        <x:v>POR REVISAR</x:v>
      </x:c>
      <x:c r="Q88" s="10" t="str">
        <x:v>Normal</x:v>
      </x:c>
    </x:row>
    <x:row r="89" ht="58" customHeight="1">
      <x:c r="A89" s="8" t="str">
        <x:v>Clóset C3-018</x:v>
      </x:c>
      <x:c r="B89" s="10" t="str">
        <x:v>Frente / trasero interior de cajón</x:v>
      </x:c>
      <x:c r="C89" s="8" t="n">
        <x:v>6</x:v>
      </x:c>
      <x:c r="D89" s="8" t="n">
        <x:v>773</x:v>
      </x:c>
      <x:c r="E89" s="8" t="n">
        <x:v>155</x:v>
      </x:c>
      <x:c r="F89" s="8" t="str">
        <x:v>F</x:v>
      </x:c>
      <x:c r="G89" s="8" t="str">
        <x:v>—</x:v>
      </x:c>
      <x:c r="H89" s="8" t="str">
        <x:v>—</x:v>
      </x:c>
      <x:c r="I89" s="8" t="str">
        <x:v>—</x:v>
      </x:c>
      <x:c r="J89" s="11"/>
      <x:c r="K89" s="17" t="n">
        <x:v>0</x:v>
      </x:c>
      <x:c r="L89" s="17" t="n">
        <x:v>0</x:v>
      </x:c>
      <x:c r="M89" s="17" t="n">
        <x:v>0</x:v>
      </x:c>
      <x:c r="N89" s="18" t="str">
        <x:f>IF(COUNT(J89:M89)&lt;4,"Por revisar",(IF(F89="R",J89*D89,0)+IF(G89="R",K89*D89,0)+IF(H89="R",L89*E89,0)+IF(I89="R",M89*E89,0))/1000)</x:f>
        <x:v>Por revisar</x:v>
      </x:c>
      <x:c r="O89" s="18" t="str">
        <x:f>IF(COUNT(J89:M89)&lt;4,"Por revisar",(IF(F89="F",J89*D89,0)+IF(G89="F",K89*D89,0)+IF(H89="F",L89*E89,0)+IF(I89="F",M89*E89,0))/1000)</x:f>
        <x:v>Por revisar</x:v>
      </x:c>
      <x:c r="P89" s="8" t="str">
        <x:f>IF(COUNT(J89:M89)&lt;4,"POR REVISAR",IF(SUM(J89:M89)=0,"RECIBIDO CONFORME","CANTEAR A MANO"))</x:f>
        <x:v>POR REVISAR</x:v>
      </x:c>
      <x:c r="Q89" s="10" t="str">
        <x:v>Normal</x:v>
      </x:c>
    </x:row>
    <x:row r="90" ht="58" customHeight="1">
      <x:c r="A90" s="8" t="str">
        <x:v>Clóset C3-019</x:v>
      </x:c>
      <x:c r="B90" s="10" t="str">
        <x:v>Refuerzo bajo base de cajón</x:v>
      </x:c>
      <x:c r="C90" s="8" t="n">
        <x:v>3</x:v>
      </x:c>
      <x:c r="D90" s="8" t="n">
        <x:v>803</x:v>
      </x:c>
      <x:c r="E90" s="8" t="n">
        <x:v>40</x:v>
      </x:c>
      <x:c r="F90" s="8" t="str">
        <x:v>F</x:v>
      </x:c>
      <x:c r="G90" s="8" t="str">
        <x:v>—</x:v>
      </x:c>
      <x:c r="H90" s="8" t="str">
        <x:v>F</x:v>
      </x:c>
      <x:c r="I90" s="8" t="str">
        <x:v>F</x:v>
      </x:c>
      <x:c r="J90" s="11"/>
      <x:c r="K90" s="17" t="n">
        <x:v>0</x:v>
      </x:c>
      <x:c r="L90" s="11"/>
      <x:c r="M90" s="11"/>
      <x:c r="N90" s="18" t="str">
        <x:f>IF(COUNT(J90:M90)&lt;4,"Por revisar",(IF(F90="R",J90*D90,0)+IF(G90="R",K90*D90,0)+IF(H90="R",L90*E90,0)+IF(I90="R",M90*E90,0))/1000)</x:f>
        <x:v>Por revisar</x:v>
      </x:c>
      <x:c r="O90" s="18" t="str">
        <x:f>IF(COUNT(J90:M90)&lt;4,"Por revisar",(IF(F90="F",J90*D90,0)+IF(G90="F",K90*D90,0)+IF(H90="F",L90*E90,0)+IF(I90="F",M90*E90,0))/1000)</x:f>
        <x:v>Por revisar</x:v>
      </x:c>
      <x:c r="P90" s="8" t="str">
        <x:f>IF(COUNT(J90:M90)&lt;4,"POR REVISAR",IF(SUM(J90:M90)=0,"RECIBIDO CONFORME","CANTEAR A MANO"))</x:f>
        <x:v>POR REVISAR</x:v>
      </x:c>
      <x:c r="Q90" s="10" t="str">
        <x:v>Pequeña · Si no la cantean: cortar a 802.1 × 39.55 y cantear en el armado.</x:v>
      </x:c>
    </x:row>
    <x:row r="91" ht="58" customHeight="1">
      <x:c r="A91" s="8" t="str">
        <x:v>Clóset C3-020</x:v>
      </x:c>
      <x:c r="B91" s="10" t="str">
        <x:v>Zócalo frontal</x:v>
      </x:c>
      <x:c r="C91" s="8" t="n">
        <x:v>1</x:v>
      </x:c>
      <x:c r="D91" s="8" t="n">
        <x:v>1950</x:v>
      </x:c>
      <x:c r="E91" s="8" t="n">
        <x:v>92</x:v>
      </x:c>
      <x:c r="F91" s="8" t="str">
        <x:v>F</x:v>
      </x:c>
      <x:c r="G91" s="8" t="str">
        <x:v>F</x:v>
      </x:c>
      <x:c r="H91" s="8" t="str">
        <x:v>F</x:v>
      </x:c>
      <x:c r="I91" s="8" t="str">
        <x:v>F</x:v>
      </x:c>
      <x:c r="J91" s="11"/>
      <x:c r="K91" s="11"/>
      <x:c r="L91" s="11"/>
      <x:c r="M91" s="11"/>
      <x:c r="N91" s="18" t="str">
        <x:f>IF(COUNT(J91:M91)&lt;4,"Por revisar",(IF(F91="R",J91*D91,0)+IF(G91="R",K91*D91,0)+IF(H91="R",L91*E91,0)+IF(I91="R",M91*E91,0))/1000)</x:f>
        <x:v>Por revisar</x:v>
      </x:c>
      <x:c r="O91" s="18" t="str">
        <x:f>IF(COUNT(J91:M91)&lt;4,"Por revisar",(IF(F91="F",J91*D91,0)+IF(G91="F",K91*D91,0)+IF(H91="F",L91*E91,0)+IF(I91="F",M91*E91,0))/1000)</x:f>
        <x:v>Por revisar</x:v>
      </x:c>
      <x:c r="P91" s="8" t="str">
        <x:f>IF(COUNT(J91:M91)&lt;4,"POR REVISAR",IF(SUM(J91:M91)=0,"RECIBIDO CONFORME","CANTEAR A MANO"))</x:f>
        <x:v>POR REVISAR</x:v>
      </x:c>
      <x:c r="Q91" s="10" t="str">
        <x:v>Pequeña · Si no la cantean: cortar a 1949.1 × 91.1 y cantear en el armado.</x:v>
      </x:c>
    </x:row>
    <x:row r="92" ht="58" customHeight="1">
      <x:c r="A92" s="8" t="str">
        <x:v>Clóset C3-021</x:v>
      </x:c>
      <x:c r="B92" s="10" t="str">
        <x:v>Travesaño trasero de base</x:v>
      </x:c>
      <x:c r="C92" s="8" t="n">
        <x:v>1</x:v>
      </x:c>
      <x:c r="D92" s="8" t="n">
        <x:v>1950</x:v>
      </x:c>
      <x:c r="E92" s="8" t="n">
        <x:v>80</x:v>
      </x:c>
      <x:c r="F92" s="8" t="str">
        <x:v>F</x:v>
      </x:c>
      <x:c r="G92" s="8" t="str">
        <x:v>F</x:v>
      </x:c>
      <x:c r="H92" s="8" t="str">
        <x:v>F</x:v>
      </x:c>
      <x:c r="I92" s="8" t="str">
        <x:v>F</x:v>
      </x:c>
      <x:c r="J92" s="11"/>
      <x:c r="K92" s="11"/>
      <x:c r="L92" s="11"/>
      <x:c r="M92" s="11"/>
      <x:c r="N92" s="18" t="str">
        <x:f>IF(COUNT(J92:M92)&lt;4,"Por revisar",(IF(F92="R",J92*D92,0)+IF(G92="R",K92*D92,0)+IF(H92="R",L92*E92,0)+IF(I92="R",M92*E92,0))/1000)</x:f>
        <x:v>Por revisar</x:v>
      </x:c>
      <x:c r="O92" s="18" t="str">
        <x:f>IF(COUNT(J92:M92)&lt;4,"Por revisar",(IF(F92="F",J92*D92,0)+IF(G92="F",K92*D92,0)+IF(H92="F",L92*E92,0)+IF(I92="F",M92*E92,0))/1000)</x:f>
        <x:v>Por revisar</x:v>
      </x:c>
      <x:c r="P92" s="8" t="str">
        <x:f>IF(COUNT(J92:M92)&lt;4,"POR REVISAR",IF(SUM(J92:M92)=0,"RECIBIDO CONFORME","CANTEAR A MANO"))</x:f>
        <x:v>POR REVISAR</x:v>
      </x:c>
      <x:c r="Q92" s="10" t="str">
        <x:v>Pequeña · Si no la cantean: cortar a 1949.1 × 79.1 y cantear en el armado.</x:v>
      </x:c>
    </x:row>
    <x:row r="93" ht="58" customHeight="1">
      <x:c r="A93" s="8" t="str">
        <x:v>Clóset C3-022</x:v>
      </x:c>
      <x:c r="B93" s="10" t="str">
        <x:v>Travesaño de base</x:v>
      </x:c>
      <x:c r="C93" s="8" t="n">
        <x:v>3</x:v>
      </x:c>
      <x:c r="D93" s="8" t="n">
        <x:v>480</x:v>
      </x:c>
      <x:c r="E93" s="8" t="n">
        <x:v>80</x:v>
      </x:c>
      <x:c r="F93" s="8" t="str">
        <x:v>F</x:v>
      </x:c>
      <x:c r="G93" s="8" t="str">
        <x:v>F</x:v>
      </x:c>
      <x:c r="H93" s="8" t="str">
        <x:v>F</x:v>
      </x:c>
      <x:c r="I93" s="8" t="str">
        <x:v>F</x:v>
      </x:c>
      <x:c r="J93" s="11"/>
      <x:c r="K93" s="11"/>
      <x:c r="L93" s="11"/>
      <x:c r="M93" s="11"/>
      <x:c r="N93" s="18" t="str">
        <x:f>IF(COUNT(J93:M93)&lt;4,"Por revisar",(IF(F93="R",J93*D93,0)+IF(G93="R",K93*D93,0)+IF(H93="R",L93*E93,0)+IF(I93="R",M93*E93,0))/1000)</x:f>
        <x:v>Por revisar</x:v>
      </x:c>
      <x:c r="O93" s="18" t="str">
        <x:f>IF(COUNT(J93:M93)&lt;4,"Por revisar",(IF(F93="F",J93*D93,0)+IF(G93="F",K93*D93,0)+IF(H93="F",L93*E93,0)+IF(I93="F",M93*E93,0))/1000)</x:f>
        <x:v>Por revisar</x:v>
      </x:c>
      <x:c r="P93" s="8" t="str">
        <x:f>IF(COUNT(J93:M93)&lt;4,"POR REVISAR",IF(SUM(J93:M93)=0,"RECIBIDO CONFORME","CANTEAR A MANO"))</x:f>
        <x:v>POR REVISAR</x:v>
      </x:c>
      <x:c r="Q93" s="10" t="str">
        <x:v>Pequeña · Si no la cantean: cortar a 479.1 × 79.1 y cantear en el armado.</x:v>
      </x:c>
    </x:row>
    <x:row r="94" ht="58" customHeight="1">
      <x:c r="A94" s="8" t="str">
        <x:v>Clóset C3-023</x:v>
      </x:c>
      <x:c r="B94" s="10" t="str">
        <x:v>Hoja corrediza RH15</x:v>
      </x:c>
      <x:c r="C94" s="8" t="n">
        <x:v>2</x:v>
      </x:c>
      <x:c r="D94" s="8" t="n">
        <x:v>2195</x:v>
      </x:c>
      <x:c r="E94" s="8" t="n">
        <x:v>975</x:v>
      </x:c>
      <x:c r="F94" s="8" t="str">
        <x:v>R</x:v>
      </x:c>
      <x:c r="G94" s="8" t="str">
        <x:v>R</x:v>
      </x:c>
      <x:c r="H94" s="8" t="str">
        <x:v>R</x:v>
      </x:c>
      <x:c r="I94" s="8" t="str">
        <x:v>R</x:v>
      </x:c>
      <x:c r="J94" s="11"/>
      <x:c r="K94" s="11"/>
      <x:c r="L94" s="11"/>
      <x:c r="M94" s="11"/>
      <x:c r="N94" s="18" t="str">
        <x:f>IF(COUNT(J94:M94)&lt;4,"Por revisar",(IF(F94="R",J94*D94,0)+IF(G94="R",K94*D94,0)+IF(H94="R",L94*E94,0)+IF(I94="R",M94*E94,0))/1000)</x:f>
        <x:v>Por revisar</x:v>
      </x:c>
      <x:c r="O94" s="18" t="str">
        <x:f>IF(COUNT(J94:M94)&lt;4,"Por revisar",(IF(F94="F",J94*D94,0)+IF(G94="F",K94*D94,0)+IF(H94="F",L94*E94,0)+IF(I94="F",M94*E94,0))/1000)</x:f>
        <x:v>Por revisar</x:v>
      </x:c>
      <x:c r="P94" s="8" t="str">
        <x:f>IF(COUNT(J94:M94)&lt;4,"POR REVISAR",IF(SUM(J94:M94)=0,"RECIBIDO CONFORME","CANTEAR A MANO"))</x:f>
        <x:v>POR REVISAR</x:v>
      </x:c>
      <x:c r="Q94" s="10" t="str">
        <x:v>Normal · Pedida 20 mm más alta (2195 en vez de 2175): en el armado, con el riel y los carros puestos, recortar el borde superior —tapado por la solapa— hasta que la guía inferior sujete la hoja. Nunca debe quedar corta.</x:v>
      </x:c>
    </x:row>
    <x:row r="95" ht="58" customHeight="1">
      <x:c r="A95" s="8" t="str">
        <x:v>Clóset C3-024</x:v>
      </x:c>
      <x:c r="B95" s="10" t="str">
        <x:v>Solapa frontal</x:v>
      </x:c>
      <x:c r="C95" s="8" t="n">
        <x:v>1</x:v>
      </x:c>
      <x:c r="D95" s="8" t="n">
        <x:v>1950</x:v>
      </x:c>
      <x:c r="E95" s="8" t="n">
        <x:v>120</x:v>
      </x:c>
      <x:c r="F95" s="8" t="str">
        <x:v>F</x:v>
      </x:c>
      <x:c r="G95" s="8" t="str">
        <x:v>F</x:v>
      </x:c>
      <x:c r="H95" s="8" t="str">
        <x:v>F</x:v>
      </x:c>
      <x:c r="I95" s="8" t="str">
        <x:v>F</x:v>
      </x:c>
      <x:c r="J95" s="11"/>
      <x:c r="K95" s="11"/>
      <x:c r="L95" s="11"/>
      <x:c r="M95" s="11"/>
      <x:c r="N95" s="18" t="str">
        <x:f>IF(COUNT(J95:M95)&lt;4,"Por revisar",(IF(F95="R",J95*D95,0)+IF(G95="R",K95*D95,0)+IF(H95="R",L95*E95,0)+IF(I95="R",M95*E95,0))/1000)</x:f>
        <x:v>Por revisar</x:v>
      </x:c>
      <x:c r="O95" s="18" t="str">
        <x:f>IF(COUNT(J95:M95)&lt;4,"Por revisar",(IF(F95="F",J95*D95,0)+IF(G95="F",K95*D95,0)+IF(H95="F",L95*E95,0)+IF(I95="F",M95*E95,0))/1000)</x:f>
        <x:v>Por revisar</x:v>
      </x:c>
      <x:c r="P95" s="8" t="str">
        <x:f>IF(COUNT(J95:M95)&lt;4,"POR REVISAR",IF(SUM(J95:M95)=0,"RECIBIDO CONFORME","CANTEAR A MANO"))</x:f>
        <x:v>POR REVISAR</x:v>
      </x:c>
      <x:c r="Q95" s="10" t="str">
        <x:v>Normal</x:v>
      </x:c>
    </x:row>
    <x:row r="96" ht="58" customHeight="1">
      <x:c r="A96" s="8" t="str">
        <x:v>Baño B01</x:v>
      </x:c>
      <x:c r="B96" s="10" t="str">
        <x:v>Lateral</x:v>
      </x:c>
      <x:c r="C96" s="8" t="n">
        <x:v>2</x:v>
      </x:c>
      <x:c r="D96" s="8" t="n">
        <x:v>470</x:v>
      </x:c>
      <x:c r="E96" s="8" t="n">
        <x:v>450</x:v>
      </x:c>
      <x:c r="F96" s="8" t="str">
        <x:v>F</x:v>
      </x:c>
      <x:c r="G96" s="8" t="str">
        <x:v>F</x:v>
      </x:c>
      <x:c r="H96" s="8" t="str">
        <x:v>F</x:v>
      </x:c>
      <x:c r="I96" s="8" t="str">
        <x:v>F</x:v>
      </x:c>
      <x:c r="J96" s="11"/>
      <x:c r="K96" s="11"/>
      <x:c r="L96" s="11"/>
      <x:c r="M96" s="11"/>
      <x:c r="N96" s="18" t="str">
        <x:f>IF(COUNT(J96:M96)&lt;4,"Por revisar",(IF(F96="R",J96*D96,0)+IF(G96="R",K96*D96,0)+IF(H96="R",L96*E96,0)+IF(I96="R",M96*E96,0))/1000)</x:f>
        <x:v>Por revisar</x:v>
      </x:c>
      <x:c r="O96" s="18" t="str">
        <x:f>IF(COUNT(J96:M96)&lt;4,"Por revisar",(IF(F96="F",J96*D96,0)+IF(G96="F",K96*D96,0)+IF(H96="F",L96*E96,0)+IF(I96="F",M96*E96,0))/1000)</x:f>
        <x:v>Por revisar</x:v>
      </x:c>
      <x:c r="P96" s="8" t="str">
        <x:f>IF(COUNT(J96:M96)&lt;4,"POR REVISAR",IF(SUM(J96:M96)=0,"RECIBIDO CONFORME","CANTEAR A MANO"))</x:f>
        <x:v>POR REVISAR</x:v>
      </x:c>
      <x:c r="Q96" s="10" t="str">
        <x:v>Normal · Zona húmeda: proteger todos los bordes y sellar perforaciones; dimensiones terminadas. Canto flexible 0,45 mm en todo el perímetro; mantener sellados recortes y perforaciones.</x:v>
      </x:c>
    </x:row>
    <x:row r="97" ht="58" customHeight="1">
      <x:c r="A97" s="8" t="str">
        <x:v>Baño B02</x:v>
      </x:c>
      <x:c r="B97" s="10" t="str">
        <x:v>Piso</x:v>
      </x:c>
      <x:c r="C97" s="8" t="n">
        <x:v>1</x:v>
      </x:c>
      <x:c r="D97" s="8" t="n">
        <x:v>490</x:v>
      </x:c>
      <x:c r="E97" s="8" t="n">
        <x:v>450</x:v>
      </x:c>
      <x:c r="F97" s="8" t="str">
        <x:v>F</x:v>
      </x:c>
      <x:c r="G97" s="8" t="str">
        <x:v>F</x:v>
      </x:c>
      <x:c r="H97" s="8" t="str">
        <x:v>F</x:v>
      </x:c>
      <x:c r="I97" s="8" t="str">
        <x:v>F</x:v>
      </x:c>
      <x:c r="J97" s="11"/>
      <x:c r="K97" s="11"/>
      <x:c r="L97" s="11"/>
      <x:c r="M97" s="11"/>
      <x:c r="N97" s="18" t="str">
        <x:f>IF(COUNT(J97:M97)&lt;4,"Por revisar",(IF(F97="R",J97*D97,0)+IF(G97="R",K97*D97,0)+IF(H97="R",L97*E97,0)+IF(I97="R",M97*E97,0))/1000)</x:f>
        <x:v>Por revisar</x:v>
      </x:c>
      <x:c r="O97" s="18" t="str">
        <x:f>IF(COUNT(J97:M97)&lt;4,"Por revisar",(IF(F97="F",J97*D97,0)+IF(G97="F",K97*D97,0)+IF(H97="F",L97*E97,0)+IF(I97="F",M97*E97,0))/1000)</x:f>
        <x:v>Por revisar</x:v>
      </x:c>
      <x:c r="P97" s="8" t="str">
        <x:f>IF(COUNT(J97:M97)&lt;4,"POR REVISAR",IF(SUM(J97:M97)=0,"RECIBIDO CONFORME","CANTEAR A MANO"))</x:f>
        <x:v>POR REVISAR</x:v>
      </x:c>
      <x:c r="Q97" s="10" t="str">
        <x:v>Normal · Zona húmeda: proteger todos los bordes y sellar perforaciones; dimensiones terminadas. Canto flexible 0,45 mm en todo el perímetro; mantener sellados recortes y perforaciones.</x:v>
      </x:c>
    </x:row>
    <x:row r="98" ht="58" customHeight="1">
      <x:c r="A98" s="8" t="str">
        <x:v>Baño B03</x:v>
      </x:c>
      <x:c r="B98" s="10" t="str">
        <x:v>Entrepaño retranqueado con reserva de sifón</x:v>
      </x:c>
      <x:c r="C98" s="8" t="n">
        <x:v>1</x:v>
      </x:c>
      <x:c r="D98" s="8" t="n">
        <x:v>490</x:v>
      </x:c>
      <x:c r="E98" s="8" t="n">
        <x:v>405</x:v>
      </x:c>
      <x:c r="F98" s="8" t="str">
        <x:v>F</x:v>
      </x:c>
      <x:c r="G98" s="8" t="str">
        <x:v>F</x:v>
      </x:c>
      <x:c r="H98" s="8" t="str">
        <x:v>F</x:v>
      </x:c>
      <x:c r="I98" s="8" t="str">
        <x:v>F</x:v>
      </x:c>
      <x:c r="J98" s="11"/>
      <x:c r="K98" s="11"/>
      <x:c r="L98" s="11"/>
      <x:c r="M98" s="11"/>
      <x:c r="N98" s="18" t="str">
        <x:f>IF(COUNT(J98:M98)&lt;4,"Por revisar",(IF(F98="R",J98*D98,0)+IF(G98="R",K98*D98,0)+IF(H98="R",L98*E98,0)+IF(I98="R",M98*E98,0))/1000)</x:f>
        <x:v>Por revisar</x:v>
      </x:c>
      <x:c r="O98" s="18" t="str">
        <x:f>IF(COUNT(J98:M98)&lt;4,"Por revisar",(IF(F98="F",J98*D98,0)+IF(G98="F",K98*D98,0)+IF(H98="F",L98*E98,0)+IF(I98="F",M98*E98,0))/1000)</x:f>
        <x:v>Por revisar</x:v>
      </x:c>
      <x:c r="P98" s="8" t="str">
        <x:f>IF(COUNT(J98:M98)&lt;4,"POR REVISAR",IF(SUM(J98:M98)=0,"RECIBIDO CONFORME","CANTEAR A MANO"))</x:f>
        <x:v>POR REVISAR</x:v>
      </x:c>
      <x:c r="Q98" s="10" t="str">
        <x:v>Normal · Zona húmeda: proteger todos los bordes y sellar perforaciones; dimensiones terminadas. Nicho libre de 150 mm bajo granito. Recorte trasero ilustrativo 100 × 270 mm, centrado; no mecanizar sin sifón real. Retranqueo frontal de 30 mm para agarre. Canto flexible 0,45 mm en todo el perímetro; mantener sellados recortes y perforaciones.</x:v>
      </x:c>
    </x:row>
    <x:row r="99" ht="58" customHeight="1">
      <x:c r="A99" s="8" t="str">
        <x:v>Baño B04</x:v>
      </x:c>
      <x:c r="B99" s="10" t="str">
        <x:v>Travesaño trasero superior lateral</x:v>
      </x:c>
      <x:c r="C99" s="8" t="n">
        <x:v>2</x:v>
      </x:c>
      <x:c r="D99" s="8" t="n">
        <x:v>195</x:v>
      </x:c>
      <x:c r="E99" s="8" t="n">
        <x:v>80</x:v>
      </x:c>
      <x:c r="F99" s="8" t="str">
        <x:v>F</x:v>
      </x:c>
      <x:c r="G99" s="8" t="str">
        <x:v>F</x:v>
      </x:c>
      <x:c r="H99" s="8" t="str">
        <x:v>F</x:v>
      </x:c>
      <x:c r="I99" s="8" t="str">
        <x:v>F</x:v>
      </x:c>
      <x:c r="J99" s="11"/>
      <x:c r="K99" s="11"/>
      <x:c r="L99" s="11"/>
      <x:c r="M99" s="11"/>
      <x:c r="N99" s="18" t="str">
        <x:f>IF(COUNT(J99:M99)&lt;4,"Por revisar",(IF(F99="R",J99*D99,0)+IF(G99="R",K99*D99,0)+IF(H99="R",L99*E99,0)+IF(I99="R",M99*E99,0))/1000)</x:f>
        <x:v>Por revisar</x:v>
      </x:c>
      <x:c r="O99" s="18" t="str">
        <x:f>IF(COUNT(J99:M99)&lt;4,"Por revisar",(IF(F99="F",J99*D99,0)+IF(G99="F",K99*D99,0)+IF(H99="F",L99*E99,0)+IF(I99="F",M99*E99,0))/1000)</x:f>
        <x:v>Por revisar</x:v>
      </x:c>
      <x:c r="P99" s="8" t="str">
        <x:f>IF(COUNT(J99:M99)&lt;4,"POR REVISAR",IF(SUM(J99:M99)=0,"RECIBIDO CONFORME","CANTEAR A MANO"))</x:f>
        <x:v>POR REVISAR</x:v>
      </x:c>
      <x:c r="Q99" s="10" t="str">
        <x:v>Pequeña · Si no la cantean: cortar a 194.1 × 79.1 y cantear en taller. Zona húmeda: proteger todos los bordes y sellar perforaciones; dimensiones terminadas. De canto, interrumpido en el centro para tuberías; no es un colgador certificado. Canto flexible 0,45 mm en todo el perímetro; mantener sellados recortes y perforaciones.</x:v>
      </x:c>
    </x:row>
    <x:row r="100" ht="58" customHeight="1">
      <x:c r="A100" s="8" t="str">
        <x:v>Baño B05</x:v>
      </x:c>
      <x:c r="B100" s="10" t="str">
        <x:v>Travesaño trasero inferior</x:v>
      </x:c>
      <x:c r="C100" s="8" t="n">
        <x:v>1</x:v>
      </x:c>
      <x:c r="D100" s="8" t="n">
        <x:v>490</x:v>
      </x:c>
      <x:c r="E100" s="8" t="n">
        <x:v>80</x:v>
      </x:c>
      <x:c r="F100" s="8" t="str">
        <x:v>F</x:v>
      </x:c>
      <x:c r="G100" s="8" t="str">
        <x:v>F</x:v>
      </x:c>
      <x:c r="H100" s="8" t="str">
        <x:v>F</x:v>
      </x:c>
      <x:c r="I100" s="8" t="str">
        <x:v>F</x:v>
      </x:c>
      <x:c r="J100" s="11"/>
      <x:c r="K100" s="11"/>
      <x:c r="L100" s="11"/>
      <x:c r="M100" s="11"/>
      <x:c r="N100" s="18" t="str">
        <x:f>IF(COUNT(J100:M100)&lt;4,"Por revisar",(IF(F100="R",J100*D100,0)+IF(G100="R",K100*D100,0)+IF(H100="R",L100*E100,0)+IF(I100="R",M100*E100,0))/1000)</x:f>
        <x:v>Por revisar</x:v>
      </x:c>
      <x:c r="O100" s="18" t="str">
        <x:f>IF(COUNT(J100:M100)&lt;4,"Por revisar",(IF(F100="F",J100*D100,0)+IF(G100="F",K100*D100,0)+IF(H100="F",L100*E100,0)+IF(I100="F",M100*E100,0))/1000)</x:f>
        <x:v>Por revisar</x:v>
      </x:c>
      <x:c r="P100" s="8" t="str">
        <x:f>IF(COUNT(J100:M100)&lt;4,"POR REVISAR",IF(SUM(J100:M100)=0,"RECIBIDO CONFORME","CANTEAR A MANO"))</x:f>
        <x:v>POR REVISAR</x:v>
      </x:c>
      <x:c r="Q100" s="10" t="str">
        <x:v>Pequeña · Si no la cantean: cortar a 489.1 × 79.1 y cantear en taller. Zona húmeda: proteger todos los bordes y sellar perforaciones; dimensiones terminadas. Define rigidez posterior; anclajes y uniones por dimensionar. Canto flexible 0,45 mm en todo el perímetro; mantener sellados recortes y perforaciones.</x:v>
      </x:c>
    </x:row>
    <x:row r="101" ht="58" customHeight="1">
      <x:c r="A101" s="8" t="str">
        <x:v>Baño B06</x:v>
      </x:c>
      <x:c r="B101" s="10" t="str">
        <x:v>Panel común para dos puertas: corte diagonal en armado</x:v>
      </x:c>
      <x:c r="C101" s="8" t="n">
        <x:v>1</x:v>
      </x:c>
      <x:c r="D101" s="8" t="n">
        <x:v>299</x:v>
      </x:c>
      <x:c r="E101" s="8" t="n">
        <x:v>517</x:v>
      </x:c>
      <x:c r="F101" s="8" t="str">
        <x:v>R</x:v>
      </x:c>
      <x:c r="G101" s="8" t="str">
        <x:v>R</x:v>
      </x:c>
      <x:c r="H101" s="8" t="str">
        <x:v>R</x:v>
      </x:c>
      <x:c r="I101" s="8" t="str">
        <x:v>R</x:v>
      </x:c>
      <x:c r="J101" s="11"/>
      <x:c r="K101" s="11"/>
      <x:c r="L101" s="11"/>
      <x:c r="M101" s="11"/>
      <x:c r="N101" s="18" t="str">
        <x:f>IF(COUNT(J101:M101)&lt;4,"Por revisar",(IF(F101="R",J101*D101,0)+IF(G101="R",K101*D101,0)+IF(H101="R",L101*E101,0)+IF(I101="R",M101*E101,0))/1000)</x:f>
        <x:v>Por revisar</x:v>
      </x:c>
      <x:c r="O101" s="18" t="str">
        <x:f>IF(COUNT(J101:M101)&lt;4,"Por revisar",(IF(F101="F",J101*D101,0)+IF(G101="F",K101*D101,0)+IF(H101="F",L101*E101,0)+IF(I101="F",M101*E101,0))/1000)</x:f>
        <x:v>Por revisar</x:v>
      </x:c>
      <x:c r="P101" s="8" t="str">
        <x:f>IF(COUNT(J101:M101)&lt;4,"POR REVISAR",IF(SUM(J101:M101)=0,"RECIBIDO CONFORME","CANTEAR A MANO"))</x:f>
        <x:v>POR REVISAR</x:v>
      </x:c>
      <x:c r="Q101" s="10" t="str">
        <x:v>Normal · Una sola pieza rectangular terminada 517 × 299 mm (veta vertical). Pedirla entera, con canto 2 mm en el perímetro; NO dividir en tienda. En el armado, corte central a 75° de la horizontal (provisional entre 70 y 80°) con el disco Diablo de 1,5 mm (corte de 0,059") y canto flexible 0,45 mm en los dos bordes nuevos. Holgura entre puertas tras cantear ≈0,6 mm: probablemente insuficiente (ver Pendientes). La medida de lista es del panel común, no de cada tapa.</x:v>
      </x:c>
    </x:row>
    <x:row r="102" ht="58" customHeight="1">
      <x:c r="A102" s="8" t="str">
        <x:v>Baño S01</x:v>
      </x:c>
      <x:c r="B102" s="10" t="str">
        <x:v>Lateral gabinete superior</x:v>
      </x:c>
      <x:c r="C102" s="8" t="n">
        <x:v>2</x:v>
      </x:c>
      <x:c r="D102" s="8" t="n">
        <x:v>500</x:v>
      </x:c>
      <x:c r="E102" s="8" t="n">
        <x:v>105</x:v>
      </x:c>
      <x:c r="F102" s="8" t="str">
        <x:v>F</x:v>
      </x:c>
      <x:c r="G102" s="8" t="str">
        <x:v>F</x:v>
      </x:c>
      <x:c r="H102" s="8" t="str">
        <x:v>F</x:v>
      </x:c>
      <x:c r="I102" s="8" t="str">
        <x:v>F</x:v>
      </x:c>
      <x:c r="J102" s="11"/>
      <x:c r="K102" s="11"/>
      <x:c r="L102" s="11"/>
      <x:c r="M102" s="11"/>
      <x:c r="N102" s="18" t="str">
        <x:f>IF(COUNT(J102:M102)&lt;4,"Por revisar",(IF(F102="R",J102*D102,0)+IF(G102="R",K102*D102,0)+IF(H102="R",L102*E102,0)+IF(I102="R",M102*E102,0))/1000)</x:f>
        <x:v>Por revisar</x:v>
      </x:c>
      <x:c r="O102" s="18" t="str">
        <x:f>IF(COUNT(J102:M102)&lt;4,"Por revisar",(IF(F102="F",J102*D102,0)+IF(G102="F",K102*D102,0)+IF(H102="F",L102*E102,0)+IF(I102="F",M102*E102,0))/1000)</x:f>
        <x:v>Por revisar</x:v>
      </x:c>
      <x:c r="P102" s="8" t="str">
        <x:f>IF(COUNT(J102:M102)&lt;4,"POR REVISAR",IF(SUM(J102:M102)=0,"RECIBIDO CONFORME","CANTEAR A MANO"))</x:f>
        <x:v>POR REVISAR</x:v>
      </x:c>
      <x:c r="Q102" s="10" t="str">
        <x:v>Normal · Zona húmeda: proteger todos los bordes y sellar perforaciones; dimensiones terminadas. Fondo total 130 mm con panel 6 mm, holgura frontal 1 mm, tapa RH15 y espejo 3 mm. Canto flexible 0,45 mm en todo el perímetro; mantener sellados recortes y perforaciones.</x:v>
      </x:c>
    </x:row>
    <x:row r="103" ht="58" customHeight="1">
      <x:c r="A103" s="8" t="str">
        <x:v>Baño S02</x:v>
      </x:c>
      <x:c r="B103" s="10" t="str">
        <x:v>Piso y techo gabinete superior</x:v>
      </x:c>
      <x:c r="C103" s="8" t="n">
        <x:v>2</x:v>
      </x:c>
      <x:c r="D103" s="8" t="n">
        <x:v>420</x:v>
      </x:c>
      <x:c r="E103" s="8" t="n">
        <x:v>105</x:v>
      </x:c>
      <x:c r="F103" s="8" t="str">
        <x:v>F</x:v>
      </x:c>
      <x:c r="G103" s="8" t="str">
        <x:v>F</x:v>
      </x:c>
      <x:c r="H103" s="8" t="str">
        <x:v>F</x:v>
      </x:c>
      <x:c r="I103" s="8" t="str">
        <x:v>F</x:v>
      </x:c>
      <x:c r="J103" s="11"/>
      <x:c r="K103" s="11"/>
      <x:c r="L103" s="11"/>
      <x:c r="M103" s="11"/>
      <x:c r="N103" s="18" t="str">
        <x:f>IF(COUNT(J103:M103)&lt;4,"Por revisar",(IF(F103="R",J103*D103,0)+IF(G103="R",K103*D103,0)+IF(H103="R",L103*E103,0)+IF(I103="R",M103*E103,0))/1000)</x:f>
        <x:v>Por revisar</x:v>
      </x:c>
      <x:c r="O103" s="18" t="str">
        <x:f>IF(COUNT(J103:M103)&lt;4,"Por revisar",(IF(F103="F",J103*D103,0)+IF(G103="F",K103*D103,0)+IF(H103="F",L103*E103,0)+IF(I103="F",M103*E103,0))/1000)</x:f>
        <x:v>Por revisar</x:v>
      </x:c>
      <x:c r="P103" s="8" t="str">
        <x:f>IF(COUNT(J103:M103)&lt;4,"POR REVISAR",IF(SUM(J103:M103)=0,"RECIBIDO CONFORME","CANTEAR A MANO"))</x:f>
        <x:v>POR REVISAR</x:v>
      </x:c>
      <x:c r="Q103" s="10" t="str">
        <x:v>Normal · Zona húmeda: proteger todos los bordes y sellar perforaciones; dimensiones terminadas. Canto flexible 0,45 mm en todo el perímetro; mantener sellados recortes y perforaciones.</x:v>
      </x:c>
    </x:row>
    <x:row r="104" ht="58" customHeight="1">
      <x:c r="A104" s="8" t="str">
        <x:v>Baño S03</x:v>
      </x:c>
      <x:c r="B104" s="10" t="str">
        <x:v>División vertical</x:v>
      </x:c>
      <x:c r="C104" s="8" t="n">
        <x:v>1</x:v>
      </x:c>
      <x:c r="D104" s="8" t="n">
        <x:v>470</x:v>
      </x:c>
      <x:c r="E104" s="8" t="n">
        <x:v>105</x:v>
      </x:c>
      <x:c r="F104" s="8" t="str">
        <x:v>F</x:v>
      </x:c>
      <x:c r="G104" s="8" t="str">
        <x:v>F</x:v>
      </x:c>
      <x:c r="H104" s="8" t="str">
        <x:v>F</x:v>
      </x:c>
      <x:c r="I104" s="8" t="str">
        <x:v>F</x:v>
      </x:c>
      <x:c r="J104" s="11"/>
      <x:c r="K104" s="11"/>
      <x:c r="L104" s="11"/>
      <x:c r="M104" s="11"/>
      <x:c r="N104" s="18" t="str">
        <x:f>IF(COUNT(J104:M104)&lt;4,"Por revisar",(IF(F104="R",J104*D104,0)+IF(G104="R",K104*D104,0)+IF(H104="R",L104*E104,0)+IF(I104="R",M104*E104,0))/1000)</x:f>
        <x:v>Por revisar</x:v>
      </x:c>
      <x:c r="O104" s="18" t="str">
        <x:f>IF(COUNT(J104:M104)&lt;4,"Por revisar",(IF(F104="F",J104*D104,0)+IF(G104="F",K104*D104,0)+IF(H104="F",L104*E104,0)+IF(I104="F",M104*E104,0))/1000)</x:f>
        <x:v>Por revisar</x:v>
      </x:c>
      <x:c r="P104" s="8" t="str">
        <x:f>IF(COUNT(J104:M104)&lt;4,"POR REVISAR",IF(SUM(J104:M104)=0,"RECIBIDO CONFORME","CANTEAR A MANO"))</x:f>
        <x:v>POR REVISAR</x:v>
      </x:c>
      <x:c r="Q104" s="10" t="str">
        <x:v>Normal · Zona húmeda: proteger todos los bordes y sellar perforaciones; dimensiones terminadas. Interior cerrado 290 mm; columna derecha abierta 115 mm. Canto flexible 0,45 mm en todo el perímetro; mantener sellados recortes y perforaciones.</x:v>
      </x:c>
    </x:row>
    <x:row r="105" ht="58" customHeight="1">
      <x:c r="A105" s="8" t="str">
        <x:v>Baño S04</x:v>
      </x:c>
      <x:c r="B105" s="10" t="str">
        <x:v>Entrepaño interior izquierdo</x:v>
      </x:c>
      <x:c r="C105" s="8" t="n">
        <x:v>2</x:v>
      </x:c>
      <x:c r="D105" s="8" t="n">
        <x:v>290</x:v>
      </x:c>
      <x:c r="E105" s="8" t="n">
        <x:v>100</x:v>
      </x:c>
      <x:c r="F105" s="8" t="str">
        <x:v>F</x:v>
      </x:c>
      <x:c r="G105" s="8" t="str">
        <x:v>F</x:v>
      </x:c>
      <x:c r="H105" s="8" t="str">
        <x:v>F</x:v>
      </x:c>
      <x:c r="I105" s="8" t="str">
        <x:v>F</x:v>
      </x:c>
      <x:c r="J105" s="11"/>
      <x:c r="K105" s="11"/>
      <x:c r="L105" s="11"/>
      <x:c r="M105" s="11"/>
      <x:c r="N105" s="18" t="str">
        <x:f>IF(COUNT(J105:M105)&lt;4,"Por revisar",(IF(F105="R",J105*D105,0)+IF(G105="R",K105*D105,0)+IF(H105="R",L105*E105,0)+IF(I105="R",M105*E105,0))/1000)</x:f>
        <x:v>Por revisar</x:v>
      </x:c>
      <x:c r="O105" s="18" t="str">
        <x:f>IF(COUNT(J105:M105)&lt;4,"Por revisar",(IF(F105="F",J105*D105,0)+IF(G105="F",K105*D105,0)+IF(H105="F",L105*E105,0)+IF(I105="F",M105*E105,0))/1000)</x:f>
        <x:v>Por revisar</x:v>
      </x:c>
      <x:c r="P105" s="8" t="str">
        <x:f>IF(COUNT(J105:M105)&lt;4,"POR REVISAR",IF(SUM(J105:M105)=0,"RECIBIDO CONFORME","CANTEAR A MANO"))</x:f>
        <x:v>POR REVISAR</x:v>
      </x:c>
      <x:c r="Q105" s="10" t="str">
        <x:v>Pequeña · Si no la cantean: cortar a 289.1 × 99.1 y cantear en taller. Zona húmeda: proteger todos los bordes y sellar perforaciones; dimensiones terminadas. Dos entrepaños fijos como la referencia. Canto flexible 0,45 mm en todo el perímetro; mantener sellados recortes y perforaciones.</x:v>
      </x:c>
    </x:row>
    <x:row r="106" ht="58" customHeight="1">
      <x:c r="A106" s="8" t="str">
        <x:v>Baño S05</x:v>
      </x:c>
      <x:c r="B106" s="10" t="str">
        <x:v>Entrepaño columna abierta derecha</x:v>
      </x:c>
      <x:c r="C106" s="8" t="n">
        <x:v>1</x:v>
      </x:c>
      <x:c r="D106" s="8" t="n">
        <x:v>115</x:v>
      </x:c>
      <x:c r="E106" s="8" t="n">
        <x:v>100</x:v>
      </x:c>
      <x:c r="F106" s="8" t="str">
        <x:v>F</x:v>
      </x:c>
      <x:c r="G106" s="8" t="str">
        <x:v>F</x:v>
      </x:c>
      <x:c r="H106" s="8" t="str">
        <x:v>F</x:v>
      </x:c>
      <x:c r="I106" s="8" t="str">
        <x:v>F</x:v>
      </x:c>
      <x:c r="J106" s="11"/>
      <x:c r="K106" s="11"/>
      <x:c r="L106" s="11"/>
      <x:c r="M106" s="11"/>
      <x:c r="N106" s="18" t="str">
        <x:f>IF(COUNT(J106:M106)&lt;4,"Por revisar",(IF(F106="R",J106*D106,0)+IF(G106="R",K106*D106,0)+IF(H106="R",L106*E106,0)+IF(I106="R",M106*E106,0))/1000)</x:f>
        <x:v>Por revisar</x:v>
      </x:c>
      <x:c r="O106" s="18" t="str">
        <x:f>IF(COUNT(J106:M106)&lt;4,"Por revisar",(IF(F106="F",J106*D106,0)+IF(G106="F",K106*D106,0)+IF(H106="F",L106*E106,0)+IF(I106="F",M106*E106,0))/1000)</x:f>
        <x:v>Por revisar</x:v>
      </x:c>
      <x:c r="P106" s="8" t="str">
        <x:f>IF(COUNT(J106:M106)&lt;4,"POR REVISAR",IF(SUM(J106:M106)=0,"RECIBIDO CONFORME","CANTEAR A MANO"))</x:f>
        <x:v>POR REVISAR</x:v>
      </x:c>
      <x:c r="Q106" s="10" t="str">
        <x:v>Pequeña · Si no la cantean: cortar a 114.1 × 99.1 y cantear en taller. Zona húmeda: proteger todos los bordes y sellar perforaciones; dimensiones terminadas. Canto flexible 0,45 mm en todo el perímetro; mantener sellados recortes y perforaciones.</x:v>
      </x:c>
    </x:row>
    <x:row r="107" ht="58" customHeight="1">
      <x:c r="A107" s="8" t="str">
        <x:v>Baño S06</x:v>
      </x:c>
      <x:c r="B107" s="10" t="str">
        <x:v>Tapa RH15 portadora del espejo</x:v>
      </x:c>
      <x:c r="C107" s="8" t="n">
        <x:v>1</x:v>
      </x:c>
      <x:c r="D107" s="8" t="n">
        <x:v>500</x:v>
      </x:c>
      <x:c r="E107" s="8" t="n">
        <x:v>320</x:v>
      </x:c>
      <x:c r="F107" s="8" t="str">
        <x:v>F</x:v>
      </x:c>
      <x:c r="G107" s="8" t="str">
        <x:v>F</x:v>
      </x:c>
      <x:c r="H107" s="8" t="str">
        <x:v>F</x:v>
      </x:c>
      <x:c r="I107" s="8" t="str">
        <x:v>F</x:v>
      </x:c>
      <x:c r="J107" s="11"/>
      <x:c r="K107" s="11"/>
      <x:c r="L107" s="11"/>
      <x:c r="M107" s="11"/>
      <x:c r="N107" s="18" t="str">
        <x:f>IF(COUNT(J107:M107)&lt;4,"Por revisar",(IF(F107="R",J107*D107,0)+IF(G107="R",K107*D107,0)+IF(H107="R",L107*E107,0)+IF(I107="R",M107*E107,0))/1000)</x:f>
        <x:v>Por revisar</x:v>
      </x:c>
      <x:c r="O107" s="18" t="str">
        <x:f>IF(COUNT(J107:M107)&lt;4,"Por revisar",(IF(F107="F",J107*D107,0)+IF(G107="F",K107*D107,0)+IF(H107="F",L107*E107,0)+IF(I107="F",M107*E107,0))/1000)</x:f>
        <x:v>Por revisar</x:v>
      </x:c>
      <x:c r="P107" s="8" t="str">
        <x:f>IF(COUNT(J107:M107)&lt;4,"POR REVISAR",IF(SUM(J107:M107)=0,"RECIBIDO CONFORME","CANTEAR A MANO"))</x:f>
        <x:v>POR REVISAR</x:v>
      </x:c>
      <x:c r="Q107" s="10" t="str">
        <x:v>Normal · Medida exterior de referencia 320 × 500; espejo pegado en cara exterior. Dos bisagras candidatas, peso conjunto aproximado 2,8 kg sin herrajes. Validar holguras, cazoletas y adhesivo compatible con espejo. Canto flexible 0,45 mm en todo el perímetro; mantener sellados recortes y perforaciones.</x:v>
      </x:c>
    </x:row>
  </x:sheetData>
  <x:mergeCells>
    <x:mergeCell ref="A3:Q3"/>
  </x:mergeCells>
  <x:dataValidations count="392">
    <x:dataValidation type="whole" operator="between" sqref="J10">
      <x:formula1>0</x:formula1>
      <x:formula2>2</x:formula2>
    </x:dataValidation>
    <x:dataValidation type="whole" operator="between" sqref="K10">
      <x:formula1>0</x:formula1>
      <x:formula2>2</x:formula2>
    </x:dataValidation>
    <x:dataValidation type="whole" operator="between" sqref="L10">
      <x:formula1>0</x:formula1>
      <x:formula2>2</x:formula2>
    </x:dataValidation>
    <x:dataValidation type="whole" operator="between" sqref="M10">
      <x:formula1>0</x:formula1>
      <x:formula2>2</x:formula2>
    </x:dataValidation>
    <x:dataValidation type="whole" operator="between" sqref="J11">
      <x:formula1>0</x:formula1>
      <x:formula2>1</x:formula2>
    </x:dataValidation>
    <x:dataValidation type="whole" operator="between" sqref="K11">
      <x:formula1>0</x:formula1>
      <x:formula2>1</x:formula2>
    </x:dataValidation>
    <x:dataValidation type="whole" operator="between" sqref="L11">
      <x:formula1>0</x:formula1>
      <x:formula2>1</x:formula2>
    </x:dataValidation>
    <x:dataValidation type="whole" operator="between" sqref="M11">
      <x:formula1>0</x:formula1>
      <x:formula2>1</x:formula2>
    </x:dataValidation>
    <x:dataValidation type="whole" operator="between" sqref="J12">
      <x:formula1>0</x:formula1>
      <x:formula2>2</x:formula2>
    </x:dataValidation>
    <x:dataValidation type="whole" operator="between" sqref="K12">
      <x:formula1>0</x:formula1>
      <x:formula2>2</x:formula2>
    </x:dataValidation>
    <x:dataValidation type="whole" operator="between" sqref="L12">
      <x:formula1>0</x:formula1>
      <x:formula2>2</x:formula2>
    </x:dataValidation>
    <x:dataValidation type="whole" operator="between" sqref="M12">
      <x:formula1>0</x:formula1>
      <x:formula2>2</x:formula2>
    </x:dataValidation>
    <x:dataValidation type="whole" operator="between" sqref="J13">
      <x:formula1>0</x:formula1>
      <x:formula2>1</x:formula2>
    </x:dataValidation>
    <x:dataValidation type="whole" operator="between" sqref="K13">
      <x:formula1>0</x:formula1>
      <x:formula2>1</x:formula2>
    </x:dataValidation>
    <x:dataValidation type="whole" operator="between" sqref="L13">
      <x:formula1>0</x:formula1>
      <x:formula2>1</x:formula2>
    </x:dataValidation>
    <x:dataValidation type="whole" operator="between" sqref="M13">
      <x:formula1>0</x:formula1>
      <x:formula2>1</x:formula2>
    </x:dataValidation>
    <x:dataValidation type="whole" operator="between" sqref="J14">
      <x:formula1>0</x:formula1>
      <x:formula2>2</x:formula2>
    </x:dataValidation>
    <x:dataValidation type="whole" operator="between" sqref="K14">
      <x:formula1>0</x:formula1>
      <x:formula2>2</x:formula2>
    </x:dataValidation>
    <x:dataValidation type="whole" operator="between" sqref="L14">
      <x:formula1>0</x:formula1>
      <x:formula2>2</x:formula2>
    </x:dataValidation>
    <x:dataValidation type="whole" operator="between" sqref="M14">
      <x:formula1>0</x:formula1>
      <x:formula2>2</x:formula2>
    </x:dataValidation>
    <x:dataValidation type="whole" operator="between" sqref="J15">
      <x:formula1>0</x:formula1>
      <x:formula2>1</x:formula2>
    </x:dataValidation>
    <x:dataValidation type="whole" operator="between" sqref="K15">
      <x:formula1>0</x:formula1>
      <x:formula2>1</x:formula2>
    </x:dataValidation>
    <x:dataValidation type="whole" operator="between" sqref="L15">
      <x:formula1>0</x:formula1>
      <x:formula2>1</x:formula2>
    </x:dataValidation>
    <x:dataValidation type="whole" operator="between" sqref="M15">
      <x:formula1>0</x:formula1>
      <x:formula2>1</x:formula2>
    </x:dataValidation>
    <x:dataValidation type="whole" operator="between" sqref="J16">
      <x:formula1>0</x:formula1>
      <x:formula2>1</x:formula2>
    </x:dataValidation>
    <x:dataValidation type="whole" operator="between" sqref="K16">
      <x:formula1>0</x:formula1>
      <x:formula2>1</x:formula2>
    </x:dataValidation>
    <x:dataValidation type="whole" operator="between" sqref="L16">
      <x:formula1>0</x:formula1>
      <x:formula2>1</x:formula2>
    </x:dataValidation>
    <x:dataValidation type="whole" operator="between" sqref="M16">
      <x:formula1>0</x:formula1>
      <x:formula2>1</x:formula2>
    </x:dataValidation>
    <x:dataValidation type="whole" operator="between" sqref="J17">
      <x:formula1>0</x:formula1>
      <x:formula2>1</x:formula2>
    </x:dataValidation>
    <x:dataValidation type="whole" operator="between" sqref="K17">
      <x:formula1>0</x:formula1>
      <x:formula2>1</x:formula2>
    </x:dataValidation>
    <x:dataValidation type="whole" operator="between" sqref="L17">
      <x:formula1>0</x:formula1>
      <x:formula2>1</x:formula2>
    </x:dataValidation>
    <x:dataValidation type="whole" operator="between" sqref="M17">
      <x:formula1>0</x:formula1>
      <x:formula2>1</x:formula2>
    </x:dataValidation>
    <x:dataValidation type="whole" operator="between" sqref="J18">
      <x:formula1>0</x:formula1>
      <x:formula2>1</x:formula2>
    </x:dataValidation>
    <x:dataValidation type="whole" operator="between" sqref="K18">
      <x:formula1>0</x:formula1>
      <x:formula2>1</x:formula2>
    </x:dataValidation>
    <x:dataValidation type="whole" operator="between" sqref="L18">
      <x:formula1>0</x:formula1>
      <x:formula2>1</x:formula2>
    </x:dataValidation>
    <x:dataValidation type="whole" operator="between" sqref="M18">
      <x:formula1>0</x:formula1>
      <x:formula2>1</x:formula2>
    </x:dataValidation>
    <x:dataValidation type="whole" operator="between" sqref="J19">
      <x:formula1>0</x:formula1>
      <x:formula2>1</x:formula2>
    </x:dataValidation>
    <x:dataValidation type="whole" operator="between" sqref="K19">
      <x:formula1>0</x:formula1>
      <x:formula2>1</x:formula2>
    </x:dataValidation>
    <x:dataValidation type="whole" operator="between" sqref="L19">
      <x:formula1>0</x:formula1>
      <x:formula2>1</x:formula2>
    </x:dataValidation>
    <x:dataValidation type="whole" operator="between" sqref="M19">
      <x:formula1>0</x:formula1>
      <x:formula2>1</x:formula2>
    </x:dataValidation>
    <x:dataValidation type="whole" operator="between" sqref="J20">
      <x:formula1>0</x:formula1>
      <x:formula2>2</x:formula2>
    </x:dataValidation>
    <x:dataValidation type="whole" operator="between" sqref="K20">
      <x:formula1>0</x:formula1>
      <x:formula2>2</x:formula2>
    </x:dataValidation>
    <x:dataValidation type="whole" operator="between" sqref="L20">
      <x:formula1>0</x:formula1>
      <x:formula2>2</x:formula2>
    </x:dataValidation>
    <x:dataValidation type="whole" operator="between" sqref="M20">
      <x:formula1>0</x:formula1>
      <x:formula2>2</x:formula2>
    </x:dataValidation>
    <x:dataValidation type="whole" operator="between" sqref="J21">
      <x:formula1>0</x:formula1>
      <x:formula2>1</x:formula2>
    </x:dataValidation>
    <x:dataValidation type="whole" operator="between" sqref="K21">
      <x:formula1>0</x:formula1>
      <x:formula2>1</x:formula2>
    </x:dataValidation>
    <x:dataValidation type="whole" operator="between" sqref="L21">
      <x:formula1>0</x:formula1>
      <x:formula2>1</x:formula2>
    </x:dataValidation>
    <x:dataValidation type="whole" operator="between" sqref="M21">
      <x:formula1>0</x:formula1>
      <x:formula2>1</x:formula2>
    </x:dataValidation>
    <x:dataValidation type="whole" operator="between" sqref="J22">
      <x:formula1>0</x:formula1>
      <x:formula2>2</x:formula2>
    </x:dataValidation>
    <x:dataValidation type="whole" operator="between" sqref="K22">
      <x:formula1>0</x:formula1>
      <x:formula2>2</x:formula2>
    </x:dataValidation>
    <x:dataValidation type="whole" operator="between" sqref="L22">
      <x:formula1>0</x:formula1>
      <x:formula2>2</x:formula2>
    </x:dataValidation>
    <x:dataValidation type="whole" operator="between" sqref="M22">
      <x:formula1>0</x:formula1>
      <x:formula2>2</x:formula2>
    </x:dataValidation>
    <x:dataValidation type="whole" operator="between" sqref="J23">
      <x:formula1>0</x:formula1>
      <x:formula2>1</x:formula2>
    </x:dataValidation>
    <x:dataValidation type="whole" operator="between" sqref="K23">
      <x:formula1>0</x:formula1>
      <x:formula2>1</x:formula2>
    </x:dataValidation>
    <x:dataValidation type="whole" operator="between" sqref="L23">
      <x:formula1>0</x:formula1>
      <x:formula2>1</x:formula2>
    </x:dataValidation>
    <x:dataValidation type="whole" operator="between" sqref="M23">
      <x:formula1>0</x:formula1>
      <x:formula2>1</x:formula2>
    </x:dataValidation>
    <x:dataValidation type="whole" operator="between" sqref="J24">
      <x:formula1>0</x:formula1>
      <x:formula2>1</x:formula2>
    </x:dataValidation>
    <x:dataValidation type="whole" operator="between" sqref="K24">
      <x:formula1>0</x:formula1>
      <x:formula2>1</x:formula2>
    </x:dataValidation>
    <x:dataValidation type="whole" operator="between" sqref="L24">
      <x:formula1>0</x:formula1>
      <x:formula2>1</x:formula2>
    </x:dataValidation>
    <x:dataValidation type="whole" operator="between" sqref="M24">
      <x:formula1>0</x:formula1>
      <x:formula2>1</x:formula2>
    </x:dataValidation>
    <x:dataValidation type="whole" operator="between" sqref="J25">
      <x:formula1>0</x:formula1>
      <x:formula2>2</x:formula2>
    </x:dataValidation>
    <x:dataValidation type="whole" operator="between" sqref="K25">
      <x:formula1>0</x:formula1>
      <x:formula2>2</x:formula2>
    </x:dataValidation>
    <x:dataValidation type="whole" operator="between" sqref="L25">
      <x:formula1>0</x:formula1>
      <x:formula2>2</x:formula2>
    </x:dataValidation>
    <x:dataValidation type="whole" operator="between" sqref="M25">
      <x:formula1>0</x:formula1>
      <x:formula2>2</x:formula2>
    </x:dataValidation>
    <x:dataValidation type="whole" operator="between" sqref="J26">
      <x:formula1>0</x:formula1>
      <x:formula2>2</x:formula2>
    </x:dataValidation>
    <x:dataValidation type="whole" operator="between" sqref="K26">
      <x:formula1>0</x:formula1>
      <x:formula2>2</x:formula2>
    </x:dataValidation>
    <x:dataValidation type="whole" operator="between" sqref="L26">
      <x:formula1>0</x:formula1>
      <x:formula2>2</x:formula2>
    </x:dataValidation>
    <x:dataValidation type="whole" operator="between" sqref="M26">
      <x:formula1>0</x:formula1>
      <x:formula2>2</x:formula2>
    </x:dataValidation>
    <x:dataValidation type="whole" operator="between" sqref="J27">
      <x:formula1>0</x:formula1>
      <x:formula2>1</x:formula2>
    </x:dataValidation>
    <x:dataValidation type="whole" operator="between" sqref="K27">
      <x:formula1>0</x:formula1>
      <x:formula2>1</x:formula2>
    </x:dataValidation>
    <x:dataValidation type="whole" operator="between" sqref="L27">
      <x:formula1>0</x:formula1>
      <x:formula2>1</x:formula2>
    </x:dataValidation>
    <x:dataValidation type="whole" operator="between" sqref="M27">
      <x:formula1>0</x:formula1>
      <x:formula2>1</x:formula2>
    </x:dataValidation>
    <x:dataValidation type="whole" operator="between" sqref="J28">
      <x:formula1>0</x:formula1>
      <x:formula2>1</x:formula2>
    </x:dataValidation>
    <x:dataValidation type="whole" operator="between" sqref="K28">
      <x:formula1>0</x:formula1>
      <x:formula2>1</x:formula2>
    </x:dataValidation>
    <x:dataValidation type="whole" operator="between" sqref="L28">
      <x:formula1>0</x:formula1>
      <x:formula2>1</x:formula2>
    </x:dataValidation>
    <x:dataValidation type="whole" operator="between" sqref="M28">
      <x:formula1>0</x:formula1>
      <x:formula2>1</x:formula2>
    </x:dataValidation>
    <x:dataValidation type="whole" operator="between" sqref="J29">
      <x:formula1>0</x:formula1>
      <x:formula2>1</x:formula2>
    </x:dataValidation>
    <x:dataValidation type="whole" operator="between" sqref="K29">
      <x:formula1>0</x:formula1>
      <x:formula2>1</x:formula2>
    </x:dataValidation>
    <x:dataValidation type="whole" operator="between" sqref="L29">
      <x:formula1>0</x:formula1>
      <x:formula2>1</x:formula2>
    </x:dataValidation>
    <x:dataValidation type="whole" operator="between" sqref="M29">
      <x:formula1>0</x:formula1>
      <x:formula2>1</x:formula2>
    </x:dataValidation>
    <x:dataValidation type="whole" operator="between" sqref="J30">
      <x:formula1>0</x:formula1>
      <x:formula2>2</x:formula2>
    </x:dataValidation>
    <x:dataValidation type="whole" operator="between" sqref="K30">
      <x:formula1>0</x:formula1>
      <x:formula2>2</x:formula2>
    </x:dataValidation>
    <x:dataValidation type="whole" operator="between" sqref="L30">
      <x:formula1>0</x:formula1>
      <x:formula2>2</x:formula2>
    </x:dataValidation>
    <x:dataValidation type="whole" operator="between" sqref="M30">
      <x:formula1>0</x:formula1>
      <x:formula2>2</x:formula2>
    </x:dataValidation>
    <x:dataValidation type="whole" operator="between" sqref="J31">
      <x:formula1>0</x:formula1>
      <x:formula2>1</x:formula2>
    </x:dataValidation>
    <x:dataValidation type="whole" operator="between" sqref="K31">
      <x:formula1>0</x:formula1>
      <x:formula2>1</x:formula2>
    </x:dataValidation>
    <x:dataValidation type="whole" operator="between" sqref="L31">
      <x:formula1>0</x:formula1>
      <x:formula2>1</x:formula2>
    </x:dataValidation>
    <x:dataValidation type="whole" operator="between" sqref="M31">
      <x:formula1>0</x:formula1>
      <x:formula2>1</x:formula2>
    </x:dataValidation>
    <x:dataValidation type="whole" operator="between" sqref="J32">
      <x:formula1>0</x:formula1>
      <x:formula2>2</x:formula2>
    </x:dataValidation>
    <x:dataValidation type="whole" operator="between" sqref="K32">
      <x:formula1>0</x:formula1>
      <x:formula2>2</x:formula2>
    </x:dataValidation>
    <x:dataValidation type="whole" operator="between" sqref="L32">
      <x:formula1>0</x:formula1>
      <x:formula2>2</x:formula2>
    </x:dataValidation>
    <x:dataValidation type="whole" operator="between" sqref="M32">
      <x:formula1>0</x:formula1>
      <x:formula2>2</x:formula2>
    </x:dataValidation>
    <x:dataValidation type="whole" operator="between" sqref="J33">
      <x:formula1>0</x:formula1>
      <x:formula2>1</x:formula2>
    </x:dataValidation>
    <x:dataValidation type="whole" operator="between" sqref="K33">
      <x:formula1>0</x:formula1>
      <x:formula2>1</x:formula2>
    </x:dataValidation>
    <x:dataValidation type="whole" operator="between" sqref="L33">
      <x:formula1>0</x:formula1>
      <x:formula2>1</x:formula2>
    </x:dataValidation>
    <x:dataValidation type="whole" operator="between" sqref="M33">
      <x:formula1>0</x:formula1>
      <x:formula2>1</x:formula2>
    </x:dataValidation>
    <x:dataValidation type="whole" operator="between" sqref="J34">
      <x:formula1>0</x:formula1>
      <x:formula2>1</x:formula2>
    </x:dataValidation>
    <x:dataValidation type="whole" operator="between" sqref="K34">
      <x:formula1>0</x:formula1>
      <x:formula2>1</x:formula2>
    </x:dataValidation>
    <x:dataValidation type="whole" operator="between" sqref="L34">
      <x:formula1>0</x:formula1>
      <x:formula2>1</x:formula2>
    </x:dataValidation>
    <x:dataValidation type="whole" operator="between" sqref="M34">
      <x:formula1>0</x:formula1>
      <x:formula2>1</x:formula2>
    </x:dataValidation>
    <x:dataValidation type="whole" operator="between" sqref="J35">
      <x:formula1>0</x:formula1>
      <x:formula2>1</x:formula2>
    </x:dataValidation>
    <x:dataValidation type="whole" operator="between" sqref="K35">
      <x:formula1>0</x:formula1>
      <x:formula2>1</x:formula2>
    </x:dataValidation>
    <x:dataValidation type="whole" operator="between" sqref="L35">
      <x:formula1>0</x:formula1>
      <x:formula2>1</x:formula2>
    </x:dataValidation>
    <x:dataValidation type="whole" operator="between" sqref="M35">
      <x:formula1>0</x:formula1>
      <x:formula2>1</x:formula2>
    </x:dataValidation>
    <x:dataValidation type="whole" operator="between" sqref="J36">
      <x:formula1>0</x:formula1>
      <x:formula2>2</x:formula2>
    </x:dataValidation>
    <x:dataValidation type="whole" operator="between" sqref="K36">
      <x:formula1>0</x:formula1>
      <x:formula2>2</x:formula2>
    </x:dataValidation>
    <x:dataValidation type="whole" operator="between" sqref="L36">
      <x:formula1>0</x:formula1>
      <x:formula2>2</x:formula2>
    </x:dataValidation>
    <x:dataValidation type="whole" operator="between" sqref="M36">
      <x:formula1>0</x:formula1>
      <x:formula2>2</x:formula2>
    </x:dataValidation>
    <x:dataValidation type="whole" operator="between" sqref="J37">
      <x:formula1>0</x:formula1>
      <x:formula2>1</x:formula2>
    </x:dataValidation>
    <x:dataValidation type="whole" operator="between" sqref="K37">
      <x:formula1>0</x:formula1>
      <x:formula2>1</x:formula2>
    </x:dataValidation>
    <x:dataValidation type="whole" operator="between" sqref="L37">
      <x:formula1>0</x:formula1>
      <x:formula2>1</x:formula2>
    </x:dataValidation>
    <x:dataValidation type="whole" operator="between" sqref="M37">
      <x:formula1>0</x:formula1>
      <x:formula2>1</x:formula2>
    </x:dataValidation>
    <x:dataValidation type="whole" operator="between" sqref="J38">
      <x:formula1>0</x:formula1>
      <x:formula2>2</x:formula2>
    </x:dataValidation>
    <x:dataValidation type="whole" operator="between" sqref="K38">
      <x:formula1>0</x:formula1>
      <x:formula2>2</x:formula2>
    </x:dataValidation>
    <x:dataValidation type="whole" operator="between" sqref="L38">
      <x:formula1>0</x:formula1>
      <x:formula2>2</x:formula2>
    </x:dataValidation>
    <x:dataValidation type="whole" operator="between" sqref="M38">
      <x:formula1>0</x:formula1>
      <x:formula2>2</x:formula2>
    </x:dataValidation>
    <x:dataValidation type="whole" operator="between" sqref="J39">
      <x:formula1>0</x:formula1>
      <x:formula2>1</x:formula2>
    </x:dataValidation>
    <x:dataValidation type="whole" operator="between" sqref="K39">
      <x:formula1>0</x:formula1>
      <x:formula2>1</x:formula2>
    </x:dataValidation>
    <x:dataValidation type="whole" operator="between" sqref="L39">
      <x:formula1>0</x:formula1>
      <x:formula2>1</x:formula2>
    </x:dataValidation>
    <x:dataValidation type="whole" operator="between" sqref="M39">
      <x:formula1>0</x:formula1>
      <x:formula2>1</x:formula2>
    </x:dataValidation>
    <x:dataValidation type="whole" operator="between" sqref="J40">
      <x:formula1>0</x:formula1>
      <x:formula2>1</x:formula2>
    </x:dataValidation>
    <x:dataValidation type="whole" operator="between" sqref="K40">
      <x:formula1>0</x:formula1>
      <x:formula2>1</x:formula2>
    </x:dataValidation>
    <x:dataValidation type="whole" operator="between" sqref="L40">
      <x:formula1>0</x:formula1>
      <x:formula2>1</x:formula2>
    </x:dataValidation>
    <x:dataValidation type="whole" operator="between" sqref="M40">
      <x:formula1>0</x:formula1>
      <x:formula2>1</x:formula2>
    </x:dataValidation>
    <x:dataValidation type="whole" operator="between" sqref="J41">
      <x:formula1>0</x:formula1>
      <x:formula2>1</x:formula2>
    </x:dataValidation>
    <x:dataValidation type="whole" operator="between" sqref="K41">
      <x:formula1>0</x:formula1>
      <x:formula2>1</x:formula2>
    </x:dataValidation>
    <x:dataValidation type="whole" operator="between" sqref="L41">
      <x:formula1>0</x:formula1>
      <x:formula2>1</x:formula2>
    </x:dataValidation>
    <x:dataValidation type="whole" operator="between" sqref="M41">
      <x:formula1>0</x:formula1>
      <x:formula2>1</x:formula2>
    </x:dataValidation>
    <x:dataValidation type="whole" operator="between" sqref="J42">
      <x:formula1>0</x:formula1>
      <x:formula2>1</x:formula2>
    </x:dataValidation>
    <x:dataValidation type="whole" operator="between" sqref="K42">
      <x:formula1>0</x:formula1>
      <x:formula2>1</x:formula2>
    </x:dataValidation>
    <x:dataValidation type="whole" operator="between" sqref="L42">
      <x:formula1>0</x:formula1>
      <x:formula2>1</x:formula2>
    </x:dataValidation>
    <x:dataValidation type="whole" operator="between" sqref="M42">
      <x:formula1>0</x:formula1>
      <x:formula2>1</x:formula2>
    </x:dataValidation>
    <x:dataValidation type="whole" operator="between" sqref="J43">
      <x:formula1>0</x:formula1>
      <x:formula2>2</x:formula2>
    </x:dataValidation>
    <x:dataValidation type="whole" operator="between" sqref="K43">
      <x:formula1>0</x:formula1>
      <x:formula2>2</x:formula2>
    </x:dataValidation>
    <x:dataValidation type="whole" operator="between" sqref="L43">
      <x:formula1>0</x:formula1>
      <x:formula2>2</x:formula2>
    </x:dataValidation>
    <x:dataValidation type="whole" operator="between" sqref="M43">
      <x:formula1>0</x:formula1>
      <x:formula2>2</x:formula2>
    </x:dataValidation>
    <x:dataValidation type="whole" operator="between" sqref="J44">
      <x:formula1>0</x:formula1>
      <x:formula2>2</x:formula2>
    </x:dataValidation>
    <x:dataValidation type="whole" operator="between" sqref="K44">
      <x:formula1>0</x:formula1>
      <x:formula2>2</x:formula2>
    </x:dataValidation>
    <x:dataValidation type="whole" operator="between" sqref="L44">
      <x:formula1>0</x:formula1>
      <x:formula2>2</x:formula2>
    </x:dataValidation>
    <x:dataValidation type="whole" operator="between" sqref="M44">
      <x:formula1>0</x:formula1>
      <x:formula2>2</x:formula2>
    </x:dataValidation>
    <x:dataValidation type="whole" operator="between" sqref="J45">
      <x:formula1>0</x:formula1>
      <x:formula2>1</x:formula2>
    </x:dataValidation>
    <x:dataValidation type="whole" operator="between" sqref="K45">
      <x:formula1>0</x:formula1>
      <x:formula2>1</x:formula2>
    </x:dataValidation>
    <x:dataValidation type="whole" operator="between" sqref="L45">
      <x:formula1>0</x:formula1>
      <x:formula2>1</x:formula2>
    </x:dataValidation>
    <x:dataValidation type="whole" operator="between" sqref="M45">
      <x:formula1>0</x:formula1>
      <x:formula2>1</x:formula2>
    </x:dataValidation>
    <x:dataValidation type="whole" operator="between" sqref="J46">
      <x:formula1>0</x:formula1>
      <x:formula2>1</x:formula2>
    </x:dataValidation>
    <x:dataValidation type="whole" operator="between" sqref="K46">
      <x:formula1>0</x:formula1>
      <x:formula2>1</x:formula2>
    </x:dataValidation>
    <x:dataValidation type="whole" operator="between" sqref="L46">
      <x:formula1>0</x:formula1>
      <x:formula2>1</x:formula2>
    </x:dataValidation>
    <x:dataValidation type="whole" operator="between" sqref="M46">
      <x:formula1>0</x:formula1>
      <x:formula2>1</x:formula2>
    </x:dataValidation>
    <x:dataValidation type="whole" operator="between" sqref="J47">
      <x:formula1>0</x:formula1>
      <x:formula2>1</x:formula2>
    </x:dataValidation>
    <x:dataValidation type="whole" operator="between" sqref="K47">
      <x:formula1>0</x:formula1>
      <x:formula2>1</x:formula2>
    </x:dataValidation>
    <x:dataValidation type="whole" operator="between" sqref="L47">
      <x:formula1>0</x:formula1>
      <x:formula2>1</x:formula2>
    </x:dataValidation>
    <x:dataValidation type="whole" operator="between" sqref="M47">
      <x:formula1>0</x:formula1>
      <x:formula2>1</x:formula2>
    </x:dataValidation>
    <x:dataValidation type="whole" operator="between" sqref="J48">
      <x:formula1>0</x:formula1>
      <x:formula2>1</x:formula2>
    </x:dataValidation>
    <x:dataValidation type="whole" operator="between" sqref="K48">
      <x:formula1>0</x:formula1>
      <x:formula2>1</x:formula2>
    </x:dataValidation>
    <x:dataValidation type="whole" operator="between" sqref="L48">
      <x:formula1>0</x:formula1>
      <x:formula2>1</x:formula2>
    </x:dataValidation>
    <x:dataValidation type="whole" operator="between" sqref="M48">
      <x:formula1>0</x:formula1>
      <x:formula2>1</x:formula2>
    </x:dataValidation>
    <x:dataValidation type="whole" operator="between" sqref="J49">
      <x:formula1>0</x:formula1>
      <x:formula2>2</x:formula2>
    </x:dataValidation>
    <x:dataValidation type="whole" operator="between" sqref="K49">
      <x:formula1>0</x:formula1>
      <x:formula2>2</x:formula2>
    </x:dataValidation>
    <x:dataValidation type="whole" operator="between" sqref="L49">
      <x:formula1>0</x:formula1>
      <x:formula2>2</x:formula2>
    </x:dataValidation>
    <x:dataValidation type="whole" operator="between" sqref="M49">
      <x:formula1>0</x:formula1>
      <x:formula2>2</x:formula2>
    </x:dataValidation>
    <x:dataValidation type="whole" operator="between" sqref="J50">
      <x:formula1>0</x:formula1>
      <x:formula2>1</x:formula2>
    </x:dataValidation>
    <x:dataValidation type="whole" operator="between" sqref="K50">
      <x:formula1>0</x:formula1>
      <x:formula2>1</x:formula2>
    </x:dataValidation>
    <x:dataValidation type="whole" operator="between" sqref="L50">
      <x:formula1>0</x:formula1>
      <x:formula2>1</x:formula2>
    </x:dataValidation>
    <x:dataValidation type="whole" operator="between" sqref="M50">
      <x:formula1>0</x:formula1>
      <x:formula2>1</x:formula2>
    </x:dataValidation>
    <x:dataValidation type="whole" operator="between" sqref="J51">
      <x:formula1>0</x:formula1>
      <x:formula2>1</x:formula2>
    </x:dataValidation>
    <x:dataValidation type="whole" operator="between" sqref="K51">
      <x:formula1>0</x:formula1>
      <x:formula2>1</x:formula2>
    </x:dataValidation>
    <x:dataValidation type="whole" operator="between" sqref="L51">
      <x:formula1>0</x:formula1>
      <x:formula2>1</x:formula2>
    </x:dataValidation>
    <x:dataValidation type="whole" operator="between" sqref="M51">
      <x:formula1>0</x:formula1>
      <x:formula2>1</x:formula2>
    </x:dataValidation>
    <x:dataValidation type="whole" operator="between" sqref="J52">
      <x:formula1>0</x:formula1>
      <x:formula2>1</x:formula2>
    </x:dataValidation>
    <x:dataValidation type="whole" operator="between" sqref="K52">
      <x:formula1>0</x:formula1>
      <x:formula2>1</x:formula2>
    </x:dataValidation>
    <x:dataValidation type="whole" operator="between" sqref="L52">
      <x:formula1>0</x:formula1>
      <x:formula2>1</x:formula2>
    </x:dataValidation>
    <x:dataValidation type="whole" operator="between" sqref="M52">
      <x:formula1>0</x:formula1>
      <x:formula2>1</x:formula2>
    </x:dataValidation>
    <x:dataValidation type="whole" operator="between" sqref="J53">
      <x:formula1>0</x:formula1>
      <x:formula2>1</x:formula2>
    </x:dataValidation>
    <x:dataValidation type="whole" operator="between" sqref="K53">
      <x:formula1>0</x:formula1>
      <x:formula2>1</x:formula2>
    </x:dataValidation>
    <x:dataValidation type="whole" operator="between" sqref="L53">
      <x:formula1>0</x:formula1>
      <x:formula2>1</x:formula2>
    </x:dataValidation>
    <x:dataValidation type="whole" operator="between" sqref="M53">
      <x:formula1>0</x:formula1>
      <x:formula2>1</x:formula2>
    </x:dataValidation>
    <x:dataValidation type="whole" operator="between" sqref="J54">
      <x:formula1>0</x:formula1>
      <x:formula2>2</x:formula2>
    </x:dataValidation>
    <x:dataValidation type="whole" operator="between" sqref="K54">
      <x:formula1>0</x:formula1>
      <x:formula2>2</x:formula2>
    </x:dataValidation>
    <x:dataValidation type="whole" operator="between" sqref="L54">
      <x:formula1>0</x:formula1>
      <x:formula2>2</x:formula2>
    </x:dataValidation>
    <x:dataValidation type="whole" operator="between" sqref="M54">
      <x:formula1>0</x:formula1>
      <x:formula2>2</x:formula2>
    </x:dataValidation>
    <x:dataValidation type="whole" operator="between" sqref="J55">
      <x:formula1>0</x:formula1>
      <x:formula2>1</x:formula2>
    </x:dataValidation>
    <x:dataValidation type="whole" operator="between" sqref="K55">
      <x:formula1>0</x:formula1>
      <x:formula2>1</x:formula2>
    </x:dataValidation>
    <x:dataValidation type="whole" operator="between" sqref="L55">
      <x:formula1>0</x:formula1>
      <x:formula2>1</x:formula2>
    </x:dataValidation>
    <x:dataValidation type="whole" operator="between" sqref="M55">
      <x:formula1>0</x:formula1>
      <x:formula2>1</x:formula2>
    </x:dataValidation>
    <x:dataValidation type="whole" operator="between" sqref="J56">
      <x:formula1>0</x:formula1>
      <x:formula2>1</x:formula2>
    </x:dataValidation>
    <x:dataValidation type="whole" operator="between" sqref="K56">
      <x:formula1>0</x:formula1>
      <x:formula2>1</x:formula2>
    </x:dataValidation>
    <x:dataValidation type="whole" operator="between" sqref="L56">
      <x:formula1>0</x:formula1>
      <x:formula2>1</x:formula2>
    </x:dataValidation>
    <x:dataValidation type="whole" operator="between" sqref="M56">
      <x:formula1>0</x:formula1>
      <x:formula2>1</x:formula2>
    </x:dataValidation>
    <x:dataValidation type="whole" operator="between" sqref="J57">
      <x:formula1>0</x:formula1>
      <x:formula2>1</x:formula2>
    </x:dataValidation>
    <x:dataValidation type="whole" operator="between" sqref="K57">
      <x:formula1>0</x:formula1>
      <x:formula2>1</x:formula2>
    </x:dataValidation>
    <x:dataValidation type="whole" operator="between" sqref="L57">
      <x:formula1>0</x:formula1>
      <x:formula2>1</x:formula2>
    </x:dataValidation>
    <x:dataValidation type="whole" operator="between" sqref="M57">
      <x:formula1>0</x:formula1>
      <x:formula2>1</x:formula2>
    </x:dataValidation>
    <x:dataValidation type="whole" operator="between" sqref="J58">
      <x:formula1>0</x:formula1>
      <x:formula2>2</x:formula2>
    </x:dataValidation>
    <x:dataValidation type="whole" operator="between" sqref="K58">
      <x:formula1>0</x:formula1>
      <x:formula2>2</x:formula2>
    </x:dataValidation>
    <x:dataValidation type="whole" operator="between" sqref="L58">
      <x:formula1>0</x:formula1>
      <x:formula2>2</x:formula2>
    </x:dataValidation>
    <x:dataValidation type="whole" operator="between" sqref="M58">
      <x:formula1>0</x:formula1>
      <x:formula2>2</x:formula2>
    </x:dataValidation>
    <x:dataValidation type="whole" operator="between" sqref="J59">
      <x:formula1>0</x:formula1>
      <x:formula2>1</x:formula2>
    </x:dataValidation>
    <x:dataValidation type="whole" operator="between" sqref="K59">
      <x:formula1>0</x:formula1>
      <x:formula2>1</x:formula2>
    </x:dataValidation>
    <x:dataValidation type="whole" operator="between" sqref="L59">
      <x:formula1>0</x:formula1>
      <x:formula2>1</x:formula2>
    </x:dataValidation>
    <x:dataValidation type="whole" operator="between" sqref="M59">
      <x:formula1>0</x:formula1>
      <x:formula2>1</x:formula2>
    </x:dataValidation>
    <x:dataValidation type="whole" operator="between" sqref="J60">
      <x:formula1>0</x:formula1>
      <x:formula2>1</x:formula2>
    </x:dataValidation>
    <x:dataValidation type="whole" operator="between" sqref="K60">
      <x:formula1>0</x:formula1>
      <x:formula2>1</x:formula2>
    </x:dataValidation>
    <x:dataValidation type="whole" operator="between" sqref="L60">
      <x:formula1>0</x:formula1>
      <x:formula2>1</x:formula2>
    </x:dataValidation>
    <x:dataValidation type="whole" operator="between" sqref="M60">
      <x:formula1>0</x:formula1>
      <x:formula2>1</x:formula2>
    </x:dataValidation>
    <x:dataValidation type="whole" operator="between" sqref="J61">
      <x:formula1>0</x:formula1>
      <x:formula2>2</x:formula2>
    </x:dataValidation>
    <x:dataValidation type="whole" operator="between" sqref="K61">
      <x:formula1>0</x:formula1>
      <x:formula2>2</x:formula2>
    </x:dataValidation>
    <x:dataValidation type="whole" operator="between" sqref="L61">
      <x:formula1>0</x:formula1>
      <x:formula2>2</x:formula2>
    </x:dataValidation>
    <x:dataValidation type="whole" operator="between" sqref="M61">
      <x:formula1>0</x:formula1>
      <x:formula2>2</x:formula2>
    </x:dataValidation>
    <x:dataValidation type="whole" operator="between" sqref="J62">
      <x:formula1>0</x:formula1>
      <x:formula2>1</x:formula2>
    </x:dataValidation>
    <x:dataValidation type="whole" operator="between" sqref="K62">
      <x:formula1>0</x:formula1>
      <x:formula2>1</x:formula2>
    </x:dataValidation>
    <x:dataValidation type="whole" operator="between" sqref="L62">
      <x:formula1>0</x:formula1>
      <x:formula2>1</x:formula2>
    </x:dataValidation>
    <x:dataValidation type="whole" operator="between" sqref="M62">
      <x:formula1>0</x:formula1>
      <x:formula2>1</x:formula2>
    </x:dataValidation>
    <x:dataValidation type="whole" operator="between" sqref="J63">
      <x:formula1>0</x:formula1>
      <x:formula2>1</x:formula2>
    </x:dataValidation>
    <x:dataValidation type="whole" operator="between" sqref="K63">
      <x:formula1>0</x:formula1>
      <x:formula2>1</x:formula2>
    </x:dataValidation>
    <x:dataValidation type="whole" operator="between" sqref="L63">
      <x:formula1>0</x:formula1>
      <x:formula2>1</x:formula2>
    </x:dataValidation>
    <x:dataValidation type="whole" operator="between" sqref="M63">
      <x:formula1>0</x:formula1>
      <x:formula2>1</x:formula2>
    </x:dataValidation>
    <x:dataValidation type="whole" operator="between" sqref="J64">
      <x:formula1>0</x:formula1>
      <x:formula2>1</x:formula2>
    </x:dataValidation>
    <x:dataValidation type="whole" operator="between" sqref="K64">
      <x:formula1>0</x:formula1>
      <x:formula2>1</x:formula2>
    </x:dataValidation>
    <x:dataValidation type="whole" operator="between" sqref="L64">
      <x:formula1>0</x:formula1>
      <x:formula2>1</x:formula2>
    </x:dataValidation>
    <x:dataValidation type="whole" operator="between" sqref="M64">
      <x:formula1>0</x:formula1>
      <x:formula2>1</x:formula2>
    </x:dataValidation>
    <x:dataValidation type="whole" operator="between" sqref="J65">
      <x:formula1>0</x:formula1>
      <x:formula2>1</x:formula2>
    </x:dataValidation>
    <x:dataValidation type="whole" operator="between" sqref="K65">
      <x:formula1>0</x:formula1>
      <x:formula2>1</x:formula2>
    </x:dataValidation>
    <x:dataValidation type="whole" operator="between" sqref="L65">
      <x:formula1>0</x:formula1>
      <x:formula2>1</x:formula2>
    </x:dataValidation>
    <x:dataValidation type="whole" operator="between" sqref="M65">
      <x:formula1>0</x:formula1>
      <x:formula2>1</x:formula2>
    </x:dataValidation>
    <x:dataValidation type="whole" operator="between" sqref="J66">
      <x:formula1>0</x:formula1>
      <x:formula2>1</x:formula2>
    </x:dataValidation>
    <x:dataValidation type="whole" operator="between" sqref="K66">
      <x:formula1>0</x:formula1>
      <x:formula2>1</x:formula2>
    </x:dataValidation>
    <x:dataValidation type="whole" operator="between" sqref="L66">
      <x:formula1>0</x:formula1>
      <x:formula2>1</x:formula2>
    </x:dataValidation>
    <x:dataValidation type="whole" operator="between" sqref="M66">
      <x:formula1>0</x:formula1>
      <x:formula2>1</x:formula2>
    </x:dataValidation>
    <x:dataValidation type="whole" operator="between" sqref="J67">
      <x:formula1>0</x:formula1>
      <x:formula2>2</x:formula2>
    </x:dataValidation>
    <x:dataValidation type="whole" operator="between" sqref="K67">
      <x:formula1>0</x:formula1>
      <x:formula2>2</x:formula2>
    </x:dataValidation>
    <x:dataValidation type="whole" operator="between" sqref="L67">
      <x:formula1>0</x:formula1>
      <x:formula2>2</x:formula2>
    </x:dataValidation>
    <x:dataValidation type="whole" operator="between" sqref="M67">
      <x:formula1>0</x:formula1>
      <x:formula2>2</x:formula2>
    </x:dataValidation>
    <x:dataValidation type="whole" operator="between" sqref="J68">
      <x:formula1>0</x:formula1>
      <x:formula2>1</x:formula2>
    </x:dataValidation>
    <x:dataValidation type="whole" operator="between" sqref="K68">
      <x:formula1>0</x:formula1>
      <x:formula2>1</x:formula2>
    </x:dataValidation>
    <x:dataValidation type="whole" operator="between" sqref="L68">
      <x:formula1>0</x:formula1>
      <x:formula2>1</x:formula2>
    </x:dataValidation>
    <x:dataValidation type="whole" operator="between" sqref="M68">
      <x:formula1>0</x:formula1>
      <x:formula2>1</x:formula2>
    </x:dataValidation>
    <x:dataValidation type="whole" operator="between" sqref="J69">
      <x:formula1>0</x:formula1>
      <x:formula2>1</x:formula2>
    </x:dataValidation>
    <x:dataValidation type="whole" operator="between" sqref="K69">
      <x:formula1>0</x:formula1>
      <x:formula2>1</x:formula2>
    </x:dataValidation>
    <x:dataValidation type="whole" operator="between" sqref="L69">
      <x:formula1>0</x:formula1>
      <x:formula2>1</x:formula2>
    </x:dataValidation>
    <x:dataValidation type="whole" operator="between" sqref="M69">
      <x:formula1>0</x:formula1>
      <x:formula2>1</x:formula2>
    </x:dataValidation>
    <x:dataValidation type="whole" operator="between" sqref="J70">
      <x:formula1>0</x:formula1>
      <x:formula2>1</x:formula2>
    </x:dataValidation>
    <x:dataValidation type="whole" operator="between" sqref="K70">
      <x:formula1>0</x:formula1>
      <x:formula2>1</x:formula2>
    </x:dataValidation>
    <x:dataValidation type="whole" operator="between" sqref="L70">
      <x:formula1>0</x:formula1>
      <x:formula2>1</x:formula2>
    </x:dataValidation>
    <x:dataValidation type="whole" operator="between" sqref="M70">
      <x:formula1>0</x:formula1>
      <x:formula2>1</x:formula2>
    </x:dataValidation>
    <x:dataValidation type="whole" operator="between" sqref="J71">
      <x:formula1>0</x:formula1>
      <x:formula2>1</x:formula2>
    </x:dataValidation>
    <x:dataValidation type="whole" operator="between" sqref="K71">
      <x:formula1>0</x:formula1>
      <x:formula2>1</x:formula2>
    </x:dataValidation>
    <x:dataValidation type="whole" operator="between" sqref="L71">
      <x:formula1>0</x:formula1>
      <x:formula2>1</x:formula2>
    </x:dataValidation>
    <x:dataValidation type="whole" operator="between" sqref="M71">
      <x:formula1>0</x:formula1>
      <x:formula2>1</x:formula2>
    </x:dataValidation>
    <x:dataValidation type="whole" operator="between" sqref="J72">
      <x:formula1>0</x:formula1>
      <x:formula2>2</x:formula2>
    </x:dataValidation>
    <x:dataValidation type="whole" operator="between" sqref="K72">
      <x:formula1>0</x:formula1>
      <x:formula2>2</x:formula2>
    </x:dataValidation>
    <x:dataValidation type="whole" operator="between" sqref="L72">
      <x:formula1>0</x:formula1>
      <x:formula2>2</x:formula2>
    </x:dataValidation>
    <x:dataValidation type="whole" operator="between" sqref="M72">
      <x:formula1>0</x:formula1>
      <x:formula2>2</x:formula2>
    </x:dataValidation>
    <x:dataValidation type="whole" operator="between" sqref="J73">
      <x:formula1>0</x:formula1>
      <x:formula2>1</x:formula2>
    </x:dataValidation>
    <x:dataValidation type="whole" operator="between" sqref="K73">
      <x:formula1>0</x:formula1>
      <x:formula2>1</x:formula2>
    </x:dataValidation>
    <x:dataValidation type="whole" operator="between" sqref="L73">
      <x:formula1>0</x:formula1>
      <x:formula2>1</x:formula2>
    </x:dataValidation>
    <x:dataValidation type="whole" operator="between" sqref="M73">
      <x:formula1>0</x:formula1>
      <x:formula2>1</x:formula2>
    </x:dataValidation>
    <x:dataValidation type="whole" operator="between" sqref="J74">
      <x:formula1>0</x:formula1>
      <x:formula2>1</x:formula2>
    </x:dataValidation>
    <x:dataValidation type="whole" operator="between" sqref="K74">
      <x:formula1>0</x:formula1>
      <x:formula2>1</x:formula2>
    </x:dataValidation>
    <x:dataValidation type="whole" operator="between" sqref="L74">
      <x:formula1>0</x:formula1>
      <x:formula2>1</x:formula2>
    </x:dataValidation>
    <x:dataValidation type="whole" operator="between" sqref="M74">
      <x:formula1>0</x:formula1>
      <x:formula2>1</x:formula2>
    </x:dataValidation>
    <x:dataValidation type="whole" operator="between" sqref="J75">
      <x:formula1>0</x:formula1>
      <x:formula2>1</x:formula2>
    </x:dataValidation>
    <x:dataValidation type="whole" operator="between" sqref="K75">
      <x:formula1>0</x:formula1>
      <x:formula2>1</x:formula2>
    </x:dataValidation>
    <x:dataValidation type="whole" operator="between" sqref="L75">
      <x:formula1>0</x:formula1>
      <x:formula2>1</x:formula2>
    </x:dataValidation>
    <x:dataValidation type="whole" operator="between" sqref="M75">
      <x:formula1>0</x:formula1>
      <x:formula2>1</x:formula2>
    </x:dataValidation>
    <x:dataValidation type="whole" operator="between" sqref="J76">
      <x:formula1>0</x:formula1>
      <x:formula2>1</x:formula2>
    </x:dataValidation>
    <x:dataValidation type="whole" operator="between" sqref="K76">
      <x:formula1>0</x:formula1>
      <x:formula2>1</x:formula2>
    </x:dataValidation>
    <x:dataValidation type="whole" operator="between" sqref="L76">
      <x:formula1>0</x:formula1>
      <x:formula2>1</x:formula2>
    </x:dataValidation>
    <x:dataValidation type="whole" operator="between" sqref="M76">
      <x:formula1>0</x:formula1>
      <x:formula2>1</x:formula2>
    </x:dataValidation>
    <x:dataValidation type="whole" operator="between" sqref="J77">
      <x:formula1>0</x:formula1>
      <x:formula2>1</x:formula2>
    </x:dataValidation>
    <x:dataValidation type="whole" operator="between" sqref="K77">
      <x:formula1>0</x:formula1>
      <x:formula2>1</x:formula2>
    </x:dataValidation>
    <x:dataValidation type="whole" operator="between" sqref="L77">
      <x:formula1>0</x:formula1>
      <x:formula2>1</x:formula2>
    </x:dataValidation>
    <x:dataValidation type="whole" operator="between" sqref="M77">
      <x:formula1>0</x:formula1>
      <x:formula2>1</x:formula2>
    </x:dataValidation>
    <x:dataValidation type="whole" operator="between" sqref="J78">
      <x:formula1>0</x:formula1>
      <x:formula2>1</x:formula2>
    </x:dataValidation>
    <x:dataValidation type="whole" operator="between" sqref="K78">
      <x:formula1>0</x:formula1>
      <x:formula2>1</x:formula2>
    </x:dataValidation>
    <x:dataValidation type="whole" operator="between" sqref="L78">
      <x:formula1>0</x:formula1>
      <x:formula2>1</x:formula2>
    </x:dataValidation>
    <x:dataValidation type="whole" operator="between" sqref="M78">
      <x:formula1>0</x:formula1>
      <x:formula2>1</x:formula2>
    </x:dataValidation>
    <x:dataValidation type="whole" operator="between" sqref="J79">
      <x:formula1>0</x:formula1>
      <x:formula2>1</x:formula2>
    </x:dataValidation>
    <x:dataValidation type="whole" operator="between" sqref="K79">
      <x:formula1>0</x:formula1>
      <x:formula2>1</x:formula2>
    </x:dataValidation>
    <x:dataValidation type="whole" operator="between" sqref="L79">
      <x:formula1>0</x:formula1>
      <x:formula2>1</x:formula2>
    </x:dataValidation>
    <x:dataValidation type="whole" operator="between" sqref="M79">
      <x:formula1>0</x:formula1>
      <x:formula2>1</x:formula2>
    </x:dataValidation>
    <x:dataValidation type="whole" operator="between" sqref="J80">
      <x:formula1>0</x:formula1>
      <x:formula2>1</x:formula2>
    </x:dataValidation>
    <x:dataValidation type="whole" operator="between" sqref="K80">
      <x:formula1>0</x:formula1>
      <x:formula2>1</x:formula2>
    </x:dataValidation>
    <x:dataValidation type="whole" operator="between" sqref="L80">
      <x:formula1>0</x:formula1>
      <x:formula2>1</x:formula2>
    </x:dataValidation>
    <x:dataValidation type="whole" operator="between" sqref="M80">
      <x:formula1>0</x:formula1>
      <x:formula2>1</x:formula2>
    </x:dataValidation>
    <x:dataValidation type="whole" operator="between" sqref="J81">
      <x:formula1>0</x:formula1>
      <x:formula2>1</x:formula2>
    </x:dataValidation>
    <x:dataValidation type="whole" operator="between" sqref="K81">
      <x:formula1>0</x:formula1>
      <x:formula2>1</x:formula2>
    </x:dataValidation>
    <x:dataValidation type="whole" operator="between" sqref="L81">
      <x:formula1>0</x:formula1>
      <x:formula2>1</x:formula2>
    </x:dataValidation>
    <x:dataValidation type="whole" operator="between" sqref="M81">
      <x:formula1>0</x:formula1>
      <x:formula2>1</x:formula2>
    </x:dataValidation>
    <x:dataValidation type="whole" operator="between" sqref="J82">
      <x:formula1>0</x:formula1>
      <x:formula2>1</x:formula2>
    </x:dataValidation>
    <x:dataValidation type="whole" operator="between" sqref="K82">
      <x:formula1>0</x:formula1>
      <x:formula2>1</x:formula2>
    </x:dataValidation>
    <x:dataValidation type="whole" operator="between" sqref="L82">
      <x:formula1>0</x:formula1>
      <x:formula2>1</x:formula2>
    </x:dataValidation>
    <x:dataValidation type="whole" operator="between" sqref="M82">
      <x:formula1>0</x:formula1>
      <x:formula2>1</x:formula2>
    </x:dataValidation>
    <x:dataValidation type="whole" operator="between" sqref="J83">
      <x:formula1>0</x:formula1>
      <x:formula2>1</x:formula2>
    </x:dataValidation>
    <x:dataValidation type="whole" operator="between" sqref="K83">
      <x:formula1>0</x:formula1>
      <x:formula2>1</x:formula2>
    </x:dataValidation>
    <x:dataValidation type="whole" operator="between" sqref="L83">
      <x:formula1>0</x:formula1>
      <x:formula2>1</x:formula2>
    </x:dataValidation>
    <x:dataValidation type="whole" operator="between" sqref="M83">
      <x:formula1>0</x:formula1>
      <x:formula2>1</x:formula2>
    </x:dataValidation>
    <x:dataValidation type="whole" operator="between" sqref="J84">
      <x:formula1>0</x:formula1>
      <x:formula2>1</x:formula2>
    </x:dataValidation>
    <x:dataValidation type="whole" operator="between" sqref="K84">
      <x:formula1>0</x:formula1>
      <x:formula2>1</x:formula2>
    </x:dataValidation>
    <x:dataValidation type="whole" operator="between" sqref="L84">
      <x:formula1>0</x:formula1>
      <x:formula2>1</x:formula2>
    </x:dataValidation>
    <x:dataValidation type="whole" operator="between" sqref="M84">
      <x:formula1>0</x:formula1>
      <x:formula2>1</x:formula2>
    </x:dataValidation>
    <x:dataValidation type="whole" operator="between" sqref="J85">
      <x:formula1>0</x:formula1>
      <x:formula2>1</x:formula2>
    </x:dataValidation>
    <x:dataValidation type="whole" operator="between" sqref="K85">
      <x:formula1>0</x:formula1>
      <x:formula2>1</x:formula2>
    </x:dataValidation>
    <x:dataValidation type="whole" operator="between" sqref="L85">
      <x:formula1>0</x:formula1>
      <x:formula2>1</x:formula2>
    </x:dataValidation>
    <x:dataValidation type="whole" operator="between" sqref="M85">
      <x:formula1>0</x:formula1>
      <x:formula2>1</x:formula2>
    </x:dataValidation>
    <x:dataValidation type="whole" operator="between" sqref="J86">
      <x:formula1>0</x:formula1>
      <x:formula2>3</x:formula2>
    </x:dataValidation>
    <x:dataValidation type="whole" operator="between" sqref="K86">
      <x:formula1>0</x:formula1>
      <x:formula2>3</x:formula2>
    </x:dataValidation>
    <x:dataValidation type="whole" operator="between" sqref="L86">
      <x:formula1>0</x:formula1>
      <x:formula2>3</x:formula2>
    </x:dataValidation>
    <x:dataValidation type="whole" operator="between" sqref="M86">
      <x:formula1>0</x:formula1>
      <x:formula2>3</x:formula2>
    </x:dataValidation>
    <x:dataValidation type="whole" operator="between" sqref="J87">
      <x:formula1>0</x:formula1>
      <x:formula2>6</x:formula2>
    </x:dataValidation>
    <x:dataValidation type="whole" operator="between" sqref="K87">
      <x:formula1>0</x:formula1>
      <x:formula2>6</x:formula2>
    </x:dataValidation>
    <x:dataValidation type="whole" operator="between" sqref="L87">
      <x:formula1>0</x:formula1>
      <x:formula2>6</x:formula2>
    </x:dataValidation>
    <x:dataValidation type="whole" operator="between" sqref="M87">
      <x:formula1>0</x:formula1>
      <x:formula2>6</x:formula2>
    </x:dataValidation>
    <x:dataValidation type="whole" operator="between" sqref="J88">
      <x:formula1>0</x:formula1>
      <x:formula2>3</x:formula2>
    </x:dataValidation>
    <x:dataValidation type="whole" operator="between" sqref="K88">
      <x:formula1>0</x:formula1>
      <x:formula2>3</x:formula2>
    </x:dataValidation>
    <x:dataValidation type="whole" operator="between" sqref="L88">
      <x:formula1>0</x:formula1>
      <x:formula2>3</x:formula2>
    </x:dataValidation>
    <x:dataValidation type="whole" operator="between" sqref="M88">
      <x:formula1>0</x:formula1>
      <x:formula2>3</x:formula2>
    </x:dataValidation>
    <x:dataValidation type="whole" operator="between" sqref="J89">
      <x:formula1>0</x:formula1>
      <x:formula2>6</x:formula2>
    </x:dataValidation>
    <x:dataValidation type="whole" operator="between" sqref="K89">
      <x:formula1>0</x:formula1>
      <x:formula2>6</x:formula2>
    </x:dataValidation>
    <x:dataValidation type="whole" operator="between" sqref="L89">
      <x:formula1>0</x:formula1>
      <x:formula2>6</x:formula2>
    </x:dataValidation>
    <x:dataValidation type="whole" operator="between" sqref="M89">
      <x:formula1>0</x:formula1>
      <x:formula2>6</x:formula2>
    </x:dataValidation>
    <x:dataValidation type="whole" operator="between" sqref="J90">
      <x:formula1>0</x:formula1>
      <x:formula2>3</x:formula2>
    </x:dataValidation>
    <x:dataValidation type="whole" operator="between" sqref="K90">
      <x:formula1>0</x:formula1>
      <x:formula2>3</x:formula2>
    </x:dataValidation>
    <x:dataValidation type="whole" operator="between" sqref="L90">
      <x:formula1>0</x:formula1>
      <x:formula2>3</x:formula2>
    </x:dataValidation>
    <x:dataValidation type="whole" operator="between" sqref="M90">
      <x:formula1>0</x:formula1>
      <x:formula2>3</x:formula2>
    </x:dataValidation>
    <x:dataValidation type="whole" operator="between" sqref="J91">
      <x:formula1>0</x:formula1>
      <x:formula2>1</x:formula2>
    </x:dataValidation>
    <x:dataValidation type="whole" operator="between" sqref="K91">
      <x:formula1>0</x:formula1>
      <x:formula2>1</x:formula2>
    </x:dataValidation>
    <x:dataValidation type="whole" operator="between" sqref="L91">
      <x:formula1>0</x:formula1>
      <x:formula2>1</x:formula2>
    </x:dataValidation>
    <x:dataValidation type="whole" operator="between" sqref="M91">
      <x:formula1>0</x:formula1>
      <x:formula2>1</x:formula2>
    </x:dataValidation>
    <x:dataValidation type="whole" operator="between" sqref="J92">
      <x:formula1>0</x:formula1>
      <x:formula2>1</x:formula2>
    </x:dataValidation>
    <x:dataValidation type="whole" operator="between" sqref="K92">
      <x:formula1>0</x:formula1>
      <x:formula2>1</x:formula2>
    </x:dataValidation>
    <x:dataValidation type="whole" operator="between" sqref="L92">
      <x:formula1>0</x:formula1>
      <x:formula2>1</x:formula2>
    </x:dataValidation>
    <x:dataValidation type="whole" operator="between" sqref="M92">
      <x:formula1>0</x:formula1>
      <x:formula2>1</x:formula2>
    </x:dataValidation>
    <x:dataValidation type="whole" operator="between" sqref="J93">
      <x:formula1>0</x:formula1>
      <x:formula2>3</x:formula2>
    </x:dataValidation>
    <x:dataValidation type="whole" operator="between" sqref="K93">
      <x:formula1>0</x:formula1>
      <x:formula2>3</x:formula2>
    </x:dataValidation>
    <x:dataValidation type="whole" operator="between" sqref="L93">
      <x:formula1>0</x:formula1>
      <x:formula2>3</x:formula2>
    </x:dataValidation>
    <x:dataValidation type="whole" operator="between" sqref="M93">
      <x:formula1>0</x:formula1>
      <x:formula2>3</x:formula2>
    </x:dataValidation>
    <x:dataValidation type="whole" operator="between" sqref="J94">
      <x:formula1>0</x:formula1>
      <x:formula2>2</x:formula2>
    </x:dataValidation>
    <x:dataValidation type="whole" operator="between" sqref="K94">
      <x:formula1>0</x:formula1>
      <x:formula2>2</x:formula2>
    </x:dataValidation>
    <x:dataValidation type="whole" operator="between" sqref="L94">
      <x:formula1>0</x:formula1>
      <x:formula2>2</x:formula2>
    </x:dataValidation>
    <x:dataValidation type="whole" operator="between" sqref="M94">
      <x:formula1>0</x:formula1>
      <x:formula2>2</x:formula2>
    </x:dataValidation>
    <x:dataValidation type="whole" operator="between" sqref="J95">
      <x:formula1>0</x:formula1>
      <x:formula2>1</x:formula2>
    </x:dataValidation>
    <x:dataValidation type="whole" operator="between" sqref="K95">
      <x:formula1>0</x:formula1>
      <x:formula2>1</x:formula2>
    </x:dataValidation>
    <x:dataValidation type="whole" operator="between" sqref="L95">
      <x:formula1>0</x:formula1>
      <x:formula2>1</x:formula2>
    </x:dataValidation>
    <x:dataValidation type="whole" operator="between" sqref="M95">
      <x:formula1>0</x:formula1>
      <x:formula2>1</x:formula2>
    </x:dataValidation>
    <x:dataValidation type="whole" operator="between" sqref="J96">
      <x:formula1>0</x:formula1>
      <x:formula2>2</x:formula2>
    </x:dataValidation>
    <x:dataValidation type="whole" operator="between" sqref="K96">
      <x:formula1>0</x:formula1>
      <x:formula2>2</x:formula2>
    </x:dataValidation>
    <x:dataValidation type="whole" operator="between" sqref="L96">
      <x:formula1>0</x:formula1>
      <x:formula2>2</x:formula2>
    </x:dataValidation>
    <x:dataValidation type="whole" operator="between" sqref="M96">
      <x:formula1>0</x:formula1>
      <x:formula2>2</x:formula2>
    </x:dataValidation>
    <x:dataValidation type="whole" operator="between" sqref="J97">
      <x:formula1>0</x:formula1>
      <x:formula2>1</x:formula2>
    </x:dataValidation>
    <x:dataValidation type="whole" operator="between" sqref="K97">
      <x:formula1>0</x:formula1>
      <x:formula2>1</x:formula2>
    </x:dataValidation>
    <x:dataValidation type="whole" operator="between" sqref="L97">
      <x:formula1>0</x:formula1>
      <x:formula2>1</x:formula2>
    </x:dataValidation>
    <x:dataValidation type="whole" operator="between" sqref="M97">
      <x:formula1>0</x:formula1>
      <x:formula2>1</x:formula2>
    </x:dataValidation>
    <x:dataValidation type="whole" operator="between" sqref="J98">
      <x:formula1>0</x:formula1>
      <x:formula2>1</x:formula2>
    </x:dataValidation>
    <x:dataValidation type="whole" operator="between" sqref="K98">
      <x:formula1>0</x:formula1>
      <x:formula2>1</x:formula2>
    </x:dataValidation>
    <x:dataValidation type="whole" operator="between" sqref="L98">
      <x:formula1>0</x:formula1>
      <x:formula2>1</x:formula2>
    </x:dataValidation>
    <x:dataValidation type="whole" operator="between" sqref="M98">
      <x:formula1>0</x:formula1>
      <x:formula2>1</x:formula2>
    </x:dataValidation>
    <x:dataValidation type="whole" operator="between" sqref="J99">
      <x:formula1>0</x:formula1>
      <x:formula2>2</x:formula2>
    </x:dataValidation>
    <x:dataValidation type="whole" operator="between" sqref="K99">
      <x:formula1>0</x:formula1>
      <x:formula2>2</x:formula2>
    </x:dataValidation>
    <x:dataValidation type="whole" operator="between" sqref="L99">
      <x:formula1>0</x:formula1>
      <x:formula2>2</x:formula2>
    </x:dataValidation>
    <x:dataValidation type="whole" operator="between" sqref="M99">
      <x:formula1>0</x:formula1>
      <x:formula2>2</x:formula2>
    </x:dataValidation>
    <x:dataValidation type="whole" operator="between" sqref="J100">
      <x:formula1>0</x:formula1>
      <x:formula2>1</x:formula2>
    </x:dataValidation>
    <x:dataValidation type="whole" operator="between" sqref="K100">
      <x:formula1>0</x:formula1>
      <x:formula2>1</x:formula2>
    </x:dataValidation>
    <x:dataValidation type="whole" operator="between" sqref="L100">
      <x:formula1>0</x:formula1>
      <x:formula2>1</x:formula2>
    </x:dataValidation>
    <x:dataValidation type="whole" operator="between" sqref="M100">
      <x:formula1>0</x:formula1>
      <x:formula2>1</x:formula2>
    </x:dataValidation>
    <x:dataValidation type="whole" operator="between" sqref="J101">
      <x:formula1>0</x:formula1>
      <x:formula2>1</x:formula2>
    </x:dataValidation>
    <x:dataValidation type="whole" operator="between" sqref="K101">
      <x:formula1>0</x:formula1>
      <x:formula2>1</x:formula2>
    </x:dataValidation>
    <x:dataValidation type="whole" operator="between" sqref="L101">
      <x:formula1>0</x:formula1>
      <x:formula2>1</x:formula2>
    </x:dataValidation>
    <x:dataValidation type="whole" operator="between" sqref="M101">
      <x:formula1>0</x:formula1>
      <x:formula2>1</x:formula2>
    </x:dataValidation>
    <x:dataValidation type="whole" operator="between" sqref="J102">
      <x:formula1>0</x:formula1>
      <x:formula2>2</x:formula2>
    </x:dataValidation>
    <x:dataValidation type="whole" operator="between" sqref="K102">
      <x:formula1>0</x:formula1>
      <x:formula2>2</x:formula2>
    </x:dataValidation>
    <x:dataValidation type="whole" operator="between" sqref="L102">
      <x:formula1>0</x:formula1>
      <x:formula2>2</x:formula2>
    </x:dataValidation>
    <x:dataValidation type="whole" operator="between" sqref="M102">
      <x:formula1>0</x:formula1>
      <x:formula2>2</x:formula2>
    </x:dataValidation>
    <x:dataValidation type="whole" operator="between" sqref="J103">
      <x:formula1>0</x:formula1>
      <x:formula2>2</x:formula2>
    </x:dataValidation>
    <x:dataValidation type="whole" operator="between" sqref="K103">
      <x:formula1>0</x:formula1>
      <x:formula2>2</x:formula2>
    </x:dataValidation>
    <x:dataValidation type="whole" operator="between" sqref="L103">
      <x:formula1>0</x:formula1>
      <x:formula2>2</x:formula2>
    </x:dataValidation>
    <x:dataValidation type="whole" operator="between" sqref="M103">
      <x:formula1>0</x:formula1>
      <x:formula2>2</x:formula2>
    </x:dataValidation>
    <x:dataValidation type="whole" operator="between" sqref="J104">
      <x:formula1>0</x:formula1>
      <x:formula2>1</x:formula2>
    </x:dataValidation>
    <x:dataValidation type="whole" operator="between" sqref="K104">
      <x:formula1>0</x:formula1>
      <x:formula2>1</x:formula2>
    </x:dataValidation>
    <x:dataValidation type="whole" operator="between" sqref="L104">
      <x:formula1>0</x:formula1>
      <x:formula2>1</x:formula2>
    </x:dataValidation>
    <x:dataValidation type="whole" operator="between" sqref="M104">
      <x:formula1>0</x:formula1>
      <x:formula2>1</x:formula2>
    </x:dataValidation>
    <x:dataValidation type="whole" operator="between" sqref="J105">
      <x:formula1>0</x:formula1>
      <x:formula2>2</x:formula2>
    </x:dataValidation>
    <x:dataValidation type="whole" operator="between" sqref="K105">
      <x:formula1>0</x:formula1>
      <x:formula2>2</x:formula2>
    </x:dataValidation>
    <x:dataValidation type="whole" operator="between" sqref="L105">
      <x:formula1>0</x:formula1>
      <x:formula2>2</x:formula2>
    </x:dataValidation>
    <x:dataValidation type="whole" operator="between" sqref="M105">
      <x:formula1>0</x:formula1>
      <x:formula2>2</x:formula2>
    </x:dataValidation>
    <x:dataValidation type="whole" operator="between" sqref="J106">
      <x:formula1>0</x:formula1>
      <x:formula2>1</x:formula2>
    </x:dataValidation>
    <x:dataValidation type="whole" operator="between" sqref="K106">
      <x:formula1>0</x:formula1>
      <x:formula2>1</x:formula2>
    </x:dataValidation>
    <x:dataValidation type="whole" operator="between" sqref="L106">
      <x:formula1>0</x:formula1>
      <x:formula2>1</x:formula2>
    </x:dataValidation>
    <x:dataValidation type="whole" operator="between" sqref="M106">
      <x:formula1>0</x:formula1>
      <x:formula2>1</x:formula2>
    </x:dataValidation>
    <x:dataValidation type="whole" operator="between" sqref="J107">
      <x:formula1>0</x:formula1>
      <x:formula2>1</x:formula2>
    </x:dataValidation>
    <x:dataValidation type="whole" operator="between" sqref="K107">
      <x:formula1>0</x:formula1>
      <x:formula2>1</x:formula2>
    </x:dataValidation>
    <x:dataValidation type="whole" operator="between" sqref="L107">
      <x:formula1>0</x:formula1>
      <x:formula2>1</x:formula2>
    </x:dataValidation>
    <x:dataValidation type="whole" operator="between" sqref="M107">
      <x:formula1>0</x:formula1>
      <x:formula2>1</x:formula2>
    </x:dataValidation>
  </x:dataValidations>
  <x:pageMargins left="0.7" right="0.7" top="0.75" bottom="0.75" header="0.3" footer="0.3"/>
</x:worksheet>
</file>