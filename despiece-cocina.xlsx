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7e4bb88fb3ffb2f3/Desktop/proyecto_terraza/"/>
    </mc:Choice>
  </mc:AlternateContent>
  <xr:revisionPtr revIDLastSave="394" documentId="11_94BACD76368ECBCEC412C0D0708AC5833D8EAE39" xr6:coauthVersionLast="47" xr6:coauthVersionMax="47" xr10:uidLastSave="{F4EBE661-2EB4-46AA-93E2-FC72075785C2}"/>
  <bookViews>
    <workbookView xWindow="-108" yWindow="-108" windowWidth="23256" windowHeight="13896" xr2:uid="{00000000-000D-0000-FFFF-FFFF00000000}"/>
  </bookViews>
  <sheets>
    <sheet name="Despiece" sheetId="1" r:id="rId1"/>
    <sheet name="Pedido de corte" sheetId="9" r:id="rId2"/>
    <sheet name="Compras" sheetId="3" r:id="rId3"/>
    <sheet name="Cantos" sheetId="4" r:id="rId4"/>
    <sheet name="Pendientes" sheetId="10" r:id="rId5"/>
    <sheet name="Decisiones" sheetId="11" r:id="rId6"/>
    <sheet name="Distribució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9" l="1"/>
  <c r="B29" i="6"/>
  <c r="B28" i="6"/>
  <c r="F23" i="6"/>
  <c r="E23" i="6"/>
  <c r="D23" i="6"/>
  <c r="F22" i="6"/>
  <c r="E22" i="6"/>
  <c r="D22" i="6"/>
  <c r="F21" i="6"/>
  <c r="E21" i="6"/>
  <c r="D21" i="6"/>
  <c r="F20" i="6"/>
  <c r="E20" i="6"/>
  <c r="D20" i="6"/>
  <c r="F19" i="6"/>
  <c r="E19" i="6"/>
  <c r="D19" i="6"/>
  <c r="F18" i="6"/>
  <c r="E18" i="6"/>
  <c r="D18" i="6"/>
  <c r="F17" i="6"/>
  <c r="E17" i="6"/>
  <c r="D17" i="6"/>
  <c r="F16" i="6"/>
  <c r="E16" i="6"/>
  <c r="D16" i="6"/>
  <c r="F15" i="6"/>
  <c r="E15" i="6"/>
  <c r="D15" i="6"/>
  <c r="F14" i="6"/>
  <c r="E14" i="6"/>
  <c r="D14" i="6"/>
  <c r="B25" i="6" s="1"/>
  <c r="F13" i="6"/>
  <c r="E13" i="6"/>
  <c r="D12" i="6"/>
  <c r="B7" i="6"/>
  <c r="C12" i="6" s="1"/>
  <c r="B6" i="6"/>
  <c r="D5" i="4"/>
  <c r="E5" i="4" s="1"/>
  <c r="C5" i="4"/>
  <c r="D4" i="4"/>
  <c r="E4" i="4" s="1"/>
  <c r="C4" i="4"/>
  <c r="E39" i="3"/>
  <c r="E40" i="3" s="1"/>
  <c r="E20" i="3"/>
  <c r="E19" i="3"/>
  <c r="E28" i="3"/>
  <c r="E37" i="3" s="1"/>
  <c r="E27" i="3"/>
  <c r="E18" i="3"/>
  <c r="E17" i="3"/>
  <c r="E16" i="3"/>
  <c r="E15" i="3"/>
  <c r="E32" i="3"/>
  <c r="E31" i="3"/>
  <c r="E26" i="3"/>
  <c r="E25" i="3"/>
  <c r="E24" i="3"/>
  <c r="E30" i="3"/>
  <c r="E29" i="3"/>
  <c r="E36" i="3" s="1"/>
  <c r="E23" i="3"/>
  <c r="E22" i="3"/>
  <c r="E21" i="3"/>
  <c r="E35" i="3" s="1"/>
  <c r="E14" i="3"/>
  <c r="E13" i="3"/>
  <c r="E12" i="3"/>
  <c r="E11" i="3"/>
  <c r="E10" i="3"/>
  <c r="E9" i="3"/>
  <c r="E8" i="3"/>
  <c r="E7" i="3"/>
  <c r="E6" i="3"/>
  <c r="E3" i="3"/>
  <c r="E2" i="3"/>
  <c r="M80" i="9"/>
  <c r="K80" i="9"/>
  <c r="J80" i="9"/>
  <c r="I80" i="9"/>
  <c r="H80" i="9"/>
  <c r="G80" i="9"/>
  <c r="F80" i="9"/>
  <c r="E80" i="9"/>
  <c r="D80" i="9"/>
  <c r="C80" i="9"/>
  <c r="B80" i="9"/>
  <c r="A80" i="9"/>
  <c r="M79" i="9"/>
  <c r="K79" i="9"/>
  <c r="J79" i="9"/>
  <c r="I79" i="9"/>
  <c r="H79" i="9"/>
  <c r="G79" i="9"/>
  <c r="F79" i="9"/>
  <c r="E79" i="9"/>
  <c r="D79" i="9"/>
  <c r="C79" i="9"/>
  <c r="B79" i="9"/>
  <c r="A79" i="9"/>
  <c r="M78" i="9"/>
  <c r="L78" i="9"/>
  <c r="N78" i="9" s="1"/>
  <c r="K78" i="9"/>
  <c r="J78" i="9"/>
  <c r="I78" i="9"/>
  <c r="H78" i="9"/>
  <c r="G78" i="9"/>
  <c r="F78" i="9"/>
  <c r="E78" i="9"/>
  <c r="D78" i="9"/>
  <c r="C78" i="9"/>
  <c r="B78" i="9"/>
  <c r="A78" i="9"/>
  <c r="M77" i="9"/>
  <c r="K77" i="9"/>
  <c r="J77" i="9"/>
  <c r="I77" i="9"/>
  <c r="H77" i="9"/>
  <c r="G77" i="9"/>
  <c r="F77" i="9"/>
  <c r="E77" i="9"/>
  <c r="D77" i="9"/>
  <c r="C77" i="9"/>
  <c r="B77" i="9"/>
  <c r="A77" i="9"/>
  <c r="M76" i="9"/>
  <c r="K76" i="9"/>
  <c r="J76" i="9"/>
  <c r="I76" i="9"/>
  <c r="H76" i="9"/>
  <c r="G76" i="9"/>
  <c r="F76" i="9"/>
  <c r="E76" i="9"/>
  <c r="D76" i="9"/>
  <c r="C76" i="9"/>
  <c r="B76" i="9"/>
  <c r="A76" i="9"/>
  <c r="M75" i="9"/>
  <c r="K75" i="9"/>
  <c r="J75" i="9"/>
  <c r="I75" i="9"/>
  <c r="H75" i="9"/>
  <c r="G75" i="9"/>
  <c r="F75" i="9"/>
  <c r="E75" i="9"/>
  <c r="D75" i="9"/>
  <c r="C75" i="9"/>
  <c r="B75" i="9"/>
  <c r="A75" i="9"/>
  <c r="M74" i="9"/>
  <c r="K74" i="9"/>
  <c r="J74" i="9"/>
  <c r="I74" i="9"/>
  <c r="H74" i="9"/>
  <c r="G74" i="9"/>
  <c r="F74" i="9"/>
  <c r="E74" i="9"/>
  <c r="D74" i="9"/>
  <c r="C74" i="9"/>
  <c r="B74" i="9"/>
  <c r="A74" i="9"/>
  <c r="M73" i="9"/>
  <c r="K73" i="9"/>
  <c r="J73" i="9"/>
  <c r="I73" i="9"/>
  <c r="H73" i="9"/>
  <c r="G73" i="9"/>
  <c r="F73" i="9"/>
  <c r="E73" i="9"/>
  <c r="D73" i="9"/>
  <c r="C73" i="9"/>
  <c r="B73" i="9"/>
  <c r="A73" i="9"/>
  <c r="M72" i="9"/>
  <c r="L72" i="9"/>
  <c r="N72" i="9" s="1"/>
  <c r="K72" i="9"/>
  <c r="J72" i="9"/>
  <c r="I72" i="9"/>
  <c r="H72" i="9"/>
  <c r="G72" i="9"/>
  <c r="F72" i="9"/>
  <c r="E72" i="9"/>
  <c r="D72" i="9"/>
  <c r="C72" i="9"/>
  <c r="B72" i="9"/>
  <c r="A72" i="9"/>
  <c r="M71" i="9"/>
  <c r="K71" i="9"/>
  <c r="J71" i="9"/>
  <c r="I71" i="9"/>
  <c r="H71" i="9"/>
  <c r="G71" i="9"/>
  <c r="F71" i="9"/>
  <c r="E71" i="9"/>
  <c r="D71" i="9"/>
  <c r="C71" i="9"/>
  <c r="B71" i="9"/>
  <c r="A71" i="9"/>
  <c r="M70" i="9"/>
  <c r="K70" i="9"/>
  <c r="J70" i="9"/>
  <c r="I70" i="9"/>
  <c r="H70" i="9"/>
  <c r="G70" i="9"/>
  <c r="F70" i="9"/>
  <c r="E70" i="9"/>
  <c r="D70" i="9"/>
  <c r="C70" i="9"/>
  <c r="B70" i="9"/>
  <c r="A70" i="9"/>
  <c r="M69" i="9"/>
  <c r="K69" i="9"/>
  <c r="J69" i="9"/>
  <c r="I69" i="9"/>
  <c r="H69" i="9"/>
  <c r="G69" i="9"/>
  <c r="F69" i="9"/>
  <c r="E69" i="9"/>
  <c r="D69" i="9"/>
  <c r="C69" i="9"/>
  <c r="B69" i="9"/>
  <c r="A69" i="9"/>
  <c r="M68" i="9"/>
  <c r="K68" i="9"/>
  <c r="J68" i="9"/>
  <c r="I68" i="9"/>
  <c r="H68" i="9"/>
  <c r="G68" i="9"/>
  <c r="F68" i="9"/>
  <c r="E68" i="9"/>
  <c r="D68" i="9"/>
  <c r="C68" i="9"/>
  <c r="B68" i="9"/>
  <c r="A68" i="9"/>
  <c r="M67" i="9"/>
  <c r="K67" i="9"/>
  <c r="J67" i="9"/>
  <c r="I67" i="9"/>
  <c r="H67" i="9"/>
  <c r="G67" i="9"/>
  <c r="F67" i="9"/>
  <c r="E67" i="9"/>
  <c r="D67" i="9"/>
  <c r="C67" i="9"/>
  <c r="B67" i="9"/>
  <c r="A67" i="9"/>
  <c r="M66" i="9"/>
  <c r="K66" i="9"/>
  <c r="J66" i="9"/>
  <c r="I66" i="9"/>
  <c r="H66" i="9"/>
  <c r="G66" i="9"/>
  <c r="F66" i="9"/>
  <c r="E66" i="9"/>
  <c r="D66" i="9"/>
  <c r="C66" i="9"/>
  <c r="B66" i="9"/>
  <c r="A66" i="9"/>
  <c r="M65" i="9"/>
  <c r="K65" i="9"/>
  <c r="J65" i="9"/>
  <c r="I65" i="9"/>
  <c r="H65" i="9"/>
  <c r="G65" i="9"/>
  <c r="F65" i="9"/>
  <c r="E65" i="9"/>
  <c r="D65" i="9"/>
  <c r="C65" i="9"/>
  <c r="B65" i="9"/>
  <c r="A65" i="9"/>
  <c r="M64" i="9"/>
  <c r="K64" i="9"/>
  <c r="J64" i="9"/>
  <c r="I64" i="9"/>
  <c r="H64" i="9"/>
  <c r="G64" i="9"/>
  <c r="F64" i="9"/>
  <c r="E64" i="9"/>
  <c r="D64" i="9"/>
  <c r="C64" i="9"/>
  <c r="B64" i="9"/>
  <c r="A64" i="9"/>
  <c r="M63" i="9"/>
  <c r="L63" i="9"/>
  <c r="N63" i="9" s="1"/>
  <c r="K63" i="9"/>
  <c r="J63" i="9"/>
  <c r="I63" i="9"/>
  <c r="H63" i="9"/>
  <c r="G63" i="9"/>
  <c r="F63" i="9"/>
  <c r="E63" i="9"/>
  <c r="D63" i="9"/>
  <c r="C63" i="9"/>
  <c r="B63" i="9"/>
  <c r="A63" i="9"/>
  <c r="M62" i="9"/>
  <c r="K62" i="9"/>
  <c r="J62" i="9"/>
  <c r="I62" i="9"/>
  <c r="H62" i="9"/>
  <c r="G62" i="9"/>
  <c r="F62" i="9"/>
  <c r="E62" i="9"/>
  <c r="D62" i="9"/>
  <c r="C62" i="9"/>
  <c r="B62" i="9"/>
  <c r="A62" i="9"/>
  <c r="M61" i="9"/>
  <c r="K61" i="9"/>
  <c r="J61" i="9"/>
  <c r="I61" i="9"/>
  <c r="H61" i="9"/>
  <c r="G61" i="9"/>
  <c r="F61" i="9"/>
  <c r="E61" i="9"/>
  <c r="D61" i="9"/>
  <c r="C61" i="9"/>
  <c r="B61" i="9"/>
  <c r="A61" i="9"/>
  <c r="M60" i="9"/>
  <c r="K60" i="9"/>
  <c r="J60" i="9"/>
  <c r="I60" i="9"/>
  <c r="H60" i="9"/>
  <c r="G60" i="9"/>
  <c r="F60" i="9"/>
  <c r="E60" i="9"/>
  <c r="D60" i="9"/>
  <c r="C60" i="9"/>
  <c r="B60" i="9"/>
  <c r="A60" i="9"/>
  <c r="M59" i="9"/>
  <c r="K59" i="9"/>
  <c r="J59" i="9"/>
  <c r="I59" i="9"/>
  <c r="H59" i="9"/>
  <c r="G59" i="9"/>
  <c r="F59" i="9"/>
  <c r="E59" i="9"/>
  <c r="D59" i="9"/>
  <c r="C59" i="9"/>
  <c r="B59" i="9"/>
  <c r="A59" i="9"/>
  <c r="M58" i="9"/>
  <c r="K58" i="9"/>
  <c r="J58" i="9"/>
  <c r="I58" i="9"/>
  <c r="H58" i="9"/>
  <c r="G58" i="9"/>
  <c r="F58" i="9"/>
  <c r="E58" i="9"/>
  <c r="D58" i="9"/>
  <c r="C58" i="9"/>
  <c r="B58" i="9"/>
  <c r="A58" i="9"/>
  <c r="M57" i="9"/>
  <c r="L57" i="9"/>
  <c r="N57" i="9" s="1"/>
  <c r="K57" i="9"/>
  <c r="J57" i="9"/>
  <c r="I57" i="9"/>
  <c r="H57" i="9"/>
  <c r="G57" i="9"/>
  <c r="F57" i="9"/>
  <c r="E57" i="9"/>
  <c r="D57" i="9"/>
  <c r="C57" i="9"/>
  <c r="B57" i="9"/>
  <c r="A57" i="9"/>
  <c r="M56" i="9"/>
  <c r="K56" i="9"/>
  <c r="J56" i="9"/>
  <c r="I56" i="9"/>
  <c r="H56" i="9"/>
  <c r="G56" i="9"/>
  <c r="F56" i="9"/>
  <c r="E56" i="9"/>
  <c r="D56" i="9"/>
  <c r="C56" i="9"/>
  <c r="B56" i="9"/>
  <c r="A56" i="9"/>
  <c r="M55" i="9"/>
  <c r="K55" i="9"/>
  <c r="J55" i="9"/>
  <c r="I55" i="9"/>
  <c r="H55" i="9"/>
  <c r="G55" i="9"/>
  <c r="F55" i="9"/>
  <c r="E55" i="9"/>
  <c r="D55" i="9"/>
  <c r="C55" i="9"/>
  <c r="B55" i="9"/>
  <c r="A55" i="9"/>
  <c r="M54" i="9"/>
  <c r="K54" i="9"/>
  <c r="J54" i="9"/>
  <c r="I54" i="9"/>
  <c r="H54" i="9"/>
  <c r="G54" i="9"/>
  <c r="F54" i="9"/>
  <c r="E54" i="9"/>
  <c r="D54" i="9"/>
  <c r="C54" i="9"/>
  <c r="B54" i="9"/>
  <c r="A54" i="9"/>
  <c r="M53" i="9"/>
  <c r="K53" i="9"/>
  <c r="J53" i="9"/>
  <c r="I53" i="9"/>
  <c r="H53" i="9"/>
  <c r="G53" i="9"/>
  <c r="F53" i="9"/>
  <c r="E53" i="9"/>
  <c r="D53" i="9"/>
  <c r="C53" i="9"/>
  <c r="B53" i="9"/>
  <c r="A53" i="9"/>
  <c r="M52" i="9"/>
  <c r="K52" i="9"/>
  <c r="J52" i="9"/>
  <c r="I52" i="9"/>
  <c r="H52" i="9"/>
  <c r="G52" i="9"/>
  <c r="F52" i="9"/>
  <c r="E52" i="9"/>
  <c r="D52" i="9"/>
  <c r="C52" i="9"/>
  <c r="B52" i="9"/>
  <c r="A52" i="9"/>
  <c r="M51" i="9"/>
  <c r="L51" i="9"/>
  <c r="N51" i="9" s="1"/>
  <c r="K51" i="9"/>
  <c r="J51" i="9"/>
  <c r="I51" i="9"/>
  <c r="H51" i="9"/>
  <c r="G51" i="9"/>
  <c r="F51" i="9"/>
  <c r="E51" i="9"/>
  <c r="D51" i="9"/>
  <c r="C51" i="9"/>
  <c r="B51" i="9"/>
  <c r="A51" i="9"/>
  <c r="M50" i="9"/>
  <c r="K50" i="9"/>
  <c r="J50" i="9"/>
  <c r="I50" i="9"/>
  <c r="H50" i="9"/>
  <c r="G50" i="9"/>
  <c r="F50" i="9"/>
  <c r="E50" i="9"/>
  <c r="D50" i="9"/>
  <c r="C50" i="9"/>
  <c r="B50" i="9"/>
  <c r="A50" i="9"/>
  <c r="M49" i="9"/>
  <c r="K49" i="9"/>
  <c r="J49" i="9"/>
  <c r="I49" i="9"/>
  <c r="H49" i="9"/>
  <c r="G49" i="9"/>
  <c r="F49" i="9"/>
  <c r="E49" i="9"/>
  <c r="D49" i="9"/>
  <c r="C49" i="9"/>
  <c r="B49" i="9"/>
  <c r="A49" i="9"/>
  <c r="M48" i="9"/>
  <c r="K48" i="9"/>
  <c r="J48" i="9"/>
  <c r="I48" i="9"/>
  <c r="H48" i="9"/>
  <c r="G48" i="9"/>
  <c r="F48" i="9"/>
  <c r="E48" i="9"/>
  <c r="D48" i="9"/>
  <c r="C48" i="9"/>
  <c r="B48" i="9"/>
  <c r="A48" i="9"/>
  <c r="M47" i="9"/>
  <c r="K47" i="9"/>
  <c r="J47" i="9"/>
  <c r="I47" i="9"/>
  <c r="H47" i="9"/>
  <c r="G47" i="9"/>
  <c r="F47" i="9"/>
  <c r="E47" i="9"/>
  <c r="D47" i="9"/>
  <c r="C47" i="9"/>
  <c r="B47" i="9"/>
  <c r="A47" i="9"/>
  <c r="M46" i="9"/>
  <c r="K46" i="9"/>
  <c r="J46" i="9"/>
  <c r="I46" i="9"/>
  <c r="H46" i="9"/>
  <c r="G46" i="9"/>
  <c r="F46" i="9"/>
  <c r="E46" i="9"/>
  <c r="D46" i="9"/>
  <c r="C46" i="9"/>
  <c r="B46" i="9"/>
  <c r="A46" i="9"/>
  <c r="M45" i="9"/>
  <c r="K45" i="9"/>
  <c r="J45" i="9"/>
  <c r="I45" i="9"/>
  <c r="H45" i="9"/>
  <c r="G45" i="9"/>
  <c r="F45" i="9"/>
  <c r="E45" i="9"/>
  <c r="D45" i="9"/>
  <c r="C45" i="9"/>
  <c r="B45" i="9"/>
  <c r="A45" i="9"/>
  <c r="M44" i="9"/>
  <c r="K44" i="9"/>
  <c r="J44" i="9"/>
  <c r="I44" i="9"/>
  <c r="H44" i="9"/>
  <c r="G44" i="9"/>
  <c r="F44" i="9"/>
  <c r="E44" i="9"/>
  <c r="D44" i="9"/>
  <c r="C44" i="9"/>
  <c r="B44" i="9"/>
  <c r="A44" i="9"/>
  <c r="M43" i="9"/>
  <c r="K43" i="9"/>
  <c r="J43" i="9"/>
  <c r="I43" i="9"/>
  <c r="H43" i="9"/>
  <c r="G43" i="9"/>
  <c r="F43" i="9"/>
  <c r="E43" i="9"/>
  <c r="D43" i="9"/>
  <c r="C43" i="9"/>
  <c r="B43" i="9"/>
  <c r="A43" i="9"/>
  <c r="M42" i="9"/>
  <c r="K42" i="9"/>
  <c r="J42" i="9"/>
  <c r="I42" i="9"/>
  <c r="H42" i="9"/>
  <c r="G42" i="9"/>
  <c r="F42" i="9"/>
  <c r="E42" i="9"/>
  <c r="D42" i="9"/>
  <c r="C42" i="9"/>
  <c r="B42" i="9"/>
  <c r="A42" i="9"/>
  <c r="M41" i="9"/>
  <c r="K41" i="9"/>
  <c r="J41" i="9"/>
  <c r="I41" i="9"/>
  <c r="H41" i="9"/>
  <c r="G41" i="9"/>
  <c r="F41" i="9"/>
  <c r="E41" i="9"/>
  <c r="D41" i="9"/>
  <c r="C41" i="9"/>
  <c r="B41" i="9"/>
  <c r="A41" i="9"/>
  <c r="M40" i="9"/>
  <c r="K40" i="9"/>
  <c r="J40" i="9"/>
  <c r="I40" i="9"/>
  <c r="H40" i="9"/>
  <c r="G40" i="9"/>
  <c r="F40" i="9"/>
  <c r="E40" i="9"/>
  <c r="D40" i="9"/>
  <c r="C40" i="9"/>
  <c r="B40" i="9"/>
  <c r="A40" i="9"/>
  <c r="M39" i="9"/>
  <c r="L39" i="9"/>
  <c r="N39" i="9" s="1"/>
  <c r="K39" i="9"/>
  <c r="J39" i="9"/>
  <c r="I39" i="9"/>
  <c r="H39" i="9"/>
  <c r="G39" i="9"/>
  <c r="F39" i="9"/>
  <c r="E39" i="9"/>
  <c r="D39" i="9"/>
  <c r="C39" i="9"/>
  <c r="B39" i="9"/>
  <c r="A39" i="9"/>
  <c r="M38" i="9"/>
  <c r="K38" i="9"/>
  <c r="J38" i="9"/>
  <c r="I38" i="9"/>
  <c r="H38" i="9"/>
  <c r="G38" i="9"/>
  <c r="F38" i="9"/>
  <c r="E38" i="9"/>
  <c r="D38" i="9"/>
  <c r="C38" i="9"/>
  <c r="B38" i="9"/>
  <c r="A38" i="9"/>
  <c r="M37" i="9"/>
  <c r="K37" i="9"/>
  <c r="J37" i="9"/>
  <c r="I37" i="9"/>
  <c r="H37" i="9"/>
  <c r="G37" i="9"/>
  <c r="F37" i="9"/>
  <c r="E37" i="9"/>
  <c r="D37" i="9"/>
  <c r="C37" i="9"/>
  <c r="B37" i="9"/>
  <c r="A37" i="9"/>
  <c r="M36" i="9"/>
  <c r="K36" i="9"/>
  <c r="J36" i="9"/>
  <c r="I36" i="9"/>
  <c r="H36" i="9"/>
  <c r="G36" i="9"/>
  <c r="F36" i="9"/>
  <c r="E36" i="9"/>
  <c r="D36" i="9"/>
  <c r="C36" i="9"/>
  <c r="B36" i="9"/>
  <c r="A36" i="9"/>
  <c r="M35" i="9"/>
  <c r="K35" i="9"/>
  <c r="J35" i="9"/>
  <c r="I35" i="9"/>
  <c r="H35" i="9"/>
  <c r="G35" i="9"/>
  <c r="F35" i="9"/>
  <c r="E35" i="9"/>
  <c r="D35" i="9"/>
  <c r="C35" i="9"/>
  <c r="B35" i="9"/>
  <c r="A35" i="9"/>
  <c r="M34" i="9"/>
  <c r="K34" i="9"/>
  <c r="J34" i="9"/>
  <c r="I34" i="9"/>
  <c r="H34" i="9"/>
  <c r="G34" i="9"/>
  <c r="F34" i="9"/>
  <c r="E34" i="9"/>
  <c r="D34" i="9"/>
  <c r="C34" i="9"/>
  <c r="B34" i="9"/>
  <c r="A34" i="9"/>
  <c r="M33" i="9"/>
  <c r="K33" i="9"/>
  <c r="J33" i="9"/>
  <c r="I33" i="9"/>
  <c r="H33" i="9"/>
  <c r="G33" i="9"/>
  <c r="F33" i="9"/>
  <c r="E33" i="9"/>
  <c r="D33" i="9"/>
  <c r="C33" i="9"/>
  <c r="B33" i="9"/>
  <c r="A33" i="9"/>
  <c r="M32" i="9"/>
  <c r="L32" i="9"/>
  <c r="N32" i="9" s="1"/>
  <c r="K32" i="9"/>
  <c r="J32" i="9"/>
  <c r="I32" i="9"/>
  <c r="H32" i="9"/>
  <c r="G32" i="9"/>
  <c r="F32" i="9"/>
  <c r="E32" i="9"/>
  <c r="D32" i="9"/>
  <c r="C32" i="9"/>
  <c r="B32" i="9"/>
  <c r="A32" i="9"/>
  <c r="M31" i="9"/>
  <c r="K31" i="9"/>
  <c r="J31" i="9"/>
  <c r="I31" i="9"/>
  <c r="H31" i="9"/>
  <c r="G31" i="9"/>
  <c r="F31" i="9"/>
  <c r="E31" i="9"/>
  <c r="D31" i="9"/>
  <c r="C31" i="9"/>
  <c r="B31" i="9"/>
  <c r="A31" i="9"/>
  <c r="M30" i="9"/>
  <c r="K30" i="9"/>
  <c r="J30" i="9"/>
  <c r="I30" i="9"/>
  <c r="H30" i="9"/>
  <c r="G30" i="9"/>
  <c r="F30" i="9"/>
  <c r="E30" i="9"/>
  <c r="D30" i="9"/>
  <c r="C30" i="9"/>
  <c r="B30" i="9"/>
  <c r="A30" i="9"/>
  <c r="M29" i="9"/>
  <c r="K29" i="9"/>
  <c r="J29" i="9"/>
  <c r="I29" i="9"/>
  <c r="H29" i="9"/>
  <c r="G29" i="9"/>
  <c r="F29" i="9"/>
  <c r="E29" i="9"/>
  <c r="D29" i="9"/>
  <c r="C29" i="9"/>
  <c r="B29" i="9"/>
  <c r="A29" i="9"/>
  <c r="M28" i="9"/>
  <c r="K28" i="9"/>
  <c r="J28" i="9"/>
  <c r="I28" i="9"/>
  <c r="H28" i="9"/>
  <c r="G28" i="9"/>
  <c r="F28" i="9"/>
  <c r="E28" i="9"/>
  <c r="D28" i="9"/>
  <c r="C28" i="9"/>
  <c r="B28" i="9"/>
  <c r="A28" i="9"/>
  <c r="M27" i="9"/>
  <c r="K27" i="9"/>
  <c r="J27" i="9"/>
  <c r="I27" i="9"/>
  <c r="H27" i="9"/>
  <c r="G27" i="9"/>
  <c r="F27" i="9"/>
  <c r="E27" i="9"/>
  <c r="D27" i="9"/>
  <c r="C27" i="9"/>
  <c r="B27" i="9"/>
  <c r="A27" i="9"/>
  <c r="M26" i="9"/>
  <c r="K26" i="9"/>
  <c r="J26" i="9"/>
  <c r="I26" i="9"/>
  <c r="H26" i="9"/>
  <c r="G26" i="9"/>
  <c r="F26" i="9"/>
  <c r="E26" i="9"/>
  <c r="D26" i="9"/>
  <c r="C26" i="9"/>
  <c r="B26" i="9"/>
  <c r="A26" i="9"/>
  <c r="M25" i="9"/>
  <c r="K25" i="9"/>
  <c r="J25" i="9"/>
  <c r="I25" i="9"/>
  <c r="H25" i="9"/>
  <c r="G25" i="9"/>
  <c r="F25" i="9"/>
  <c r="E25" i="9"/>
  <c r="D25" i="9"/>
  <c r="C25" i="9"/>
  <c r="B25" i="9"/>
  <c r="A25" i="9"/>
  <c r="M24" i="9"/>
  <c r="K24" i="9"/>
  <c r="J24" i="9"/>
  <c r="I24" i="9"/>
  <c r="H24" i="9"/>
  <c r="G24" i="9"/>
  <c r="F24" i="9"/>
  <c r="E24" i="9"/>
  <c r="D24" i="9"/>
  <c r="C24" i="9"/>
  <c r="B24" i="9"/>
  <c r="A24" i="9"/>
  <c r="M23" i="9"/>
  <c r="K23" i="9"/>
  <c r="J23" i="9"/>
  <c r="I23" i="9"/>
  <c r="H23" i="9"/>
  <c r="G23" i="9"/>
  <c r="F23" i="9"/>
  <c r="E23" i="9"/>
  <c r="D23" i="9"/>
  <c r="C23" i="9"/>
  <c r="B23" i="9"/>
  <c r="A23" i="9"/>
  <c r="M22" i="9"/>
  <c r="K22" i="9"/>
  <c r="J22" i="9"/>
  <c r="I22" i="9"/>
  <c r="H22" i="9"/>
  <c r="G22" i="9"/>
  <c r="F22" i="9"/>
  <c r="E22" i="9"/>
  <c r="D22" i="9"/>
  <c r="C22" i="9"/>
  <c r="B22" i="9"/>
  <c r="A22" i="9"/>
  <c r="M21" i="9"/>
  <c r="L21" i="9"/>
  <c r="N21" i="9" s="1"/>
  <c r="K21" i="9"/>
  <c r="J21" i="9"/>
  <c r="I21" i="9"/>
  <c r="H21" i="9"/>
  <c r="G21" i="9"/>
  <c r="F21" i="9"/>
  <c r="E21" i="9"/>
  <c r="D21" i="9"/>
  <c r="C21" i="9"/>
  <c r="B21" i="9"/>
  <c r="A21" i="9"/>
  <c r="M20" i="9"/>
  <c r="K20" i="9"/>
  <c r="J20" i="9"/>
  <c r="I20" i="9"/>
  <c r="H20" i="9"/>
  <c r="G20" i="9"/>
  <c r="F20" i="9"/>
  <c r="E20" i="9"/>
  <c r="D20" i="9"/>
  <c r="C20" i="9"/>
  <c r="B20" i="9"/>
  <c r="A20" i="9"/>
  <c r="M19" i="9"/>
  <c r="K19" i="9"/>
  <c r="J19" i="9"/>
  <c r="I19" i="9"/>
  <c r="H19" i="9"/>
  <c r="G19" i="9"/>
  <c r="F19" i="9"/>
  <c r="E19" i="9"/>
  <c r="D19" i="9"/>
  <c r="C19" i="9"/>
  <c r="B19" i="9"/>
  <c r="A19" i="9"/>
  <c r="M18" i="9"/>
  <c r="K18" i="9"/>
  <c r="J18" i="9"/>
  <c r="I18" i="9"/>
  <c r="H18" i="9"/>
  <c r="G18" i="9"/>
  <c r="F18" i="9"/>
  <c r="E18" i="9"/>
  <c r="D18" i="9"/>
  <c r="C18" i="9"/>
  <c r="B18" i="9"/>
  <c r="A18" i="9"/>
  <c r="M17" i="9"/>
  <c r="K17" i="9"/>
  <c r="J17" i="9"/>
  <c r="I17" i="9"/>
  <c r="H17" i="9"/>
  <c r="G17" i="9"/>
  <c r="E17" i="9"/>
  <c r="D17" i="9"/>
  <c r="C17" i="9"/>
  <c r="B17" i="9"/>
  <c r="A17" i="9"/>
  <c r="M16" i="9"/>
  <c r="K16" i="9"/>
  <c r="J16" i="9"/>
  <c r="I16" i="9"/>
  <c r="H16" i="9"/>
  <c r="G16" i="9"/>
  <c r="F16" i="9"/>
  <c r="E16" i="9"/>
  <c r="D16" i="9"/>
  <c r="C16" i="9"/>
  <c r="B16" i="9"/>
  <c r="A16" i="9"/>
  <c r="M15" i="9"/>
  <c r="K15" i="9"/>
  <c r="J15" i="9"/>
  <c r="I15" i="9"/>
  <c r="H15" i="9"/>
  <c r="G15" i="9"/>
  <c r="F15" i="9"/>
  <c r="E15" i="9"/>
  <c r="D15" i="9"/>
  <c r="C15" i="9"/>
  <c r="B15" i="9"/>
  <c r="A15" i="9"/>
  <c r="M14" i="9"/>
  <c r="K14" i="9"/>
  <c r="J14" i="9"/>
  <c r="I14" i="9"/>
  <c r="H14" i="9"/>
  <c r="G14" i="9"/>
  <c r="F14" i="9"/>
  <c r="E14" i="9"/>
  <c r="D14" i="9"/>
  <c r="C14" i="9"/>
  <c r="B14" i="9"/>
  <c r="A14" i="9"/>
  <c r="M13" i="9"/>
  <c r="K13" i="9"/>
  <c r="J13" i="9"/>
  <c r="I13" i="9"/>
  <c r="H13" i="9"/>
  <c r="G13" i="9"/>
  <c r="F13" i="9"/>
  <c r="E13" i="9"/>
  <c r="D13" i="9"/>
  <c r="C13" i="9"/>
  <c r="B13" i="9"/>
  <c r="A13" i="9"/>
  <c r="M12" i="9"/>
  <c r="K12" i="9"/>
  <c r="J12" i="9"/>
  <c r="I12" i="9"/>
  <c r="H12" i="9"/>
  <c r="G12" i="9"/>
  <c r="F12" i="9"/>
  <c r="E12" i="9"/>
  <c r="D12" i="9"/>
  <c r="C12" i="9"/>
  <c r="B12" i="9"/>
  <c r="A12" i="9"/>
  <c r="M11" i="9"/>
  <c r="K11" i="9"/>
  <c r="J11" i="9"/>
  <c r="I11" i="9"/>
  <c r="H11" i="9"/>
  <c r="G11" i="9"/>
  <c r="F11" i="9"/>
  <c r="E11" i="9"/>
  <c r="D11" i="9"/>
  <c r="C11" i="9"/>
  <c r="B11" i="9"/>
  <c r="A11" i="9"/>
  <c r="M10" i="9"/>
  <c r="L10" i="9"/>
  <c r="N10" i="9" s="1"/>
  <c r="K10" i="9"/>
  <c r="J10" i="9"/>
  <c r="I10" i="9"/>
  <c r="H10" i="9"/>
  <c r="G10" i="9"/>
  <c r="F10" i="9"/>
  <c r="E10" i="9"/>
  <c r="D10" i="9"/>
  <c r="C10" i="9"/>
  <c r="B10" i="9"/>
  <c r="A10" i="9"/>
  <c r="M9" i="9"/>
  <c r="K9" i="9"/>
  <c r="J9" i="9"/>
  <c r="I9" i="9"/>
  <c r="H9" i="9"/>
  <c r="G9" i="9"/>
  <c r="F9" i="9"/>
  <c r="E9" i="9"/>
  <c r="D9" i="9"/>
  <c r="C9" i="9"/>
  <c r="B9" i="9"/>
  <c r="A9" i="9"/>
  <c r="M8" i="9"/>
  <c r="K8" i="9"/>
  <c r="J8" i="9"/>
  <c r="I8" i="9"/>
  <c r="H8" i="9"/>
  <c r="G8" i="9"/>
  <c r="F8" i="9"/>
  <c r="E8" i="9"/>
  <c r="D8" i="9"/>
  <c r="C8" i="9"/>
  <c r="B8" i="9"/>
  <c r="A8" i="9"/>
  <c r="M7" i="9"/>
  <c r="K7" i="9"/>
  <c r="J7" i="9"/>
  <c r="I7" i="9"/>
  <c r="H7" i="9"/>
  <c r="G7" i="9"/>
  <c r="F7" i="9"/>
  <c r="E7" i="9"/>
  <c r="D7" i="9"/>
  <c r="C7" i="9"/>
  <c r="B7" i="9"/>
  <c r="A7" i="9"/>
  <c r="G81" i="1"/>
  <c r="G80" i="1"/>
  <c r="M78" i="1"/>
  <c r="L78" i="1"/>
  <c r="L80" i="9" s="1"/>
  <c r="N80" i="9" s="1"/>
  <c r="M77" i="1"/>
  <c r="L77" i="1"/>
  <c r="L79" i="9" s="1"/>
  <c r="N79" i="9" s="1"/>
  <c r="M76" i="1"/>
  <c r="L76" i="1"/>
  <c r="M75" i="1"/>
  <c r="L75" i="1"/>
  <c r="L77" i="9" s="1"/>
  <c r="N77" i="9" s="1"/>
  <c r="M74" i="1"/>
  <c r="L74" i="1"/>
  <c r="L76" i="9" s="1"/>
  <c r="N76" i="9" s="1"/>
  <c r="M73" i="1"/>
  <c r="L73" i="1"/>
  <c r="L75" i="9" s="1"/>
  <c r="N75" i="9" s="1"/>
  <c r="M72" i="1"/>
  <c r="L72" i="1"/>
  <c r="L74" i="9" s="1"/>
  <c r="N74" i="9" s="1"/>
  <c r="M71" i="1"/>
  <c r="L71" i="1"/>
  <c r="L73" i="9" s="1"/>
  <c r="N73" i="9" s="1"/>
  <c r="M70" i="1"/>
  <c r="L70" i="1"/>
  <c r="M69" i="1"/>
  <c r="L69" i="1"/>
  <c r="L71" i="9" s="1"/>
  <c r="N71" i="9" s="1"/>
  <c r="M68" i="1"/>
  <c r="L68" i="1"/>
  <c r="L70" i="9" s="1"/>
  <c r="N70" i="9" s="1"/>
  <c r="M67" i="1"/>
  <c r="L67" i="1"/>
  <c r="L69" i="9" s="1"/>
  <c r="N69" i="9" s="1"/>
  <c r="M66" i="1"/>
  <c r="L66" i="1"/>
  <c r="L68" i="9" s="1"/>
  <c r="N68" i="9" s="1"/>
  <c r="M65" i="1"/>
  <c r="L65" i="1"/>
  <c r="L67" i="9" s="1"/>
  <c r="N67" i="9" s="1"/>
  <c r="M64" i="1"/>
  <c r="L64" i="1"/>
  <c r="L66" i="9" s="1"/>
  <c r="N66" i="9" s="1"/>
  <c r="M63" i="1"/>
  <c r="L63" i="1"/>
  <c r="L65" i="9" s="1"/>
  <c r="N65" i="9" s="1"/>
  <c r="M62" i="1"/>
  <c r="L62" i="1"/>
  <c r="L64" i="9" s="1"/>
  <c r="N64" i="9" s="1"/>
  <c r="M61" i="1"/>
  <c r="L61" i="1"/>
  <c r="M60" i="1"/>
  <c r="L60" i="1"/>
  <c r="L62" i="9" s="1"/>
  <c r="N62" i="9" s="1"/>
  <c r="M59" i="1"/>
  <c r="L59" i="1"/>
  <c r="L61" i="9" s="1"/>
  <c r="N61" i="9" s="1"/>
  <c r="M58" i="1"/>
  <c r="L58" i="1"/>
  <c r="L60" i="9" s="1"/>
  <c r="N60" i="9" s="1"/>
  <c r="M57" i="1"/>
  <c r="L57" i="1"/>
  <c r="L59" i="9" s="1"/>
  <c r="N59" i="9" s="1"/>
  <c r="M56" i="1"/>
  <c r="L56" i="1"/>
  <c r="L58" i="9" s="1"/>
  <c r="N58" i="9" s="1"/>
  <c r="M55" i="1"/>
  <c r="L55" i="1"/>
  <c r="M54" i="1"/>
  <c r="L54" i="1"/>
  <c r="L56" i="9" s="1"/>
  <c r="N56" i="9" s="1"/>
  <c r="M53" i="1"/>
  <c r="L53" i="1"/>
  <c r="L55" i="9" s="1"/>
  <c r="N55" i="9" s="1"/>
  <c r="M52" i="1"/>
  <c r="L52" i="1"/>
  <c r="L54" i="9" s="1"/>
  <c r="N54" i="9" s="1"/>
  <c r="M51" i="1"/>
  <c r="L51" i="1"/>
  <c r="L53" i="9" s="1"/>
  <c r="N53" i="9" s="1"/>
  <c r="M50" i="1"/>
  <c r="L50" i="1"/>
  <c r="L52" i="9" s="1"/>
  <c r="N52" i="9" s="1"/>
  <c r="M49" i="1"/>
  <c r="L49" i="1"/>
  <c r="M48" i="1"/>
  <c r="L48" i="1"/>
  <c r="L50" i="9" s="1"/>
  <c r="N50" i="9" s="1"/>
  <c r="M47" i="1"/>
  <c r="L47" i="1"/>
  <c r="L49" i="9" s="1"/>
  <c r="N49" i="9" s="1"/>
  <c r="M46" i="1"/>
  <c r="L48" i="9" s="1"/>
  <c r="L46" i="1"/>
  <c r="M45" i="1"/>
  <c r="L45" i="1"/>
  <c r="L47" i="9" s="1"/>
  <c r="N47" i="9" s="1"/>
  <c r="M44" i="1"/>
  <c r="L44" i="1"/>
  <c r="L46" i="9" s="1"/>
  <c r="N46" i="9" s="1"/>
  <c r="M43" i="1"/>
  <c r="L43" i="1"/>
  <c r="L45" i="9" s="1"/>
  <c r="N45" i="9" s="1"/>
  <c r="M42" i="1"/>
  <c r="L42" i="1"/>
  <c r="L44" i="9" s="1"/>
  <c r="N44" i="9" s="1"/>
  <c r="M41" i="1"/>
  <c r="L41" i="1"/>
  <c r="L43" i="9" s="1"/>
  <c r="N43" i="9" s="1"/>
  <c r="M40" i="1"/>
  <c r="L40" i="1"/>
  <c r="L42" i="9" s="1"/>
  <c r="M39" i="1"/>
  <c r="L39" i="1"/>
  <c r="L41" i="9" s="1"/>
  <c r="N41" i="9" s="1"/>
  <c r="M38" i="1"/>
  <c r="L38" i="1"/>
  <c r="L40" i="9" s="1"/>
  <c r="N40" i="9" s="1"/>
  <c r="M37" i="1"/>
  <c r="L37" i="1"/>
  <c r="M36" i="1"/>
  <c r="L36" i="1"/>
  <c r="L38" i="9" s="1"/>
  <c r="N38" i="9" s="1"/>
  <c r="M35" i="1"/>
  <c r="L35" i="1"/>
  <c r="L37" i="9" s="1"/>
  <c r="N37" i="9" s="1"/>
  <c r="M34" i="1"/>
  <c r="L34" i="1"/>
  <c r="L36" i="9" s="1"/>
  <c r="N36" i="9" s="1"/>
  <c r="M33" i="1"/>
  <c r="L35" i="9" s="1"/>
  <c r="N35" i="9" s="1"/>
  <c r="L33" i="1"/>
  <c r="M32" i="1"/>
  <c r="L32" i="1"/>
  <c r="L34" i="9" s="1"/>
  <c r="N34" i="9" s="1"/>
  <c r="M31" i="1"/>
  <c r="L31" i="1"/>
  <c r="L33" i="9" s="1"/>
  <c r="N33" i="9" s="1"/>
  <c r="M30" i="1"/>
  <c r="L30" i="1"/>
  <c r="M29" i="1"/>
  <c r="L29" i="1"/>
  <c r="L31" i="9" s="1"/>
  <c r="N31" i="9" s="1"/>
  <c r="M28" i="1"/>
  <c r="L28" i="1"/>
  <c r="L30" i="9" s="1"/>
  <c r="N30" i="9" s="1"/>
  <c r="M27" i="1"/>
  <c r="L27" i="1"/>
  <c r="L29" i="9" s="1"/>
  <c r="N29" i="9" s="1"/>
  <c r="M26" i="1"/>
  <c r="L26" i="1"/>
  <c r="M25" i="1"/>
  <c r="L25" i="1"/>
  <c r="L27" i="9" s="1"/>
  <c r="N27" i="9" s="1"/>
  <c r="M24" i="1"/>
  <c r="L24" i="1"/>
  <c r="L26" i="9" s="1"/>
  <c r="N26" i="9" s="1"/>
  <c r="M23" i="1"/>
  <c r="L23" i="1"/>
  <c r="L25" i="9" s="1"/>
  <c r="N25" i="9" s="1"/>
  <c r="M22" i="1"/>
  <c r="L22" i="1"/>
  <c r="L24" i="9" s="1"/>
  <c r="N24" i="9" s="1"/>
  <c r="M21" i="1"/>
  <c r="L21" i="1"/>
  <c r="L23" i="9" s="1"/>
  <c r="N23" i="9" s="1"/>
  <c r="M20" i="1"/>
  <c r="L20" i="1"/>
  <c r="L22" i="9" s="1"/>
  <c r="N22" i="9" s="1"/>
  <c r="M19" i="1"/>
  <c r="L19" i="1"/>
  <c r="M18" i="1"/>
  <c r="L18" i="1"/>
  <c r="L20" i="9" s="1"/>
  <c r="N20" i="9" s="1"/>
  <c r="M17" i="1"/>
  <c r="L17" i="1"/>
  <c r="L19" i="9" s="1"/>
  <c r="N19" i="9" s="1"/>
  <c r="M16" i="1"/>
  <c r="L16" i="1"/>
  <c r="L18" i="9" s="1"/>
  <c r="N18" i="9" s="1"/>
  <c r="M15" i="1"/>
  <c r="L15" i="1"/>
  <c r="L17" i="9" s="1"/>
  <c r="N17" i="9" s="1"/>
  <c r="M14" i="1"/>
  <c r="L14" i="1"/>
  <c r="L16" i="9" s="1"/>
  <c r="N16" i="9" s="1"/>
  <c r="M13" i="1"/>
  <c r="L13" i="1"/>
  <c r="L15" i="9" s="1"/>
  <c r="N15" i="9" s="1"/>
  <c r="M12" i="1"/>
  <c r="L12" i="1"/>
  <c r="L14" i="9" s="1"/>
  <c r="N14" i="9" s="1"/>
  <c r="M11" i="1"/>
  <c r="L11" i="1"/>
  <c r="L13" i="9" s="1"/>
  <c r="N13" i="9" s="1"/>
  <c r="M10" i="1"/>
  <c r="L10" i="1"/>
  <c r="L12" i="9" s="1"/>
  <c r="N12" i="9" s="1"/>
  <c r="M9" i="1"/>
  <c r="L9" i="1"/>
  <c r="L11" i="9" s="1"/>
  <c r="N11" i="9" s="1"/>
  <c r="M8" i="1"/>
  <c r="L8" i="1"/>
  <c r="M7" i="1"/>
  <c r="L7" i="1"/>
  <c r="L9" i="9" s="1"/>
  <c r="N9" i="9" s="1"/>
  <c r="M6" i="1"/>
  <c r="L6" i="1"/>
  <c r="L8" i="9" s="1"/>
  <c r="N8" i="9" s="1"/>
  <c r="M5" i="1"/>
  <c r="L5" i="1"/>
  <c r="L7" i="9" s="1"/>
  <c r="F5" i="4" l="1"/>
  <c r="C5" i="3" s="1"/>
  <c r="E5" i="3" s="1"/>
  <c r="L28" i="9"/>
  <c r="F4" i="4"/>
  <c r="C4" i="3" s="1"/>
  <c r="E4" i="3" s="1"/>
  <c r="B12" i="6"/>
  <c r="B13" i="6"/>
  <c r="N42" i="9"/>
  <c r="G88" i="9"/>
  <c r="F88" i="9"/>
  <c r="N7" i="9"/>
  <c r="N48" i="9"/>
  <c r="F83" i="9"/>
  <c r="E34" i="3"/>
  <c r="N28" i="9" l="1"/>
  <c r="G85" i="9"/>
  <c r="G83" i="9"/>
  <c r="F89" i="9" s="1"/>
  <c r="F92" i="9" s="1"/>
  <c r="F96" i="9" s="1"/>
  <c r="G84" i="9"/>
  <c r="G89" i="9" s="1"/>
  <c r="G92" i="9" s="1"/>
  <c r="G96" i="9" s="1"/>
  <c r="F85" i="9"/>
  <c r="F84" i="9"/>
  <c r="E33" i="3"/>
  <c r="E38" i="3"/>
  <c r="B19" i="6"/>
  <c r="C19" i="6" s="1"/>
  <c r="C13" i="6"/>
  <c r="B14" i="6" s="1"/>
  <c r="C14" i="6" s="1"/>
  <c r="B15" i="6" s="1"/>
  <c r="B20" i="6" l="1"/>
  <c r="C20" i="6" s="1"/>
  <c r="B21" i="6" s="1"/>
  <c r="C21" i="6" s="1"/>
  <c r="B22" i="6" s="1"/>
  <c r="C22" i="6" s="1"/>
  <c r="B23" i="6" s="1"/>
  <c r="C23" i="6" s="1"/>
  <c r="C15" i="6"/>
  <c r="B16" i="6" s="1"/>
  <c r="C16" i="6" s="1"/>
  <c r="B17" i="6" s="1"/>
  <c r="C17" i="6" s="1"/>
  <c r="B18" i="6" s="1"/>
  <c r="C18" i="6" s="1"/>
  <c r="B26" i="6" s="1"/>
  <c r="B27" i="6" s="1"/>
</calcChain>
</file>

<file path=xl/sharedStrings.xml><?xml version="1.0" encoding="utf-8"?>
<sst xmlns="http://schemas.openxmlformats.org/spreadsheetml/2006/main" count="980" uniqueCount="415">
  <si>
    <t>Diseño final 260 · condimentero, puertas y basurero · tablero RH 15 mm / fondos 6 mm</t>
  </si>
  <si>
    <t>Módulos exteriores 180 + 600 + 670 + 700 + 400 = 2550; terminal 15 y vuelos 15/20 completan mesón 2600. L = sentido de veta.</t>
  </si>
  <si>
    <t>N°</t>
  </si>
  <si>
    <t>Módulo</t>
  </si>
  <si>
    <t>Pieza</t>
  </si>
  <si>
    <t>Material</t>
  </si>
  <si>
    <t>Largo veta terminado (mm)</t>
  </si>
  <si>
    <t>Ancho terminado (mm)</t>
  </si>
  <si>
    <t>Cant.</t>
  </si>
  <si>
    <t>Canto L1</t>
  </si>
  <si>
    <t>Canto L2</t>
  </si>
  <si>
    <t>Canto A1</t>
  </si>
  <si>
    <t>Canto A2</t>
  </si>
  <si>
    <t>Largo corte teórico (mm)</t>
  </si>
  <si>
    <t>Ancho corte teórico (mm)</t>
  </si>
  <si>
    <t>P001</t>
  </si>
  <si>
    <t>B1 Condimentero 18</t>
  </si>
  <si>
    <t>Lateral</t>
  </si>
  <si>
    <t>Melamina Cartagena RH 15</t>
  </si>
  <si>
    <t>2</t>
  </si>
  <si>
    <t>—</t>
  </si>
  <si>
    <t>0.45</t>
  </si>
  <si>
    <t>P002</t>
  </si>
  <si>
    <t>Piso</t>
  </si>
  <si>
    <t>P003</t>
  </si>
  <si>
    <t>Travesaño horizontal</t>
  </si>
  <si>
    <t>P004</t>
  </si>
  <si>
    <t>Fondo clavado atrás</t>
  </si>
  <si>
    <t>Fondo melamina 6</t>
  </si>
  <si>
    <t>P005</t>
  </si>
  <si>
    <t>Frente condimentero</t>
  </si>
  <si>
    <t>P006</t>
  </si>
  <si>
    <t>B2 Horno y estufa 60</t>
  </si>
  <si>
    <t>P007</t>
  </si>
  <si>
    <t>Piso de apoyo horno (validar montaje)</t>
  </si>
  <si>
    <t>P008</t>
  </si>
  <si>
    <t>Travesaño trasero</t>
  </si>
  <si>
    <t>P009</t>
  </si>
  <si>
    <t>Repisa sobre horno (posición por manual)</t>
  </si>
  <si>
    <t>P010</t>
  </si>
  <si>
    <t>Listón frontal de apoyo del mesón (de canto)</t>
  </si>
  <si>
    <t>P011</t>
  </si>
  <si>
    <t>Panel fijo bajo estufa (ajustar con equipo)</t>
  </si>
  <si>
    <t>P012</t>
  </si>
  <si>
    <t>B3 Cubiertero y puertas 67</t>
  </si>
  <si>
    <t>P013</t>
  </si>
  <si>
    <t>P014</t>
  </si>
  <si>
    <t>P015</t>
  </si>
  <si>
    <t>P016</t>
  </si>
  <si>
    <t>Frente cajón superior cubiertero</t>
  </si>
  <si>
    <t>P017</t>
  </si>
  <si>
    <t>Cajón: base aplicada inferior</t>
  </si>
  <si>
    <t>P018</t>
  </si>
  <si>
    <t>Cajón: costado</t>
  </si>
  <si>
    <t>P019</t>
  </si>
  <si>
    <t>Cajón: frente y trasero interiores</t>
  </si>
  <si>
    <t>P020</t>
  </si>
  <si>
    <t>Puerta inferior izquierda</t>
  </si>
  <si>
    <t>P021</t>
  </si>
  <si>
    <t>Puerta inferior derecha</t>
  </si>
  <si>
    <t>P022</t>
  </si>
  <si>
    <t>Entrepaño regulable inferior</t>
  </si>
  <si>
    <t>P023</t>
  </si>
  <si>
    <t>B5 Lavaplatos 70</t>
  </si>
  <si>
    <t>P024</t>
  </si>
  <si>
    <t>P025</t>
  </si>
  <si>
    <t>Travesaño de canto</t>
  </si>
  <si>
    <t>P026</t>
  </si>
  <si>
    <t>P027</t>
  </si>
  <si>
    <t>Puerta izquierda</t>
  </si>
  <si>
    <t>P028</t>
  </si>
  <si>
    <t>Puerta derecha</t>
  </si>
  <si>
    <t>P029</t>
  </si>
  <si>
    <t>Entrepaño desmontable; recortar sifón en obra</t>
  </si>
  <si>
    <t>P030</t>
  </si>
  <si>
    <t>B4 Basurero y puerta 40</t>
  </si>
  <si>
    <t>P031</t>
  </si>
  <si>
    <t>P032</t>
  </si>
  <si>
    <t>P033</t>
  </si>
  <si>
    <t>P034</t>
  </si>
  <si>
    <t>Entrepaño FIJO separador superior/basurero</t>
  </si>
  <si>
    <t>P035</t>
  </si>
  <si>
    <t>Puerta superior</t>
  </si>
  <si>
    <t>P036</t>
  </si>
  <si>
    <t>Frente inferior extraíble basurero</t>
  </si>
  <si>
    <t>P072</t>
  </si>
  <si>
    <t>PROVISIONAL plataforma basurero; confirmar ancho por riel</t>
  </si>
  <si>
    <t>P073</t>
  </si>
  <si>
    <t>PROVISIONAL larguero bajo plataforma basurero</t>
  </si>
  <si>
    <t>P074</t>
  </si>
  <si>
    <t>PROVISIONAL travesaño bajo plataforma basurero</t>
  </si>
  <si>
    <t>P037</t>
  </si>
  <si>
    <t>B6 Terminación</t>
  </si>
  <si>
    <t>Costado de terminación</t>
  </si>
  <si>
    <t>P038</t>
  </si>
  <si>
    <t>Zócalo retranqueado (dos tramos)</t>
  </si>
  <si>
    <t>P039</t>
  </si>
  <si>
    <t>S1 Alacena 19,5</t>
  </si>
  <si>
    <t>P040</t>
  </si>
  <si>
    <t>Techo</t>
  </si>
  <si>
    <t>P041</t>
  </si>
  <si>
    <t>P042</t>
  </si>
  <si>
    <t>Fondo</t>
  </si>
  <si>
    <t>P043</t>
  </si>
  <si>
    <t>Entrepaño regulable</t>
  </si>
  <si>
    <t>P044</t>
  </si>
  <si>
    <t>Puerta</t>
  </si>
  <si>
    <t>P045</t>
  </si>
  <si>
    <t>S2 Gabinete ducto 60</t>
  </si>
  <si>
    <t>P046</t>
  </si>
  <si>
    <t>Techo (perforar solo si el ducto sale hacia arriba; definir con manual)</t>
  </si>
  <si>
    <t>P047</t>
  </si>
  <si>
    <t>Piso elevado 40 mm para agarre inferior; perforar para ducto (diámetro y posición según manual de campana)</t>
  </si>
  <si>
    <t>P048</t>
  </si>
  <si>
    <t>P049</t>
  </si>
  <si>
    <t>Puerta abatible superior</t>
  </si>
  <si>
    <t>P071</t>
  </si>
  <si>
    <t>Faja retranqueada de agarre sobre campana</t>
  </si>
  <si>
    <t>P050</t>
  </si>
  <si>
    <t>S3 Alacena 65,5</t>
  </si>
  <si>
    <t>P051</t>
  </si>
  <si>
    <t>P052</t>
  </si>
  <si>
    <t>P053</t>
  </si>
  <si>
    <t>P054</t>
  </si>
  <si>
    <t>División vertical</t>
  </si>
  <si>
    <t>P055</t>
  </si>
  <si>
    <t>P056</t>
  </si>
  <si>
    <t>P057</t>
  </si>
  <si>
    <t>P058</t>
  </si>
  <si>
    <t>S4 Platero 71,5</t>
  </si>
  <si>
    <t>P059</t>
  </si>
  <si>
    <t>P060</t>
  </si>
  <si>
    <t>Listón inferior delantero</t>
  </si>
  <si>
    <t>P061</t>
  </si>
  <si>
    <t>Listón inferior trasero</t>
  </si>
  <si>
    <t>P062</t>
  </si>
  <si>
    <t>P063</t>
  </si>
  <si>
    <t>P064</t>
  </si>
  <si>
    <t>P065</t>
  </si>
  <si>
    <t>S5 Alacena 40</t>
  </si>
  <si>
    <t>P066</t>
  </si>
  <si>
    <t>P067</t>
  </si>
  <si>
    <t>P068</t>
  </si>
  <si>
    <t>P069</t>
  </si>
  <si>
    <t>P070</t>
  </si>
  <si>
    <t>Total piezas melamina</t>
  </si>
  <si>
    <t>Total piezas de fondo 6 mm</t>
  </si>
  <si>
    <t>Observaciones fijas por pieza</t>
  </si>
  <si>
    <t>Pedido de corte y canteado · cocina final 260</t>
  </si>
  <si>
    <t>¿El proveedor pide medida terminada y descuenta el canto? (SÍ/NO)</t>
  </si>
  <si>
    <t>Supuestos por confirmar en la sucursal: Q2 cambia la medida que se pide; Q3 y Q4 marcan qué piezas pueden rechazar.</t>
  </si>
  <si>
    <t>ID</t>
  </si>
  <si>
    <t>Módulo / grupo</t>
  </si>
  <si>
    <t>Largo a pedir (veta)</t>
  </si>
  <si>
    <t>Ancho a pedir</t>
  </si>
  <si>
    <t>Largo 1</t>
  </si>
  <si>
    <t>Largo 2</t>
  </si>
  <si>
    <t>Corto 1</t>
  </si>
  <si>
    <t>Corto 2</t>
  </si>
  <si>
    <t>Canteo</t>
  </si>
  <si>
    <t>Medida terminada</t>
  </si>
  <si>
    <t>Observaciones</t>
  </si>
  <si>
    <t>Perforación del ducto en obra, según manual de la campana.</t>
  </si>
  <si>
    <t>Angosta con canto rígido de 2 mm: preguntar si la canteadora la acepta; si no, canteadora manual en taller.</t>
  </si>
  <si>
    <t>Metros netos de canto</t>
  </si>
  <si>
    <t>Normal</t>
  </si>
  <si>
    <t>Pequeña</t>
  </si>
  <si>
    <t>Rígido 2 mm</t>
  </si>
  <si>
    <t>Flexible 0,45 mm</t>
  </si>
  <si>
    <t>Piezas (unidades)</t>
  </si>
  <si>
    <t>Bordes a cantear a mano</t>
  </si>
  <si>
    <t>Metros netos</t>
  </si>
  <si>
    <t>Desperdicio por borde a mano (m)</t>
  </si>
  <si>
    <t>Margen de seguridad</t>
  </si>
  <si>
    <t>Perfil gola superior × 3 m</t>
  </si>
  <si>
    <t>Perfil gola media × 3 m</t>
  </si>
  <si>
    <t>Grupo</t>
  </si>
  <si>
    <t>Ítem</t>
  </si>
  <si>
    <t>Precio unitario (COP)</t>
  </si>
  <si>
    <t>Subtotal (COP)</t>
  </si>
  <si>
    <t>Fuente / nota</t>
  </si>
  <si>
    <t>Tableros y cantos</t>
  </si>
  <si>
    <t>Tablero melamina Cartagena RH 15 mm, 2,15 × 2,44</t>
  </si>
  <si>
    <t>Fondo melamina blanco nevado RH 6 mm, 2,15 × 2,44</t>
  </si>
  <si>
    <t>Canto rígido Cartagena 19 × 2 mm · rollo 100 m</t>
  </si>
  <si>
    <t>Canto flexible Cartagena 19 × 0,45 mm · rollo 200 m</t>
  </si>
  <si>
    <t>Herrajes</t>
  </si>
  <si>
    <t>Riel Bonuit HRE550-55N · negro · 550 mm · cierre lento 30 kg · par</t>
  </si>
  <si>
    <t>Solo cajón cubiertero B3. Vano 640 − 27 = caja 613; interior 583 × 520. Precio previo 47.034 COP/par. B4 lleva plataforma RH sin paredes encima y otro par HRE126-55.</t>
  </si>
  <si>
    <t>Bisagra parche HBM897-01 · par</t>
  </si>
  <si>
    <t>Platero HSO566-03G · nominal 700 mm · herraje 680 × 245</t>
  </si>
  <si>
    <t>HSO566-03G gris antracita: precio conservado $63.539. Ficha transcrita por usuario: 680 × 245, carga máxima 7 kg, acero 201 pintado, cuatro fijaciones Ø10; cotas y profundidad de taladro a verificar con pieza real. Marcar en obra.</t>
  </si>
  <si>
    <t>Cubiertero HSC910-40 · 360 × 480 × 50 mm</t>
  </si>
  <si>
    <t>360 × 480 × 50 en interior B3 de 583 × 520; removible a un lado, sin divisor fijo.</t>
  </si>
  <si>
    <t>Pata niveladora para zócalo 100 mm</t>
  </si>
  <si>
    <t>Colgador regulable para gabinete superior (par)</t>
  </si>
  <si>
    <t>cotizar</t>
  </si>
  <si>
    <t>Soportes de entrepaño y tornillería</t>
  </si>
  <si>
    <t>Mesón y equipos</t>
  </si>
  <si>
    <t>Mesón Crema Marfil 260 × 62 cm · código 519014</t>
  </si>
  <si>
    <t>Placa de 15 mm confirmada por usuario y ficha Homecenter. Precio $1.486.300 conservado. Recortes, material final, apoyos y posible borde engrosado por definir. La ficha mezcla 260/150 cm y granito/cuarzo: confirmar suministro concreto. https://www.homecenter.com.co/homecenter-co/product/519014/meson-granito-natural-crema-marfil-260-cm-x-62-cm/519014/</t>
  </si>
  <si>
    <t>Lavaplatos Socoda AS350 satinado · submontar 1 poceta 55 × 43 cm · código 87730</t>
  </si>
  <si>
    <t>Socoda AS350 satinado, código 87730: $209.900 conservados. 550 × 430 EXTERIORES, profundidad 165 mm. Abertura interior 490 × 370 según ficha descrita por usuario. Submontar: pestaña bajo placa, con anclaje/soporte compatibles. Hueco de corte lo define plantilla Socoda y acabado del borde; 490 × 370 solo referencia 3D. https://www.homecenter.com.co/homecenter-co/product/87730/lavaplatos-de-submontar-1-poceta-55x43-cm-acero-inoxidable-socoda/87730/</t>
  </si>
  <si>
    <t>Combo CA3057: campana Tofu negro 60 cm + horno H60EEVAL005 + estufa CCR60-F4P-SBF031</t>
  </si>
  <si>
    <t>Precio aportado por el usuario el 25/10/2026 por el combo completo. Horno mixto 110 V/gas natural; estufa cristal gas natural 60 × 51 cm.</t>
  </si>
  <si>
    <t>Servicios</t>
  </si>
  <si>
    <t>Corte y canteado de piezas</t>
  </si>
  <si>
    <t>P072–P074 son cortes PROVISIONALES internos: confirmar herraje y bandeja reales antes de cortar. Canto en bordes vistos y en piezas expuestas a humedad (hoja Cantos); los bordes ocultos contra otra pieza van sin canto; sin taladros de platero de fábrica. Incluye armado rígido del frente a bastidor, sin depender solo del canto de 15 mm.</t>
  </si>
  <si>
    <t>Cortes y pulido del mesón (lavaplatos y estufa)</t>
  </si>
  <si>
    <t>Plantillas y recortes en placa 15 mm. Lavaplatos 550 × 430 exterior NO es medida de hueco; referencia 3D 490 × 370, plantilla Socoda y tipo de borde mandan. Profundidad 165. Marmolero define radios, tolerancias, apoyos y anclajes; recorte estufa sigue por manual. Borde engrosado opcional por cotizar.</t>
  </si>
  <si>
    <t>Grifería de cocina</t>
  </si>
  <si>
    <t>Seleccionar modelo y conexiones.</t>
  </si>
  <si>
    <t>Desagüe, canastilla, sifón y acoples</t>
  </si>
  <si>
    <t>Sifón y llaves deben permitir retirar el entrepaño del B5. No incluye canasta bajo fregadero.</t>
  </si>
  <si>
    <t>Ducto y accesorios de campana</t>
  </si>
  <si>
    <t>Definir según modelo Haceb, diámetro y salida. Perforar el piso P047 (y el techo P046 si sale hacia arriba) según manual.</t>
  </si>
  <si>
    <t>Armado e instalación de muebles y mesón</t>
  </si>
  <si>
    <t>24 patas: 20 apoyos básicos de cinco módulos + cuatro refuerzos por definir. Anclajes contra desplazamiento, colgadores y soporte del fregadero según muro/cargas.</t>
  </si>
  <si>
    <t>Transporte y subida de materiales</t>
  </si>
  <si>
    <t>Ingresar 0 únicamente si se confirma incluido.</t>
  </si>
  <si>
    <t>Condimentero Bonuit HSO317-15R · tres niveles · cierre lento</t>
  </si>
  <si>
    <t>Precio aportado por usuario 26/10/2026. Módulo nominal 150 × 500 × 600, herraje 100 × 446 × 470; con rieles laterales el conjunto mide 135 mm (medido por el usuario), por eso B1 es de 180 exterior (150 libres). Incluye rieles y enganches; no comprar otro par. https://madecentro.com/products/canasta-condimentero-tres-niveles-gris-antracita-cierre-lento-copia</t>
  </si>
  <si>
    <t>Basurero Bonuit HSO688-00 · bandeja y 2 recipientes · 12 L</t>
  </si>
  <si>
    <t>Precio aportado por usuario 26/10/2026. Herraje 485 × 330 × 215, módulo nominal 400. NO incluye sistema extraíble. https://madecentro.com/collections/herrajes-para-cocina/products/hso688-00-basureras-y-estructura-plastica-gris-de-12l-2-basureas-330x485x215mm-para-modulo-de-400</t>
  </si>
  <si>
    <t>Riel Mobile HRE126-55 · 550 mm · extensión total 38 kg · cierre normal · par</t>
  </si>
  <si>
    <t>Precio consultado 26/10/2026 para variante 55 cm. Incluye par y 12 tornillos. Montaje lateral VERTICAL en largueros inferiores, no acostado. Descuento de ancho, altura y perforación pendientes de ficha HRE126. https://madecentro.com/products/riel-corredera-para-cajon-de-extension-total-carga-media-38-kg?variant=45720301699302</t>
  </si>
  <si>
    <t>Riel mural y fijaciones compatibles con colgadores superiores</t>
  </si>
  <si>
    <t>Sistema para 5 gabinetes; S1 luz 165. Dimensionar anclajes según farol/muro real, carga y fabricante. No hay suspensión de bajos a 45°.</t>
  </si>
  <si>
    <t>Soporte mecánico compatible para lavaplatos de submontar</t>
  </si>
  <si>
    <t>Definir con Socoda/marmolero para placa 15 mm. Travesaños no sustituyen la validación del soporte de cubeta y agua.</t>
  </si>
  <si>
    <t>Accesorios</t>
  </si>
  <si>
    <t>Escurridor sobre mesón (opcional)</t>
  </si>
  <si>
    <t>Zona derecha de 40 cm; dibujo ilustrativo 375 × 400, confirmar modelo. Escribir 0 solo si ya se tiene y se reutiliza.</t>
  </si>
  <si>
    <t>Brazo neumático Bonuit HEC060-03 · 60 N · gris (unidad)</t>
  </si>
  <si>
    <t>2 por módulo de 600; 9.126 COP/unidad aportados por usuario 26/10/2026. Incluye platinas y tornillos; requiere bisagras (dos superiores ya previstas, sin duplicarlas). Fuerza y montaje a validar con peso real de puerta; 2,07 kg es aproximación del usuario. https://madecentro.com/products/hec060-03-brazo-neumatico-cierre-lento-60n</t>
  </si>
  <si>
    <t>Fijaciones de gola con tornillo · previsión compatible</t>
  </si>
  <si>
    <t>8 extremos de cuatro tramos + 2 apoyos intermedios en superior de 1770 mm. Previsión de diseño, no separación certificada. Precio de referencia Mobile: confirmar compatibilidad con gola comprada antes de comprar/mecanizar. https://madecentro.com/products/escuadra-para-perfil-gola-peralm63-64</t>
  </si>
  <si>
    <t>Subtotal Tableros y cantos</t>
  </si>
  <si>
    <t>Subtotal Herrajes</t>
  </si>
  <si>
    <t>Subtotal Mesón y equipos</t>
  </si>
  <si>
    <t>Subtotal Servicios</t>
  </si>
  <si>
    <t>Subtotal Accesorios</t>
  </si>
  <si>
    <t>TOTAL CONOCIDO</t>
  </si>
  <si>
    <t>Parcial: excluye partidas pendientes. Tableros: 4 láminas RH15 + 1 de fondo con encaje verificado; el proveedor confirma el plano de corte.</t>
  </si>
  <si>
    <t>Partidas sin precio</t>
  </si>
  <si>
    <t>No equivalen a cero ni están incluidas en el total conocido.</t>
  </si>
  <si>
    <t>TOTAL DEL ALCANCE LISTADO</t>
  </si>
  <si>
    <t>Anclajes, servicios y otros accesorios por cotizar. Compatibilidad de riel y fijaciones gola por confirmar.</t>
  </si>
  <si>
    <t>Resumen de cantos · diseño final 260</t>
  </si>
  <si>
    <t>Reserva por borde (m)</t>
  </si>
  <si>
    <t>Tipo</t>
  </si>
  <si>
    <t>Dónde va</t>
  </si>
  <si>
    <t>Bordes</t>
  </si>
  <si>
    <t>Reserva de máquina</t>
  </si>
  <si>
    <t>Metros a pedir</t>
  </si>
  <si>
    <t>m por rollo</t>
  </si>
  <si>
    <t>Frentes/puertas y bordes vistos</t>
  </si>
  <si>
    <t>Bordes vistos interiores, inferiores y piezas expuestas a humedad</t>
  </si>
  <si>
    <t>Reserva de 5 cm por borde, ajustable según proveedor. Corte teórico no incluye disco ni refilado. Criterio del 27/10/2026: sin canto en bordes ocultos contra otra pieza, el fondo, el muro o el mesón; se conserva en bordes vistos, en el borde inferior de los laterales bajos y el superior de los muebles altos (humedad), y en los 4 bordes de las piezas estrechas expuestas a humedad.</t>
  </si>
  <si>
    <t>Tema</t>
  </si>
  <si>
    <t>Distribución</t>
  </si>
  <si>
    <t>180 + 600 + 670 + 700 + 400 = 2550. Terminal 15 y vuelos 15/20: mesón 2600; 200 libres a ambos extremos del muro.</t>
  </si>
  <si>
    <t>B1/B2/B3/B5/B4</t>
  </si>
  <si>
    <t>Dibujo y decisiones del usuario 26/10/2026</t>
  </si>
  <si>
    <t>Puertas y cubiertero</t>
  </si>
  <si>
    <t>B3 conserva solo un cajón arriba y dos puertas abajo con entrepaño. Caja 613 × 550; base inferior de 15, paredes 75, interior 583 × 520.</t>
  </si>
  <si>
    <t>B3</t>
  </si>
  <si>
    <t>Medidas calculadas con vano 640 y descuento de riel 27</t>
  </si>
  <si>
    <t>Basurero separado</t>
  </si>
  <si>
    <t>Puerta superior 402 × 397 con bisagras; frente inferior 302 × 397 extraíble. Entrepaño fijo y=425–440; los 215 mm del recipiente no incluyen mecanismo ni holgura.</t>
  </si>
  <si>
    <t>B4</t>
  </si>
  <si>
    <t>HSO688-00 · usuario</t>
  </si>
  <si>
    <t>Apoyo inferior</t>
  </si>
  <si>
    <t>24 patas previstas: 20 básicas en cinco módulos y cuatro refuerzos. Fijación al muro contra desplazamiento por definir; no son muebles suspendidos.</t>
  </si>
  <si>
    <t>Bajos</t>
  </si>
  <si>
    <t>Alcance de patas conservado</t>
  </si>
  <si>
    <t>Campana alineada</t>
  </si>
  <si>
    <t>S2 y B2 x410–1010. Centro x710. S1 195; S3 655, S4 715, S5 400.</t>
  </si>
  <si>
    <t>Superiores</t>
  </si>
  <si>
    <t>Nueva distribución</t>
  </si>
  <si>
    <t>Abatible sobre campana</t>
  </si>
  <si>
    <t>Puerta S2 347 × 597, bisagras en borde superior; abre hacia arriba a 90°. Faja fija 570 × 60, x425–995/z286–301/y1770–1830. Reverso puerta z326: retranqueo 25. Piso sube a y1840–1855 para acceso de dedos.</t>
  </si>
  <si>
    <t>S2; P047/P049/P071</t>
  </si>
  <si>
    <t>Fotos del usuario 26/10/2026; geometría propuesta</t>
  </si>
  <si>
    <t>Ancho libre del condimentero</t>
  </si>
  <si>
    <t>B1 pasa de 150 a 180 exterior (150 mm libres entre laterales) porque el herraje HSO317-15R real, con sus dos rieles laterales izquierdos, suma 135 mm. B3 baja de 700 a 670 (vano 640, caja 613 × 550, interior 583 × 520) para conservar los 2550 mm. B2 y S2 se desplazan +30 mm (x410–1010); S1 pasa a 195 y S3 a 655. B5, B4, S4 y S5 no cambian de posición ni de medida.</t>
  </si>
  <si>
    <t>B1/B2/B3; S1/S2/S3</t>
  </si>
  <si>
    <t>Medición del usuario en su cocina 26/10/2026; verificado con herramientas/auditar_despiece.py</t>
  </si>
  <si>
    <t>Cantos</t>
  </si>
  <si>
    <t>Despiece H–K; Cantos</t>
  </si>
  <si>
    <t>Análisis geométrico del modelo 3D y decisión del usuario 27/10/2026</t>
  </si>
  <si>
    <t>Diseño final 260 · condimentero, puertas y basurero</t>
  </si>
  <si>
    <t>Muro (mm)</t>
  </si>
  <si>
    <t>Mesón (mm)</t>
  </si>
  <si>
    <t>Separación a esquina (mm)</t>
  </si>
  <si>
    <t>Inicio mesón (mm)</t>
  </si>
  <si>
    <t>Final mesón (mm)</t>
  </si>
  <si>
    <t>Vuelo lado libre (mm)</t>
  </si>
  <si>
    <t>Elemento</t>
  </si>
  <si>
    <t>Inicio x (mm)</t>
  </si>
  <si>
    <t>Final x (mm)</t>
  </si>
  <si>
    <t>Ancho (mm)</t>
  </si>
  <si>
    <t>Alto (mm)</t>
  </si>
  <si>
    <t>Fondo (mm)</t>
  </si>
  <si>
    <t>Colocación</t>
  </si>
  <si>
    <t>Origen</t>
  </si>
  <si>
    <t>Mesón</t>
  </si>
  <si>
    <t>Cara inferior 885; superior 900.</t>
  </si>
  <si>
    <t>Mesón seleccionado</t>
  </si>
  <si>
    <t>B6 Costado</t>
  </si>
  <si>
    <t>Elevado 3 mm del piso.</t>
  </si>
  <si>
    <t>Despiece</t>
  </si>
  <si>
    <t>Suma módulos inferiores (mm)</t>
  </si>
  <si>
    <t>Terminal y vuelos (mm)</t>
  </si>
  <si>
    <t>Comprobación mesón (mm)</t>
  </si>
  <si>
    <t>Piezas RH15</t>
  </si>
  <si>
    <t>Fondos 6 mm</t>
  </si>
  <si>
    <t>Las cotas x parten del extremo izquierdo del muro de 3000. Medidas del mesón incluyen los vuelos; anchuras de módulos incluyen ambos costados.</t>
  </si>
  <si>
    <t>SÍ</t>
  </si>
  <si>
    <t>Medidas en mm; largo en sentido de veta. R = rígido 2 mm · F = flexible 0,45 mm · — = sin canto. Se cantean únicamente los bordes indicados; orientar las piezas según el montaje.</t>
  </si>
  <si>
    <t>Dimensión menor mínima de tablero que admite la canteadora (mm)</t>
  </si>
  <si>
    <t>Piezas pequeñas: clasificación según el tamaño del tablero antes de cantear. Si la máquina las rechaza, usar el corte indicado en Observaciones y cantear en el armado. Medidas de corte a 0,01 mm; el proveedor confirma tolerancias y límites Q2–Q4.</t>
  </si>
  <si>
    <t>Dimensión mayor mínima de tablero que admite la canteadora (mm)</t>
  </si>
  <si>
    <t>Zona húmeda: 2 mm delante y 0,45 mm en los otros tres bordes. Recorte de sifón y tuberías en obra: sellar el corte.</t>
  </si>
  <si>
    <t>Canto para acabado manual · previsión sujeta a la entrega</t>
  </si>
  <si>
    <t>Estimado con desperdicio y reserva (m)</t>
  </si>
  <si>
    <t>Previsión para las piezas pequeñas, no garantía de cuáles canteará Madecentro. Incluye 10 cm extra por borde y 20 % de reserva; ambos valores son editables. Al recibir las piezas, ajustar el objetivo si faltan otros bordes o si el proveedor canteó parte de ellos.</t>
  </si>
  <si>
    <t>Objetivo revisado con reserva (m; opcional)</t>
  </si>
  <si>
    <t>Metros ya disponibles para cantear en casa</t>
  </si>
  <si>
    <t>Metros faltantes por comprar</t>
  </si>
  <si>
    <t>Dejar el objetivo revisado vacío para usar el estimado. Si ya hay canto comprado o sobrante de rollos, anotarlo en metros disponibles. No sumar este material dos veces al presupuesto. Precio por metro suelto y pegante por cotizar con el proveedor.</t>
  </si>
  <si>
    <t>Bordes vistos y zonas críticas con canto; uniones ocultas sin canto según el despiece. P029 conserva 2 mm en el frente y 0,45 mm en los otros tres bordes; el recorte del sifón se sella en obra. Medidas terminadas sin cambios. Piezas pequeñas se clasifican por el tablero antes de cantear.</t>
  </si>
  <si>
    <t>Dimensiones TERMINADAS; corte teórico descuenta cantos. Diseño final: antes de cortar, revisar la hoja Pendientes (horno, basurero y proveedor de corte).</t>
  </si>
  <si>
    <t>Condimentero HSO317-15R; 150 mm libres entre laterales.</t>
  </si>
  <si>
    <t>Horno H60EEVAL005 en vano de 570; nicho y ventilación según manual.</t>
  </si>
  <si>
    <t>Cajón cubiertero arriba; dos puertas y entrepaño abajo.</t>
  </si>
  <si>
    <t>Lavaplatos Socoda AS350; entrepaño desmontable.</t>
  </si>
  <si>
    <t>Puerta arriba; basurero extraíble abajo (bastidor provisional).</t>
  </si>
  <si>
    <t>Luz 165; alineada con el costado libre.</t>
  </si>
  <si>
    <t>Puerta abatible hacia arriba sobre la campana.</t>
  </si>
  <si>
    <t>División central y dos entrepaños.</t>
  </si>
  <si>
    <t>Platero HSO566-03G.</t>
  </si>
  <si>
    <t>Un entrepaño; sobre el escurridor.</t>
  </si>
  <si>
    <t>Previsión de 4 láminas: las 85 piezas RH15 caben en 4 láminas de 2440 × 2150 con cortes pasantes, sin rotar (veta fija), refilado 10 mm por lado y sierra 4 mm. Ocupación 92 %, 93 %, 94 % y 34 % (auditoría del 27/10/2026). El proveedor define el plano de corte y la continuidad de veta; P072–P074 provisionales pueden cambiarlo.</t>
  </si>
  <si>
    <t>Metros y rollos vinculados a la hoja Cantos; validar SKU. Para el acabado manual de piezas pequeñas: ver «Metros faltantes por comprar» al final de Pedido de corte y descontar material ya disponible. Precio por metro suelto y pegante por cotizar.</t>
  </si>
  <si>
    <t>Tramos B1 180 + B3/B5/B4 1770 = 1950 mm; interrumpido en el horno. Los rebajes en laterales y travesaños se hacen en el armado, según el borde del mesón (ver Pendientes).</t>
  </si>
  <si>
    <t>Tramos B3 670 + B4 400 = 1070 mm. Una barra de 3 m; remates y mecanizados por validar.</t>
  </si>
  <si>
    <t>24 bisagras físicas: 2 por puerta en las 11 puertas laterales (B3, B5, B4, S1, S3, S4, S5) y 2 en el techo de S2 para la abatible; 14 en muebles altos y 10 en bajos. Comprobar compatibilidad con brazo, peso y ángulo; validar S1 estrecho. No comprar un par extra para S2.</t>
  </si>
  <si>
    <t>Cinco módulos bajos: 20 apoyos básicos + 4 refuerzos por distribuir según cargas. Madecentro.</t>
  </si>
  <si>
    <t>Uno por gabinete superior (S1–S5). Verificar cabida en S1 (luz 165) y riel mural compatible; sin listones a 45° definidos.</t>
  </si>
  <si>
    <t>24 soportes de entrepaño (6 entrepaños × 4: S1, dos en S3, S5, B3 y B5). Tornillos de armado 4 × 50 (≈150) y de herrajes 4 × 16 (≈150), cantidad preliminar; no duplicar los 12 que trae cada par de rieles. Fijaciones de fondos y anclajes según muro real.</t>
  </si>
  <si>
    <t>Rebaje para la gola en el armado, cuando se defina el borde del granito; no lo hace el proveedor.</t>
  </si>
  <si>
    <t>Pendientes antes de cortar y armar · cocina final 260</t>
  </si>
  <si>
    <t>Solo lo que falta resolver. Lo ya decidido está en la hoja Decisiones; el despiece y el 3D ya lo reflejan.</t>
  </si>
  <si>
    <t>Qué falta</t>
  </si>
  <si>
    <t>Qué bloquea</t>
  </si>
  <si>
    <t>Quién lo define</t>
  </si>
  <si>
    <t>Proveedor de corte</t>
  </si>
  <si>
    <t>Confirmar si pide medida terminada y descuenta el canto, y el tamaño mínimo que cantea (Pedido de corte, Q2–Q4). Plano previsto: 4 láminas RH15 y 1 de fondo.</t>
  </si>
  <si>
    <t>Pedido de corte</t>
  </si>
  <si>
    <t>Sucursal Madecentro</t>
  </si>
  <si>
    <t>Basurero B4</t>
  </si>
  <si>
    <t>Confirmar el descuento real del riel HRE126-55 (27 mm es un supuesto), la bandeja HSO688-00, las holguras y la fijación rígida del frente. Riel montado vertical en los largueros, no acostado.</t>
  </si>
  <si>
    <t>Ficha HRE126 y piezas reales</t>
  </si>
  <si>
    <t>Horno y estufa</t>
  </si>
  <si>
    <t>Nicho, tapetas, apoyos y ventilación según el manual del horno H60EEVAL005 (Haceb publica ruteo 540 × 540 × 605); panel bajo la estufa según la estufa real. No ensanchar el hueco por el frente.</t>
  </si>
  <si>
    <t>Manuales del horno y la estufa</t>
  </si>
  <si>
    <t>Mesón de granito</t>
  </si>
  <si>
    <t>Definir el borde (plano o con pestaña), los recortes del lavaplatos (plantilla Socoda) y de la estufa, y el soporte del lavaplatos de submontar. Placa de 15 mm.</t>
  </si>
  <si>
    <t>Rebajes de gola y corte del mesón</t>
  </si>
  <si>
    <t>Vendedor del granito / marmolero</t>
  </si>
  <si>
    <t>Rebajes de gola</t>
  </si>
  <si>
    <t>Se hacen en el armado cuando se conozca el borde del mesón: laterales P001, P012, P023 y P030 (≈30 × 75 arriba; P012 y P030 además ≈30 × 50 para la gola media), travesaños P003, P014 y P032 (≈30 × 15), P025 (≈15 × 75) y P034 (≈20 × 5). Confirmar las 10 fijaciones compatibles y los remates.</t>
  </si>
  <si>
    <t>Armado (no el corte)</t>
  </si>
  <si>
    <t>Taller y proveedor del perfil</t>
  </si>
  <si>
    <t>S2 sobre la campana</t>
  </si>
  <si>
    <t>Distancia estufa–campana según manual (referencia 650 mm). Fuerza de los brazos HEC060-03 con el peso real de la puerta (~2,07 kg). Perforación del ducto en P047 (y en P046 si sale hacia arriba).</t>
  </si>
  <si>
    <t>Compra de brazos y perforación en obra</t>
  </si>
  <si>
    <t>Manuales de campana y brazos</t>
  </si>
  <si>
    <t>Anclaje de muebles altos</t>
  </si>
  <si>
    <t>Elegir riel mural y fijaciones para los 5 pares de colgadores según el muro real; comprobar la cabida en S1 (luz 165).</t>
  </si>
  <si>
    <t>Instalación de S1–S5</t>
  </si>
  <si>
    <t>Instalador</t>
  </si>
  <si>
    <t>Lavaplatos B5</t>
  </si>
  <si>
    <t>Recortar el sifón y las tuberías en el entrepaño P029 en obra y sellar el corte. Sifón y llaves deben permitir retirarlo.</t>
  </si>
  <si>
    <t>Armado</t>
  </si>
  <si>
    <t>Taller / plomero</t>
  </si>
  <si>
    <t>Platero S4</t>
  </si>
  <si>
    <t>Marcar los 4 pines Ø10 con el herraje real en obra (7 kg máximo).</t>
  </si>
  <si>
    <t>Taller</t>
  </si>
  <si>
    <t>Uniones y armado</t>
  </si>
  <si>
    <t>Base del cajón de B3 aplicada por debajo: pretaladro, uniones y refuerzos según carga. Distribuir las 4 patas de refuerzo. Fijación al muro contra desplazamiento.</t>
  </si>
  <si>
    <t>Carpintero</t>
  </si>
  <si>
    <t>Escurridor (opcional)</t>
  </si>
  <si>
    <t>Elegir el modelo real para la zona derecha de 40 cm y la bandeja antigoteo.</t>
  </si>
  <si>
    <t>Compra</t>
  </si>
  <si>
    <t>Usuario</t>
  </si>
  <si>
    <t>Decisiones aplicadas · cocina final 260</t>
  </si>
  <si>
    <t>Registro de lo ya resuelto; el despiece y el 3D ya lo reflejan.</t>
  </si>
  <si>
    <t>Decisión</t>
  </si>
  <si>
    <t>Dónde</t>
  </si>
  <si>
    <t>Fecha / fuente</t>
  </si>
  <si>
    <t>Gola</t>
  </si>
  <si>
    <t>Sin rebajes de fábrica: se hacen en el armado según el borde del granito (plano o con pestaña), aún por acordar con el vendedor.</t>
  </si>
  <si>
    <t>P001, P003, P012, P014, P023, P025, P030, P032, P034</t>
  </si>
  <si>
    <t>Decisión del usuario 27/10/2026</t>
  </si>
  <si>
    <t>Previsión de 1 lámina: los 9 fondos de la cocina caben en una (60 % de ocupación). Confirmar formato del suministro.</t>
  </si>
  <si>
    <t>Ranura de ventilación o paso de cable en obra, si el manual del horno lo pide.</t>
  </si>
  <si>
    <t>Su altura se fija en el armado según el manual del horno; si pide más ventilación atrás, recortar el borde trasero (sin canto).</t>
  </si>
  <si>
    <t>Pedida 15 mm más alta (160 en vez de 145): en el armado, recortar el borde superior —oculto bajo el mesón y sin canto— según el horno instalado.</t>
  </si>
  <si>
    <t>NO PEDIR: se corta en el armado de un sobrante, con el riel HRE126-55 y la bandeja en mano. Pedir a la sucursal que entregue los sobrantes.</t>
  </si>
  <si>
    <t>Corte de P072–P074 en el armado, de un sobrante</t>
  </si>
  <si>
    <t>Altura de P009 y recorte de P011 en el armado</t>
  </si>
  <si>
    <t>Piezas que se ajustan en el armado</t>
  </si>
  <si>
    <t>P011 se pide 15 mm más alta (160) y se recorta arriba, oculta bajo el mesón, según el horno instalado. P007 y P009 se cortan con la medida del módulo; ranuras y altura de la repisa se resuelven en obra. P072–P074 no se piden: se cortan en el armado de un sobrante, con el riel y la bandeja en mano.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</si>
</sst>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;\(&quot;$&quot;#,##0\);&quot;—&quot;"/>
    <numFmt numFmtId="165" formatCode="0.0"/>
    <numFmt numFmtId="166" formatCode="&quot;$&quot;#,##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253B35"/>
      <name val="Arial"/>
    </font>
    <font>
      <sz val="10"/>
      <color rgb="FF253B35"/>
      <name val="Calibri"/>
      <family val="2"/>
      <scheme val="minor"/>
    </font>
    <font>
      <b/>
      <sz val="10"/>
      <color rgb="FFFFFFFF"/>
      <name val="Arial"/>
    </font>
    <font>
      <b/>
      <sz val="14"/>
      <color rgb="FF253B35"/>
      <name val="Arial"/>
    </font>
    <font>
      <b/>
      <sz val="10"/>
      <color rgb="FFFFFFFF"/>
      <name val="Calibri"/>
      <family val="2"/>
      <scheme val="minor"/>
    </font>
    <font>
      <b/>
      <sz val="10"/>
      <color rgb="FF253B35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5D6"/>
      </patternFill>
    </fill>
    <fill>
      <patternFill patternType="solid">
        <fgColor rgb="FFFFF0CC"/>
      </patternFill>
    </fill>
    <fill>
      <patternFill patternType="solid">
        <fgColor rgb="FF253B35"/>
      </patternFill>
    </fill>
    <fill>
      <patternFill patternType="solid">
        <fgColor rgb="FFE8EFDF"/>
      </patternFill>
    </fill>
    <fill>
      <patternFill patternType="solid">
        <fgColor rgb="FFFFF2CC"/>
      </patternFill>
    </fill>
    <fill>
      <patternFill patternType="solid">
        <fgColor rgb="FF253B35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EAF0E3"/>
      </patternFill>
    </fill>
    <fill>
      <patternFill patternType="solid">
        <fgColor rgb="FF253B35"/>
        <bgColor indexed="64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D3DCD9"/>
      </left>
      <right style="thin">
        <color rgb="FFD3DCD9"/>
      </right>
      <top style="thin">
        <color rgb="FFD3DCD9"/>
      </top>
      <bottom style="thin">
        <color rgb="FFD3DCD9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1" xfId="0" applyBorder="1"/>
    <xf numFmtId="2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2" fontId="3" fillId="0" borderId="0" xfId="0" applyNumberFormat="1" applyFont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165" fontId="3" fillId="0" borderId="1" xfId="0" applyNumberFormat="1" applyFont="1" applyBorder="1" applyAlignment="1">
      <alignment vertical="center" wrapText="1"/>
    </xf>
    <xf numFmtId="165" fontId="3" fillId="0" borderId="0" xfId="0" applyNumberFormat="1" applyFont="1" applyAlignment="1">
      <alignment vertical="center" wrapText="1"/>
    </xf>
    <xf numFmtId="1" fontId="3" fillId="0" borderId="1" xfId="0" applyNumberFormat="1" applyFont="1" applyBorder="1" applyAlignment="1">
      <alignment vertical="center" wrapText="1"/>
    </xf>
    <xf numFmtId="49" fontId="3" fillId="0" borderId="1" xfId="0" applyNumberFormat="1" applyFont="1" applyBorder="1" applyAlignment="1">
      <alignment vertical="center" wrapText="1"/>
    </xf>
    <xf numFmtId="0" fontId="4" fillId="4" borderId="0" xfId="0" applyFont="1" applyFill="1" applyAlignment="1">
      <alignment horizontal="center" vertical="center" wrapText="1"/>
    </xf>
    <xf numFmtId="2" fontId="3" fillId="2" borderId="0" xfId="0" applyNumberFormat="1" applyFont="1" applyFill="1" applyAlignment="1">
      <alignment vertical="center" wrapText="1"/>
    </xf>
    <xf numFmtId="1" fontId="3" fillId="0" borderId="0" xfId="0" applyNumberFormat="1" applyFont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6" fillId="4" borderId="0" xfId="0" applyFont="1" applyFill="1" applyAlignment="1">
      <alignment horizontal="center" vertical="center" wrapText="1"/>
    </xf>
    <xf numFmtId="164" fontId="3" fillId="0" borderId="0" xfId="0" applyNumberFormat="1" applyFont="1" applyAlignment="1">
      <alignment vertical="center" wrapText="1"/>
    </xf>
    <xf numFmtId="3" fontId="3" fillId="0" borderId="0" xfId="0" applyNumberFormat="1" applyFont="1" applyAlignment="1">
      <alignment vertical="center" wrapText="1"/>
    </xf>
    <xf numFmtId="166" fontId="3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0" fontId="7" fillId="5" borderId="0" xfId="0" applyFont="1" applyFill="1" applyAlignment="1">
      <alignment vertical="center" wrapText="1"/>
    </xf>
    <xf numFmtId="166" fontId="7" fillId="5" borderId="0" xfId="0" applyNumberFormat="1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8" fillId="0" borderId="1" xfId="0" applyFont="1" applyBorder="1"/>
    <xf numFmtId="49" fontId="3" fillId="0" borderId="0" xfId="0" applyNumberFormat="1" applyFont="1" applyAlignment="1">
      <alignment vertical="center" wrapText="1"/>
    </xf>
    <xf numFmtId="49" fontId="0" fillId="0" borderId="0" xfId="0" applyNumberFormat="1"/>
    <xf numFmtId="49" fontId="10" fillId="0" borderId="0" xfId="0" applyNumberFormat="1" applyFont="1"/>
    <xf numFmtId="49" fontId="12" fillId="0" borderId="0" xfId="0" applyNumberFormat="1" applyFont="1"/>
    <xf numFmtId="49" fontId="9" fillId="8" borderId="0" xfId="0" applyNumberFormat="1" applyFont="1" applyFill="1"/>
    <xf numFmtId="1" fontId="0" fillId="0" borderId="0" xfId="0" applyNumberFormat="1"/>
    <xf numFmtId="1" fontId="9" fillId="8" borderId="0" xfId="0" applyNumberFormat="1" applyFont="1" applyFill="1"/>
    <xf numFmtId="49" fontId="9" fillId="0" borderId="0" xfId="0" applyNumberFormat="1" applyFont="1"/>
    <xf numFmtId="0" fontId="9" fillId="0" borderId="0" xfId="0" applyFont="1"/>
    <xf numFmtId="1" fontId="9" fillId="0" borderId="0" xfId="0" applyNumberFormat="1" applyFont="1"/>
    <xf numFmtId="2" fontId="0" fillId="8" borderId="0" xfId="0" applyNumberFormat="1" applyFill="1"/>
    <xf numFmtId="9" fontId="0" fillId="8" borderId="0" xfId="0" applyNumberFormat="1" applyFill="1"/>
    <xf numFmtId="49" fontId="11" fillId="7" borderId="2" xfId="0" applyNumberFormat="1" applyFont="1" applyFill="1" applyBorder="1" applyAlignment="1">
      <alignment vertical="center" wrapText="1"/>
    </xf>
    <xf numFmtId="0" fontId="0" fillId="0" borderId="2" xfId="0" applyBorder="1"/>
    <xf numFmtId="1" fontId="0" fillId="0" borderId="2" xfId="0" applyNumberFormat="1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wrapText="1"/>
    </xf>
    <xf numFmtId="2" fontId="9" fillId="0" borderId="0" xfId="0" applyNumberFormat="1" applyFont="1"/>
    <xf numFmtId="2" fontId="9" fillId="0" borderId="2" xfId="0" applyNumberFormat="1" applyFont="1" applyBorder="1"/>
    <xf numFmtId="2" fontId="13" fillId="9" borderId="0" xfId="0" applyNumberFormat="1" applyFont="1" applyFill="1"/>
    <xf numFmtId="0" fontId="9" fillId="10" borderId="0" xfId="0" applyFont="1" applyFill="1"/>
    <xf numFmtId="2" fontId="9" fillId="10" borderId="0" xfId="0" applyNumberFormat="1" applyFont="1" applyFill="1"/>
    <xf numFmtId="49" fontId="11" fillId="11" borderId="2" xfId="0" applyNumberFormat="1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49" fontId="0" fillId="0" borderId="2" xfId="0" applyNumberFormat="1" applyBorder="1" applyAlignment="1">
      <alignment vertical="top" wrapText="1"/>
    </xf>
    <xf numFmtId="49" fontId="3" fillId="0" borderId="0" xfId="0" applyNumberFormat="1" applyFont="1" applyAlignment="1">
      <alignment vertical="center" wrapText="1"/>
    </xf>
    <xf numFmtId="0" fontId="0" fillId="0" borderId="0" xfId="0"/>
    <xf numFmtId="0" fontId="3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12" fillId="0" borderId="0" xfId="0" applyNumberFormat="1" applyFont="1" applyAlignment="1">
      <alignment wrapText="1"/>
    </xf>
    <xf numFmtId="0" fontId="0" fillId="0" borderId="0" xfId="0" applyAlignment="1">
      <alignment wrapText="1"/>
    </xf>
    <xf numFmtId="49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1">
    <dxf>
      <font>
        <color rgb="FF9C5700"/>
      </font>
      <fill>
        <patternFill>
          <bgColor rgb="FFFFF0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1"/>
  <sheetViews>
    <sheetView showGridLines="0" tabSelected="1" workbookViewId="0">
      <pane ySplit="4" topLeftCell="A5" activePane="bottomLeft" state="frozen"/>
      <selection pane="bottomLeft" sqref="A1:M1"/>
    </sheetView>
  </sheetViews>
  <sheetFormatPr baseColWidth="10" defaultColWidth="8.88671875" defaultRowHeight="14.4" x14ac:dyDescent="0.3"/>
  <cols>
    <col min="1" max="1" width="8" customWidth="1"/>
    <col min="2" max="2" width="30" customWidth="1"/>
    <col min="3" max="3" width="47" customWidth="1"/>
    <col min="4" max="4" width="28" customWidth="1"/>
    <col min="5" max="6" width="14" customWidth="1"/>
    <col min="7" max="7" width="8" customWidth="1"/>
    <col min="8" max="11" width="10" customWidth="1"/>
    <col min="12" max="13" width="15" customWidth="1"/>
  </cols>
  <sheetData>
    <row r="1" spans="1:13" ht="25.95" customHeight="1" x14ac:dyDescent="0.3">
      <c r="A1" s="55" t="s">
        <v>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</row>
    <row r="2" spans="1:13" ht="31.95" customHeight="1" x14ac:dyDescent="0.3">
      <c r="A2" s="54" t="s">
        <v>1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</row>
    <row r="3" spans="1:13" ht="31.95" customHeight="1" x14ac:dyDescent="0.3">
      <c r="A3" s="52" t="s">
        <v>332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</row>
    <row r="4" spans="1:13" ht="42" customHeight="1" x14ac:dyDescent="0.3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  <c r="F4" s="8" t="s">
        <v>7</v>
      </c>
      <c r="G4" s="8" t="s">
        <v>8</v>
      </c>
      <c r="H4" s="8" t="s">
        <v>9</v>
      </c>
      <c r="I4" s="8" t="s">
        <v>10</v>
      </c>
      <c r="J4" s="8" t="s">
        <v>11</v>
      </c>
      <c r="K4" s="8" t="s">
        <v>12</v>
      </c>
      <c r="L4" s="8" t="s">
        <v>13</v>
      </c>
      <c r="M4" s="8" t="s">
        <v>14</v>
      </c>
    </row>
    <row r="5" spans="1:13" ht="30" customHeight="1" x14ac:dyDescent="0.3">
      <c r="A5" s="6" t="s">
        <v>15</v>
      </c>
      <c r="B5" s="6" t="s">
        <v>16</v>
      </c>
      <c r="C5" s="6" t="s">
        <v>17</v>
      </c>
      <c r="D5" s="6" t="s">
        <v>18</v>
      </c>
      <c r="E5" s="9">
        <v>785</v>
      </c>
      <c r="F5" s="9">
        <v>580</v>
      </c>
      <c r="G5" s="11">
        <v>2</v>
      </c>
      <c r="H5" s="12" t="s">
        <v>19</v>
      </c>
      <c r="I5" s="12" t="s">
        <v>20</v>
      </c>
      <c r="J5" s="12" t="s">
        <v>21</v>
      </c>
      <c r="K5" s="12" t="s">
        <v>20</v>
      </c>
      <c r="L5" s="10">
        <f t="shared" ref="L5:L36" si="0">E5-IF(J5="2",2,IF(J5="0.45",0.45,0))-IF(K5="2",2,IF(K5="0.45",0.45,0))</f>
        <v>784.55</v>
      </c>
      <c r="M5" s="10">
        <f t="shared" ref="M5:M36" si="1">F5-IF(H5="2",2,IF(H5="0.45",0.45,0))-IF(I5="2",2,IF(I5="0.45",0.45,0))</f>
        <v>578</v>
      </c>
    </row>
    <row r="6" spans="1:13" ht="30" customHeight="1" x14ac:dyDescent="0.3">
      <c r="A6" s="6" t="s">
        <v>22</v>
      </c>
      <c r="B6" s="6" t="s">
        <v>16</v>
      </c>
      <c r="C6" s="6" t="s">
        <v>23</v>
      </c>
      <c r="D6" s="6" t="s">
        <v>18</v>
      </c>
      <c r="E6" s="9">
        <v>150</v>
      </c>
      <c r="F6" s="9">
        <v>580</v>
      </c>
      <c r="G6" s="11">
        <v>1</v>
      </c>
      <c r="H6" s="12" t="s">
        <v>19</v>
      </c>
      <c r="I6" s="12" t="s">
        <v>20</v>
      </c>
      <c r="J6" s="12" t="s">
        <v>20</v>
      </c>
      <c r="K6" s="12" t="s">
        <v>20</v>
      </c>
      <c r="L6" s="10">
        <f t="shared" si="0"/>
        <v>150</v>
      </c>
      <c r="M6" s="10">
        <f t="shared" si="1"/>
        <v>578</v>
      </c>
    </row>
    <row r="7" spans="1:13" ht="30" customHeight="1" x14ac:dyDescent="0.3">
      <c r="A7" s="6" t="s">
        <v>24</v>
      </c>
      <c r="B7" s="6" t="s">
        <v>16</v>
      </c>
      <c r="C7" s="6" t="s">
        <v>25</v>
      </c>
      <c r="D7" s="6" t="s">
        <v>18</v>
      </c>
      <c r="E7" s="9">
        <v>150</v>
      </c>
      <c r="F7" s="9">
        <v>100</v>
      </c>
      <c r="G7" s="11">
        <v>2</v>
      </c>
      <c r="H7" s="12" t="s">
        <v>21</v>
      </c>
      <c r="I7" s="12" t="s">
        <v>21</v>
      </c>
      <c r="J7" s="12" t="s">
        <v>20</v>
      </c>
      <c r="K7" s="12" t="s">
        <v>20</v>
      </c>
      <c r="L7" s="10">
        <f t="shared" si="0"/>
        <v>150</v>
      </c>
      <c r="M7" s="10">
        <f t="shared" si="1"/>
        <v>99.1</v>
      </c>
    </row>
    <row r="8" spans="1:13" ht="30" customHeight="1" x14ac:dyDescent="0.3">
      <c r="A8" s="6" t="s">
        <v>26</v>
      </c>
      <c r="B8" s="6" t="s">
        <v>16</v>
      </c>
      <c r="C8" s="6" t="s">
        <v>27</v>
      </c>
      <c r="D8" s="6" t="s">
        <v>28</v>
      </c>
      <c r="E8" s="9">
        <v>176</v>
      </c>
      <c r="F8" s="9">
        <v>781</v>
      </c>
      <c r="G8" s="11">
        <v>1</v>
      </c>
      <c r="H8" s="12" t="s">
        <v>20</v>
      </c>
      <c r="I8" s="12" t="s">
        <v>20</v>
      </c>
      <c r="J8" s="12" t="s">
        <v>20</v>
      </c>
      <c r="K8" s="12" t="s">
        <v>20</v>
      </c>
      <c r="L8" s="10">
        <f t="shared" si="0"/>
        <v>176</v>
      </c>
      <c r="M8" s="10">
        <f t="shared" si="1"/>
        <v>781</v>
      </c>
    </row>
    <row r="9" spans="1:13" ht="30" customHeight="1" x14ac:dyDescent="0.3">
      <c r="A9" s="6" t="s">
        <v>29</v>
      </c>
      <c r="B9" s="6" t="s">
        <v>16</v>
      </c>
      <c r="C9" s="6" t="s">
        <v>30</v>
      </c>
      <c r="D9" s="6" t="s">
        <v>18</v>
      </c>
      <c r="E9" s="9">
        <v>732</v>
      </c>
      <c r="F9" s="9">
        <v>177</v>
      </c>
      <c r="G9" s="11">
        <v>1</v>
      </c>
      <c r="H9" s="12" t="s">
        <v>19</v>
      </c>
      <c r="I9" s="12" t="s">
        <v>19</v>
      </c>
      <c r="J9" s="12" t="s">
        <v>19</v>
      </c>
      <c r="K9" s="12" t="s">
        <v>19</v>
      </c>
      <c r="L9" s="10">
        <f t="shared" si="0"/>
        <v>728</v>
      </c>
      <c r="M9" s="10">
        <f t="shared" si="1"/>
        <v>173</v>
      </c>
    </row>
    <row r="10" spans="1:13" ht="30" customHeight="1" x14ac:dyDescent="0.3">
      <c r="A10" s="6" t="s">
        <v>31</v>
      </c>
      <c r="B10" s="6" t="s">
        <v>32</v>
      </c>
      <c r="C10" s="6" t="s">
        <v>17</v>
      </c>
      <c r="D10" s="6" t="s">
        <v>18</v>
      </c>
      <c r="E10" s="9">
        <v>785</v>
      </c>
      <c r="F10" s="9">
        <v>580</v>
      </c>
      <c r="G10" s="11">
        <v>2</v>
      </c>
      <c r="H10" s="12" t="s">
        <v>19</v>
      </c>
      <c r="I10" s="12" t="s">
        <v>20</v>
      </c>
      <c r="J10" s="12" t="s">
        <v>21</v>
      </c>
      <c r="K10" s="12" t="s">
        <v>20</v>
      </c>
      <c r="L10" s="10">
        <f t="shared" si="0"/>
        <v>784.55</v>
      </c>
      <c r="M10" s="10">
        <f t="shared" si="1"/>
        <v>578</v>
      </c>
    </row>
    <row r="11" spans="1:13" ht="30" customHeight="1" x14ac:dyDescent="0.3">
      <c r="A11" s="6" t="s">
        <v>33</v>
      </c>
      <c r="B11" s="6" t="s">
        <v>32</v>
      </c>
      <c r="C11" s="6" t="s">
        <v>34</v>
      </c>
      <c r="D11" s="6" t="s">
        <v>18</v>
      </c>
      <c r="E11" s="9">
        <v>570</v>
      </c>
      <c r="F11" s="9">
        <v>580</v>
      </c>
      <c r="G11" s="11">
        <v>1</v>
      </c>
      <c r="H11" s="12" t="s">
        <v>19</v>
      </c>
      <c r="I11" s="12" t="s">
        <v>20</v>
      </c>
      <c r="J11" s="12" t="s">
        <v>20</v>
      </c>
      <c r="K11" s="12" t="s">
        <v>20</v>
      </c>
      <c r="L11" s="10">
        <f t="shared" si="0"/>
        <v>570</v>
      </c>
      <c r="M11" s="10">
        <f t="shared" si="1"/>
        <v>578</v>
      </c>
    </row>
    <row r="12" spans="1:13" ht="30" customHeight="1" x14ac:dyDescent="0.3">
      <c r="A12" s="6" t="s">
        <v>35</v>
      </c>
      <c r="B12" s="6" t="s">
        <v>32</v>
      </c>
      <c r="C12" s="6" t="s">
        <v>36</v>
      </c>
      <c r="D12" s="6" t="s">
        <v>18</v>
      </c>
      <c r="E12" s="9">
        <v>570</v>
      </c>
      <c r="F12" s="9">
        <v>100</v>
      </c>
      <c r="G12" s="11">
        <v>1</v>
      </c>
      <c r="H12" s="12" t="s">
        <v>21</v>
      </c>
      <c r="I12" s="12" t="s">
        <v>20</v>
      </c>
      <c r="J12" s="12" t="s">
        <v>20</v>
      </c>
      <c r="K12" s="12" t="s">
        <v>20</v>
      </c>
      <c r="L12" s="10">
        <f t="shared" si="0"/>
        <v>570</v>
      </c>
      <c r="M12" s="10">
        <f t="shared" si="1"/>
        <v>99.55</v>
      </c>
    </row>
    <row r="13" spans="1:13" ht="30" customHeight="1" x14ac:dyDescent="0.3">
      <c r="A13" s="6" t="s">
        <v>37</v>
      </c>
      <c r="B13" s="6" t="s">
        <v>32</v>
      </c>
      <c r="C13" s="6" t="s">
        <v>38</v>
      </c>
      <c r="D13" s="6" t="s">
        <v>18</v>
      </c>
      <c r="E13" s="9">
        <v>570</v>
      </c>
      <c r="F13" s="9">
        <v>500</v>
      </c>
      <c r="G13" s="11">
        <v>1</v>
      </c>
      <c r="H13" s="12" t="s">
        <v>19</v>
      </c>
      <c r="I13" s="12" t="s">
        <v>20</v>
      </c>
      <c r="J13" s="12" t="s">
        <v>20</v>
      </c>
      <c r="K13" s="12" t="s">
        <v>20</v>
      </c>
      <c r="L13" s="10">
        <f t="shared" si="0"/>
        <v>570</v>
      </c>
      <c r="M13" s="10">
        <f t="shared" si="1"/>
        <v>498</v>
      </c>
    </row>
    <row r="14" spans="1:13" ht="30" customHeight="1" x14ac:dyDescent="0.3">
      <c r="A14" s="6" t="s">
        <v>39</v>
      </c>
      <c r="B14" s="6" t="s">
        <v>32</v>
      </c>
      <c r="C14" s="6" t="s">
        <v>40</v>
      </c>
      <c r="D14" s="6" t="s">
        <v>18</v>
      </c>
      <c r="E14" s="9">
        <v>570</v>
      </c>
      <c r="F14" s="9">
        <v>80</v>
      </c>
      <c r="G14" s="11">
        <v>1</v>
      </c>
      <c r="H14" s="12" t="s">
        <v>21</v>
      </c>
      <c r="I14" s="12" t="s">
        <v>20</v>
      </c>
      <c r="J14" s="12" t="s">
        <v>20</v>
      </c>
      <c r="K14" s="12" t="s">
        <v>20</v>
      </c>
      <c r="L14" s="10">
        <f t="shared" si="0"/>
        <v>570</v>
      </c>
      <c r="M14" s="10">
        <f t="shared" si="1"/>
        <v>79.55</v>
      </c>
    </row>
    <row r="15" spans="1:13" ht="30" customHeight="1" x14ac:dyDescent="0.3">
      <c r="A15" s="6" t="s">
        <v>41</v>
      </c>
      <c r="B15" s="6" t="s">
        <v>32</v>
      </c>
      <c r="C15" s="6" t="s">
        <v>42</v>
      </c>
      <c r="D15" s="6" t="s">
        <v>18</v>
      </c>
      <c r="E15" s="9">
        <v>145</v>
      </c>
      <c r="F15" s="9">
        <v>597</v>
      </c>
      <c r="G15" s="11">
        <v>1</v>
      </c>
      <c r="H15" s="12" t="s">
        <v>19</v>
      </c>
      <c r="I15" s="12" t="s">
        <v>19</v>
      </c>
      <c r="J15" s="12" t="s">
        <v>19</v>
      </c>
      <c r="K15" s="12" t="s">
        <v>20</v>
      </c>
      <c r="L15" s="10">
        <f t="shared" si="0"/>
        <v>143</v>
      </c>
      <c r="M15" s="10">
        <f t="shared" si="1"/>
        <v>593</v>
      </c>
    </row>
    <row r="16" spans="1:13" ht="30" customHeight="1" x14ac:dyDescent="0.3">
      <c r="A16" s="6" t="s">
        <v>43</v>
      </c>
      <c r="B16" s="6" t="s">
        <v>44</v>
      </c>
      <c r="C16" s="6" t="s">
        <v>17</v>
      </c>
      <c r="D16" s="6" t="s">
        <v>18</v>
      </c>
      <c r="E16" s="9">
        <v>785</v>
      </c>
      <c r="F16" s="9">
        <v>580</v>
      </c>
      <c r="G16" s="11">
        <v>2</v>
      </c>
      <c r="H16" s="12" t="s">
        <v>19</v>
      </c>
      <c r="I16" s="12" t="s">
        <v>20</v>
      </c>
      <c r="J16" s="12" t="s">
        <v>21</v>
      </c>
      <c r="K16" s="12" t="s">
        <v>20</v>
      </c>
      <c r="L16" s="10">
        <f t="shared" si="0"/>
        <v>784.55</v>
      </c>
      <c r="M16" s="10">
        <f t="shared" si="1"/>
        <v>578</v>
      </c>
    </row>
    <row r="17" spans="1:13" ht="30" customHeight="1" x14ac:dyDescent="0.3">
      <c r="A17" s="6" t="s">
        <v>45</v>
      </c>
      <c r="B17" s="6" t="s">
        <v>44</v>
      </c>
      <c r="C17" s="6" t="s">
        <v>23</v>
      </c>
      <c r="D17" s="6" t="s">
        <v>18</v>
      </c>
      <c r="E17" s="9">
        <v>640</v>
      </c>
      <c r="F17" s="9">
        <v>580</v>
      </c>
      <c r="G17" s="11">
        <v>1</v>
      </c>
      <c r="H17" s="12" t="s">
        <v>19</v>
      </c>
      <c r="I17" s="12" t="s">
        <v>20</v>
      </c>
      <c r="J17" s="12" t="s">
        <v>20</v>
      </c>
      <c r="K17" s="12" t="s">
        <v>20</v>
      </c>
      <c r="L17" s="10">
        <f t="shared" si="0"/>
        <v>640</v>
      </c>
      <c r="M17" s="10">
        <f t="shared" si="1"/>
        <v>578</v>
      </c>
    </row>
    <row r="18" spans="1:13" ht="30" customHeight="1" x14ac:dyDescent="0.3">
      <c r="A18" s="6" t="s">
        <v>46</v>
      </c>
      <c r="B18" s="6" t="s">
        <v>44</v>
      </c>
      <c r="C18" s="6" t="s">
        <v>25</v>
      </c>
      <c r="D18" s="6" t="s">
        <v>18</v>
      </c>
      <c r="E18" s="9">
        <v>640</v>
      </c>
      <c r="F18" s="9">
        <v>100</v>
      </c>
      <c r="G18" s="11">
        <v>2</v>
      </c>
      <c r="H18" s="12" t="s">
        <v>21</v>
      </c>
      <c r="I18" s="12" t="s">
        <v>21</v>
      </c>
      <c r="J18" s="12" t="s">
        <v>20</v>
      </c>
      <c r="K18" s="12" t="s">
        <v>20</v>
      </c>
      <c r="L18" s="10">
        <f t="shared" si="0"/>
        <v>640</v>
      </c>
      <c r="M18" s="10">
        <f t="shared" si="1"/>
        <v>99.1</v>
      </c>
    </row>
    <row r="19" spans="1:13" ht="30" customHeight="1" x14ac:dyDescent="0.3">
      <c r="A19" s="6" t="s">
        <v>47</v>
      </c>
      <c r="B19" s="6" t="s">
        <v>44</v>
      </c>
      <c r="C19" s="6" t="s">
        <v>27</v>
      </c>
      <c r="D19" s="6" t="s">
        <v>28</v>
      </c>
      <c r="E19" s="9">
        <v>666</v>
      </c>
      <c r="F19" s="9">
        <v>781</v>
      </c>
      <c r="G19" s="11">
        <v>1</v>
      </c>
      <c r="H19" s="12" t="s">
        <v>20</v>
      </c>
      <c r="I19" s="12" t="s">
        <v>20</v>
      </c>
      <c r="J19" s="12" t="s">
        <v>20</v>
      </c>
      <c r="K19" s="12" t="s">
        <v>20</v>
      </c>
      <c r="L19" s="10">
        <f t="shared" si="0"/>
        <v>666</v>
      </c>
      <c r="M19" s="10">
        <f t="shared" si="1"/>
        <v>781</v>
      </c>
    </row>
    <row r="20" spans="1:13" ht="30" customHeight="1" x14ac:dyDescent="0.3">
      <c r="A20" s="6" t="s">
        <v>48</v>
      </c>
      <c r="B20" s="6" t="s">
        <v>44</v>
      </c>
      <c r="C20" s="6" t="s">
        <v>49</v>
      </c>
      <c r="D20" s="6" t="s">
        <v>18</v>
      </c>
      <c r="E20" s="9">
        <v>167</v>
      </c>
      <c r="F20" s="9">
        <v>667</v>
      </c>
      <c r="G20" s="11">
        <v>1</v>
      </c>
      <c r="H20" s="12" t="s">
        <v>19</v>
      </c>
      <c r="I20" s="12" t="s">
        <v>19</v>
      </c>
      <c r="J20" s="12" t="s">
        <v>19</v>
      </c>
      <c r="K20" s="12" t="s">
        <v>19</v>
      </c>
      <c r="L20" s="10">
        <f t="shared" si="0"/>
        <v>163</v>
      </c>
      <c r="M20" s="10">
        <f t="shared" si="1"/>
        <v>663</v>
      </c>
    </row>
    <row r="21" spans="1:13" ht="30" customHeight="1" x14ac:dyDescent="0.3">
      <c r="A21" s="6" t="s">
        <v>50</v>
      </c>
      <c r="B21" s="6" t="s">
        <v>44</v>
      </c>
      <c r="C21" s="6" t="s">
        <v>51</v>
      </c>
      <c r="D21" s="6" t="s">
        <v>18</v>
      </c>
      <c r="E21" s="9">
        <v>613</v>
      </c>
      <c r="F21" s="9">
        <v>550</v>
      </c>
      <c r="G21" s="11">
        <v>1</v>
      </c>
      <c r="H21" s="12" t="s">
        <v>21</v>
      </c>
      <c r="I21" s="12" t="s">
        <v>20</v>
      </c>
      <c r="J21" s="12" t="s">
        <v>21</v>
      </c>
      <c r="K21" s="12" t="s">
        <v>21</v>
      </c>
      <c r="L21" s="10">
        <f t="shared" si="0"/>
        <v>612.09999999999991</v>
      </c>
      <c r="M21" s="10">
        <f t="shared" si="1"/>
        <v>549.54999999999995</v>
      </c>
    </row>
    <row r="22" spans="1:13" ht="30" customHeight="1" x14ac:dyDescent="0.3">
      <c r="A22" s="6" t="s">
        <v>52</v>
      </c>
      <c r="B22" s="6" t="s">
        <v>44</v>
      </c>
      <c r="C22" s="6" t="s">
        <v>53</v>
      </c>
      <c r="D22" s="6" t="s">
        <v>18</v>
      </c>
      <c r="E22" s="9">
        <v>550</v>
      </c>
      <c r="F22" s="9">
        <v>75</v>
      </c>
      <c r="G22" s="11">
        <v>2</v>
      </c>
      <c r="H22" s="12" t="s">
        <v>21</v>
      </c>
      <c r="I22" s="12" t="s">
        <v>20</v>
      </c>
      <c r="J22" s="12" t="s">
        <v>21</v>
      </c>
      <c r="K22" s="12" t="s">
        <v>20</v>
      </c>
      <c r="L22" s="10">
        <f t="shared" si="0"/>
        <v>549.54999999999995</v>
      </c>
      <c r="M22" s="10">
        <f t="shared" si="1"/>
        <v>74.55</v>
      </c>
    </row>
    <row r="23" spans="1:13" ht="30" customHeight="1" x14ac:dyDescent="0.3">
      <c r="A23" s="6" t="s">
        <v>54</v>
      </c>
      <c r="B23" s="6" t="s">
        <v>44</v>
      </c>
      <c r="C23" s="6" t="s">
        <v>55</v>
      </c>
      <c r="D23" s="6" t="s">
        <v>18</v>
      </c>
      <c r="E23" s="9">
        <v>583</v>
      </c>
      <c r="F23" s="9">
        <v>75</v>
      </c>
      <c r="G23" s="11">
        <v>2</v>
      </c>
      <c r="H23" s="12" t="s">
        <v>21</v>
      </c>
      <c r="I23" s="12" t="s">
        <v>20</v>
      </c>
      <c r="J23" s="12" t="s">
        <v>20</v>
      </c>
      <c r="K23" s="12" t="s">
        <v>20</v>
      </c>
      <c r="L23" s="10">
        <f t="shared" si="0"/>
        <v>583</v>
      </c>
      <c r="M23" s="10">
        <f t="shared" si="1"/>
        <v>74.55</v>
      </c>
    </row>
    <row r="24" spans="1:13" ht="30" customHeight="1" x14ac:dyDescent="0.3">
      <c r="A24" s="6" t="s">
        <v>56</v>
      </c>
      <c r="B24" s="6" t="s">
        <v>44</v>
      </c>
      <c r="C24" s="6" t="s">
        <v>57</v>
      </c>
      <c r="D24" s="6" t="s">
        <v>18</v>
      </c>
      <c r="E24" s="9">
        <v>537</v>
      </c>
      <c r="F24" s="9">
        <v>332</v>
      </c>
      <c r="G24" s="11">
        <v>1</v>
      </c>
      <c r="H24" s="12" t="s">
        <v>19</v>
      </c>
      <c r="I24" s="12" t="s">
        <v>19</v>
      </c>
      <c r="J24" s="12" t="s">
        <v>19</v>
      </c>
      <c r="K24" s="12" t="s">
        <v>19</v>
      </c>
      <c r="L24" s="10">
        <f t="shared" si="0"/>
        <v>533</v>
      </c>
      <c r="M24" s="10">
        <f t="shared" si="1"/>
        <v>328</v>
      </c>
    </row>
    <row r="25" spans="1:13" ht="30" customHeight="1" x14ac:dyDescent="0.3">
      <c r="A25" s="6" t="s">
        <v>58</v>
      </c>
      <c r="B25" s="6" t="s">
        <v>44</v>
      </c>
      <c r="C25" s="6" t="s">
        <v>59</v>
      </c>
      <c r="D25" s="6" t="s">
        <v>18</v>
      </c>
      <c r="E25" s="9">
        <v>537</v>
      </c>
      <c r="F25" s="9">
        <v>332</v>
      </c>
      <c r="G25" s="11">
        <v>1</v>
      </c>
      <c r="H25" s="12" t="s">
        <v>19</v>
      </c>
      <c r="I25" s="12" t="s">
        <v>19</v>
      </c>
      <c r="J25" s="12" t="s">
        <v>19</v>
      </c>
      <c r="K25" s="12" t="s">
        <v>19</v>
      </c>
      <c r="L25" s="10">
        <f t="shared" si="0"/>
        <v>533</v>
      </c>
      <c r="M25" s="10">
        <f t="shared" si="1"/>
        <v>328</v>
      </c>
    </row>
    <row r="26" spans="1:13" ht="30" customHeight="1" x14ac:dyDescent="0.3">
      <c r="A26" s="6" t="s">
        <v>60</v>
      </c>
      <c r="B26" s="6" t="s">
        <v>44</v>
      </c>
      <c r="C26" s="6" t="s">
        <v>61</v>
      </c>
      <c r="D26" s="6" t="s">
        <v>18</v>
      </c>
      <c r="E26" s="9">
        <v>638</v>
      </c>
      <c r="F26" s="9">
        <v>550</v>
      </c>
      <c r="G26" s="11">
        <v>1</v>
      </c>
      <c r="H26" s="12" t="s">
        <v>19</v>
      </c>
      <c r="I26" s="12" t="s">
        <v>20</v>
      </c>
      <c r="J26" s="12" t="s">
        <v>20</v>
      </c>
      <c r="K26" s="12" t="s">
        <v>20</v>
      </c>
      <c r="L26" s="10">
        <f t="shared" si="0"/>
        <v>638</v>
      </c>
      <c r="M26" s="10">
        <f t="shared" si="1"/>
        <v>548</v>
      </c>
    </row>
    <row r="27" spans="1:13" ht="30" customHeight="1" x14ac:dyDescent="0.3">
      <c r="A27" s="6" t="s">
        <v>62</v>
      </c>
      <c r="B27" s="6" t="s">
        <v>63</v>
      </c>
      <c r="C27" s="6" t="s">
        <v>17</v>
      </c>
      <c r="D27" s="6" t="s">
        <v>18</v>
      </c>
      <c r="E27" s="9">
        <v>785</v>
      </c>
      <c r="F27" s="9">
        <v>580</v>
      </c>
      <c r="G27" s="11">
        <v>2</v>
      </c>
      <c r="H27" s="12" t="s">
        <v>19</v>
      </c>
      <c r="I27" s="12" t="s">
        <v>20</v>
      </c>
      <c r="J27" s="12" t="s">
        <v>21</v>
      </c>
      <c r="K27" s="12" t="s">
        <v>20</v>
      </c>
      <c r="L27" s="10">
        <f t="shared" si="0"/>
        <v>784.55</v>
      </c>
      <c r="M27" s="10">
        <f t="shared" si="1"/>
        <v>578</v>
      </c>
    </row>
    <row r="28" spans="1:13" ht="30" customHeight="1" x14ac:dyDescent="0.3">
      <c r="A28" s="6" t="s">
        <v>64</v>
      </c>
      <c r="B28" s="6" t="s">
        <v>63</v>
      </c>
      <c r="C28" s="6" t="s">
        <v>23</v>
      </c>
      <c r="D28" s="6" t="s">
        <v>18</v>
      </c>
      <c r="E28" s="9">
        <v>670</v>
      </c>
      <c r="F28" s="9">
        <v>580</v>
      </c>
      <c r="G28" s="11">
        <v>1</v>
      </c>
      <c r="H28" s="12" t="s">
        <v>19</v>
      </c>
      <c r="I28" s="12" t="s">
        <v>20</v>
      </c>
      <c r="J28" s="12" t="s">
        <v>20</v>
      </c>
      <c r="K28" s="12" t="s">
        <v>20</v>
      </c>
      <c r="L28" s="10">
        <f t="shared" si="0"/>
        <v>670</v>
      </c>
      <c r="M28" s="10">
        <f t="shared" si="1"/>
        <v>578</v>
      </c>
    </row>
    <row r="29" spans="1:13" ht="30" customHeight="1" x14ac:dyDescent="0.3">
      <c r="A29" s="6" t="s">
        <v>65</v>
      </c>
      <c r="B29" s="6" t="s">
        <v>63</v>
      </c>
      <c r="C29" s="6" t="s">
        <v>66</v>
      </c>
      <c r="D29" s="6" t="s">
        <v>18</v>
      </c>
      <c r="E29" s="9">
        <v>670</v>
      </c>
      <c r="F29" s="9">
        <v>100</v>
      </c>
      <c r="G29" s="11">
        <v>2</v>
      </c>
      <c r="H29" s="12" t="s">
        <v>21</v>
      </c>
      <c r="I29" s="12" t="s">
        <v>21</v>
      </c>
      <c r="J29" s="12" t="s">
        <v>21</v>
      </c>
      <c r="K29" s="12" t="s">
        <v>21</v>
      </c>
      <c r="L29" s="10">
        <f t="shared" si="0"/>
        <v>669.09999999999991</v>
      </c>
      <c r="M29" s="10">
        <f t="shared" si="1"/>
        <v>99.1</v>
      </c>
    </row>
    <row r="30" spans="1:13" ht="30" customHeight="1" x14ac:dyDescent="0.3">
      <c r="A30" s="6" t="s">
        <v>67</v>
      </c>
      <c r="B30" s="6" t="s">
        <v>63</v>
      </c>
      <c r="C30" s="6" t="s">
        <v>27</v>
      </c>
      <c r="D30" s="6" t="s">
        <v>28</v>
      </c>
      <c r="E30" s="9">
        <v>696</v>
      </c>
      <c r="F30" s="9">
        <v>781</v>
      </c>
      <c r="G30" s="11">
        <v>1</v>
      </c>
      <c r="H30" s="12" t="s">
        <v>20</v>
      </c>
      <c r="I30" s="12" t="s">
        <v>20</v>
      </c>
      <c r="J30" s="12" t="s">
        <v>20</v>
      </c>
      <c r="K30" s="12" t="s">
        <v>20</v>
      </c>
      <c r="L30" s="10">
        <f t="shared" si="0"/>
        <v>696</v>
      </c>
      <c r="M30" s="10">
        <f t="shared" si="1"/>
        <v>781</v>
      </c>
    </row>
    <row r="31" spans="1:13" ht="30" customHeight="1" x14ac:dyDescent="0.3">
      <c r="A31" s="6" t="s">
        <v>68</v>
      </c>
      <c r="B31" s="6" t="s">
        <v>63</v>
      </c>
      <c r="C31" s="6" t="s">
        <v>69</v>
      </c>
      <c r="D31" s="6" t="s">
        <v>18</v>
      </c>
      <c r="E31" s="9">
        <v>732</v>
      </c>
      <c r="F31" s="9">
        <v>347</v>
      </c>
      <c r="G31" s="11">
        <v>1</v>
      </c>
      <c r="H31" s="12" t="s">
        <v>19</v>
      </c>
      <c r="I31" s="12" t="s">
        <v>19</v>
      </c>
      <c r="J31" s="12" t="s">
        <v>19</v>
      </c>
      <c r="K31" s="12" t="s">
        <v>19</v>
      </c>
      <c r="L31" s="10">
        <f t="shared" si="0"/>
        <v>728</v>
      </c>
      <c r="M31" s="10">
        <f t="shared" si="1"/>
        <v>343</v>
      </c>
    </row>
    <row r="32" spans="1:13" ht="30" customHeight="1" x14ac:dyDescent="0.3">
      <c r="A32" s="6" t="s">
        <v>70</v>
      </c>
      <c r="B32" s="6" t="s">
        <v>63</v>
      </c>
      <c r="C32" s="6" t="s">
        <v>71</v>
      </c>
      <c r="D32" s="6" t="s">
        <v>18</v>
      </c>
      <c r="E32" s="9">
        <v>732</v>
      </c>
      <c r="F32" s="9">
        <v>347</v>
      </c>
      <c r="G32" s="11">
        <v>1</v>
      </c>
      <c r="H32" s="12" t="s">
        <v>19</v>
      </c>
      <c r="I32" s="12" t="s">
        <v>19</v>
      </c>
      <c r="J32" s="12" t="s">
        <v>19</v>
      </c>
      <c r="K32" s="12" t="s">
        <v>19</v>
      </c>
      <c r="L32" s="10">
        <f t="shared" si="0"/>
        <v>728</v>
      </c>
      <c r="M32" s="10">
        <f t="shared" si="1"/>
        <v>343</v>
      </c>
    </row>
    <row r="33" spans="1:13" ht="30" customHeight="1" x14ac:dyDescent="0.3">
      <c r="A33" s="6" t="s">
        <v>72</v>
      </c>
      <c r="B33" s="6" t="s">
        <v>63</v>
      </c>
      <c r="C33" s="6" t="s">
        <v>73</v>
      </c>
      <c r="D33" s="6" t="s">
        <v>18</v>
      </c>
      <c r="E33" s="9">
        <v>668</v>
      </c>
      <c r="F33" s="9">
        <v>520</v>
      </c>
      <c r="G33" s="11">
        <v>1</v>
      </c>
      <c r="H33" s="12" t="s">
        <v>19</v>
      </c>
      <c r="I33" s="12" t="s">
        <v>21</v>
      </c>
      <c r="J33" s="12" t="s">
        <v>21</v>
      </c>
      <c r="K33" s="12" t="s">
        <v>21</v>
      </c>
      <c r="L33" s="10">
        <f t="shared" si="0"/>
        <v>667.09999999999991</v>
      </c>
      <c r="M33" s="10">
        <f t="shared" si="1"/>
        <v>517.54999999999995</v>
      </c>
    </row>
    <row r="34" spans="1:13" ht="30" customHeight="1" x14ac:dyDescent="0.3">
      <c r="A34" s="6" t="s">
        <v>74</v>
      </c>
      <c r="B34" s="6" t="s">
        <v>75</v>
      </c>
      <c r="C34" s="6" t="s">
        <v>17</v>
      </c>
      <c r="D34" s="6" t="s">
        <v>18</v>
      </c>
      <c r="E34" s="9">
        <v>785</v>
      </c>
      <c r="F34" s="9">
        <v>580</v>
      </c>
      <c r="G34" s="11">
        <v>2</v>
      </c>
      <c r="H34" s="12" t="s">
        <v>19</v>
      </c>
      <c r="I34" s="12" t="s">
        <v>20</v>
      </c>
      <c r="J34" s="12" t="s">
        <v>21</v>
      </c>
      <c r="K34" s="12" t="s">
        <v>20</v>
      </c>
      <c r="L34" s="10">
        <f t="shared" si="0"/>
        <v>784.55</v>
      </c>
      <c r="M34" s="10">
        <f t="shared" si="1"/>
        <v>578</v>
      </c>
    </row>
    <row r="35" spans="1:13" ht="30" customHeight="1" x14ac:dyDescent="0.3">
      <c r="A35" s="6" t="s">
        <v>76</v>
      </c>
      <c r="B35" s="6" t="s">
        <v>75</v>
      </c>
      <c r="C35" s="6" t="s">
        <v>23</v>
      </c>
      <c r="D35" s="6" t="s">
        <v>18</v>
      </c>
      <c r="E35" s="9">
        <v>370</v>
      </c>
      <c r="F35" s="9">
        <v>580</v>
      </c>
      <c r="G35" s="11">
        <v>1</v>
      </c>
      <c r="H35" s="12" t="s">
        <v>19</v>
      </c>
      <c r="I35" s="12" t="s">
        <v>20</v>
      </c>
      <c r="J35" s="12" t="s">
        <v>20</v>
      </c>
      <c r="K35" s="12" t="s">
        <v>20</v>
      </c>
      <c r="L35" s="10">
        <f t="shared" si="0"/>
        <v>370</v>
      </c>
      <c r="M35" s="10">
        <f t="shared" si="1"/>
        <v>578</v>
      </c>
    </row>
    <row r="36" spans="1:13" ht="30" customHeight="1" x14ac:dyDescent="0.3">
      <c r="A36" s="6" t="s">
        <v>77</v>
      </c>
      <c r="B36" s="6" t="s">
        <v>75</v>
      </c>
      <c r="C36" s="6" t="s">
        <v>25</v>
      </c>
      <c r="D36" s="6" t="s">
        <v>18</v>
      </c>
      <c r="E36" s="9">
        <v>370</v>
      </c>
      <c r="F36" s="9">
        <v>100</v>
      </c>
      <c r="G36" s="11">
        <v>2</v>
      </c>
      <c r="H36" s="12" t="s">
        <v>21</v>
      </c>
      <c r="I36" s="12" t="s">
        <v>21</v>
      </c>
      <c r="J36" s="12" t="s">
        <v>20</v>
      </c>
      <c r="K36" s="12" t="s">
        <v>20</v>
      </c>
      <c r="L36" s="10">
        <f t="shared" si="0"/>
        <v>370</v>
      </c>
      <c r="M36" s="10">
        <f t="shared" si="1"/>
        <v>99.1</v>
      </c>
    </row>
    <row r="37" spans="1:13" ht="30" customHeight="1" x14ac:dyDescent="0.3">
      <c r="A37" s="6" t="s">
        <v>78</v>
      </c>
      <c r="B37" s="6" t="s">
        <v>75</v>
      </c>
      <c r="C37" s="6" t="s">
        <v>27</v>
      </c>
      <c r="D37" s="6" t="s">
        <v>28</v>
      </c>
      <c r="E37" s="9">
        <v>396</v>
      </c>
      <c r="F37" s="9">
        <v>781</v>
      </c>
      <c r="G37" s="11">
        <v>1</v>
      </c>
      <c r="H37" s="12" t="s">
        <v>20</v>
      </c>
      <c r="I37" s="12" t="s">
        <v>20</v>
      </c>
      <c r="J37" s="12" t="s">
        <v>20</v>
      </c>
      <c r="K37" s="12" t="s">
        <v>20</v>
      </c>
      <c r="L37" s="10">
        <f t="shared" ref="L37:L68" si="2">E37-IF(J37="2",2,IF(J37="0.45",0.45,0))-IF(K37="2",2,IF(K37="0.45",0.45,0))</f>
        <v>396</v>
      </c>
      <c r="M37" s="10">
        <f t="shared" ref="M37:M68" si="3">F37-IF(H37="2",2,IF(H37="0.45",0.45,0))-IF(I37="2",2,IF(I37="0.45",0.45,0))</f>
        <v>781</v>
      </c>
    </row>
    <row r="38" spans="1:13" ht="30" customHeight="1" x14ac:dyDescent="0.3">
      <c r="A38" s="6" t="s">
        <v>79</v>
      </c>
      <c r="B38" s="6" t="s">
        <v>75</v>
      </c>
      <c r="C38" s="6" t="s">
        <v>80</v>
      </c>
      <c r="D38" s="6" t="s">
        <v>18</v>
      </c>
      <c r="E38" s="9">
        <v>370</v>
      </c>
      <c r="F38" s="9">
        <v>550</v>
      </c>
      <c r="G38" s="11">
        <v>1</v>
      </c>
      <c r="H38" s="12" t="s">
        <v>19</v>
      </c>
      <c r="I38" s="12" t="s">
        <v>20</v>
      </c>
      <c r="J38" s="12" t="s">
        <v>20</v>
      </c>
      <c r="K38" s="12" t="s">
        <v>20</v>
      </c>
      <c r="L38" s="10">
        <f t="shared" si="2"/>
        <v>370</v>
      </c>
      <c r="M38" s="10">
        <f t="shared" si="3"/>
        <v>548</v>
      </c>
    </row>
    <row r="39" spans="1:13" ht="30" customHeight="1" x14ac:dyDescent="0.3">
      <c r="A39" s="6" t="s">
        <v>81</v>
      </c>
      <c r="B39" s="6" t="s">
        <v>75</v>
      </c>
      <c r="C39" s="6" t="s">
        <v>82</v>
      </c>
      <c r="D39" s="6" t="s">
        <v>18</v>
      </c>
      <c r="E39" s="9">
        <v>402</v>
      </c>
      <c r="F39" s="9">
        <v>397</v>
      </c>
      <c r="G39" s="11">
        <v>1</v>
      </c>
      <c r="H39" s="12" t="s">
        <v>19</v>
      </c>
      <c r="I39" s="12" t="s">
        <v>19</v>
      </c>
      <c r="J39" s="12" t="s">
        <v>19</v>
      </c>
      <c r="K39" s="12" t="s">
        <v>19</v>
      </c>
      <c r="L39" s="10">
        <f t="shared" si="2"/>
        <v>398</v>
      </c>
      <c r="M39" s="10">
        <f t="shared" si="3"/>
        <v>393</v>
      </c>
    </row>
    <row r="40" spans="1:13" ht="30" customHeight="1" x14ac:dyDescent="0.3">
      <c r="A40" s="6" t="s">
        <v>83</v>
      </c>
      <c r="B40" s="6" t="s">
        <v>75</v>
      </c>
      <c r="C40" s="6" t="s">
        <v>84</v>
      </c>
      <c r="D40" s="6" t="s">
        <v>18</v>
      </c>
      <c r="E40" s="9">
        <v>302</v>
      </c>
      <c r="F40" s="9">
        <v>397</v>
      </c>
      <c r="G40" s="11">
        <v>1</v>
      </c>
      <c r="H40" s="12" t="s">
        <v>19</v>
      </c>
      <c r="I40" s="12" t="s">
        <v>19</v>
      </c>
      <c r="J40" s="12" t="s">
        <v>19</v>
      </c>
      <c r="K40" s="12" t="s">
        <v>19</v>
      </c>
      <c r="L40" s="10">
        <f t="shared" si="2"/>
        <v>298</v>
      </c>
      <c r="M40" s="10">
        <f t="shared" si="3"/>
        <v>393</v>
      </c>
    </row>
    <row r="41" spans="1:13" ht="58.05" customHeight="1" x14ac:dyDescent="0.3">
      <c r="A41" s="6" t="s">
        <v>85</v>
      </c>
      <c r="B41" s="6" t="s">
        <v>75</v>
      </c>
      <c r="C41" s="25" t="s">
        <v>86</v>
      </c>
      <c r="D41" s="6" t="s">
        <v>18</v>
      </c>
      <c r="E41" s="9">
        <v>343</v>
      </c>
      <c r="F41" s="9">
        <v>550</v>
      </c>
      <c r="G41" s="11">
        <v>1</v>
      </c>
      <c r="H41" s="12" t="s">
        <v>21</v>
      </c>
      <c r="I41" s="12" t="s">
        <v>21</v>
      </c>
      <c r="J41" s="12" t="s">
        <v>21</v>
      </c>
      <c r="K41" s="12" t="s">
        <v>21</v>
      </c>
      <c r="L41" s="10">
        <f t="shared" si="2"/>
        <v>342.1</v>
      </c>
      <c r="M41" s="10">
        <f t="shared" si="3"/>
        <v>549.09999999999991</v>
      </c>
    </row>
    <row r="42" spans="1:13" ht="58.05" customHeight="1" x14ac:dyDescent="0.3">
      <c r="A42" s="6" t="s">
        <v>87</v>
      </c>
      <c r="B42" s="6" t="s">
        <v>75</v>
      </c>
      <c r="C42" s="25" t="s">
        <v>88</v>
      </c>
      <c r="D42" s="6" t="s">
        <v>18</v>
      </c>
      <c r="E42" s="9">
        <v>550</v>
      </c>
      <c r="F42" s="9">
        <v>60</v>
      </c>
      <c r="G42" s="11">
        <v>2</v>
      </c>
      <c r="H42" s="12" t="s">
        <v>21</v>
      </c>
      <c r="I42" s="12" t="s">
        <v>21</v>
      </c>
      <c r="J42" s="12" t="s">
        <v>21</v>
      </c>
      <c r="K42" s="12" t="s">
        <v>21</v>
      </c>
      <c r="L42" s="10">
        <f t="shared" si="2"/>
        <v>549.09999999999991</v>
      </c>
      <c r="M42" s="10">
        <f t="shared" si="3"/>
        <v>59.099999999999994</v>
      </c>
    </row>
    <row r="43" spans="1:13" ht="58.05" customHeight="1" x14ac:dyDescent="0.3">
      <c r="A43" s="6" t="s">
        <v>89</v>
      </c>
      <c r="B43" s="6" t="s">
        <v>75</v>
      </c>
      <c r="C43" s="25" t="s">
        <v>90</v>
      </c>
      <c r="D43" s="6" t="s">
        <v>18</v>
      </c>
      <c r="E43" s="9">
        <v>313</v>
      </c>
      <c r="F43" s="9">
        <v>60</v>
      </c>
      <c r="G43" s="11">
        <v>2</v>
      </c>
      <c r="H43" s="12" t="s">
        <v>21</v>
      </c>
      <c r="I43" s="12" t="s">
        <v>21</v>
      </c>
      <c r="J43" s="12" t="s">
        <v>21</v>
      </c>
      <c r="K43" s="12" t="s">
        <v>21</v>
      </c>
      <c r="L43" s="10">
        <f t="shared" si="2"/>
        <v>312.10000000000002</v>
      </c>
      <c r="M43" s="10">
        <f t="shared" si="3"/>
        <v>59.099999999999994</v>
      </c>
    </row>
    <row r="44" spans="1:13" ht="30" customHeight="1" x14ac:dyDescent="0.3">
      <c r="A44" s="6" t="s">
        <v>91</v>
      </c>
      <c r="B44" s="6" t="s">
        <v>92</v>
      </c>
      <c r="C44" s="6" t="s">
        <v>93</v>
      </c>
      <c r="D44" s="6" t="s">
        <v>18</v>
      </c>
      <c r="E44" s="9">
        <v>882</v>
      </c>
      <c r="F44" s="9">
        <v>595</v>
      </c>
      <c r="G44" s="11">
        <v>1</v>
      </c>
      <c r="H44" s="12" t="s">
        <v>19</v>
      </c>
      <c r="I44" s="12" t="s">
        <v>20</v>
      </c>
      <c r="J44" s="12" t="s">
        <v>21</v>
      </c>
      <c r="K44" s="12" t="s">
        <v>20</v>
      </c>
      <c r="L44" s="10">
        <f t="shared" si="2"/>
        <v>881.55</v>
      </c>
      <c r="M44" s="10">
        <f t="shared" si="3"/>
        <v>593</v>
      </c>
    </row>
    <row r="45" spans="1:13" ht="30" customHeight="1" x14ac:dyDescent="0.3">
      <c r="A45" s="6" t="s">
        <v>94</v>
      </c>
      <c r="B45" s="6" t="s">
        <v>92</v>
      </c>
      <c r="C45" s="6" t="s">
        <v>95</v>
      </c>
      <c r="D45" s="6" t="s">
        <v>18</v>
      </c>
      <c r="E45" s="9">
        <v>1275</v>
      </c>
      <c r="F45" s="9">
        <v>97</v>
      </c>
      <c r="G45" s="11">
        <v>2</v>
      </c>
      <c r="H45" s="12" t="s">
        <v>21</v>
      </c>
      <c r="I45" s="12" t="s">
        <v>21</v>
      </c>
      <c r="J45" s="12" t="s">
        <v>21</v>
      </c>
      <c r="K45" s="12" t="s">
        <v>21</v>
      </c>
      <c r="L45" s="10">
        <f t="shared" si="2"/>
        <v>1274.0999999999999</v>
      </c>
      <c r="M45" s="10">
        <f t="shared" si="3"/>
        <v>96.1</v>
      </c>
    </row>
    <row r="46" spans="1:13" ht="30" customHeight="1" x14ac:dyDescent="0.3">
      <c r="A46" s="6" t="s">
        <v>96</v>
      </c>
      <c r="B46" s="6" t="s">
        <v>97</v>
      </c>
      <c r="C46" s="6" t="s">
        <v>17</v>
      </c>
      <c r="D46" s="6" t="s">
        <v>18</v>
      </c>
      <c r="E46" s="9">
        <v>700</v>
      </c>
      <c r="F46" s="9">
        <v>320</v>
      </c>
      <c r="G46" s="11">
        <v>2</v>
      </c>
      <c r="H46" s="12" t="s">
        <v>19</v>
      </c>
      <c r="I46" s="12" t="s">
        <v>20</v>
      </c>
      <c r="J46" s="12" t="s">
        <v>19</v>
      </c>
      <c r="K46" s="12" t="s">
        <v>21</v>
      </c>
      <c r="L46" s="10">
        <f t="shared" si="2"/>
        <v>697.55</v>
      </c>
      <c r="M46" s="10">
        <f t="shared" si="3"/>
        <v>318</v>
      </c>
    </row>
    <row r="47" spans="1:13" ht="30" customHeight="1" x14ac:dyDescent="0.3">
      <c r="A47" s="6" t="s">
        <v>98</v>
      </c>
      <c r="B47" s="6" t="s">
        <v>97</v>
      </c>
      <c r="C47" s="6" t="s">
        <v>99</v>
      </c>
      <c r="D47" s="6" t="s">
        <v>18</v>
      </c>
      <c r="E47" s="9">
        <v>165</v>
      </c>
      <c r="F47" s="9">
        <v>320</v>
      </c>
      <c r="G47" s="11">
        <v>1</v>
      </c>
      <c r="H47" s="12" t="s">
        <v>19</v>
      </c>
      <c r="I47" s="12" t="s">
        <v>20</v>
      </c>
      <c r="J47" s="12" t="s">
        <v>20</v>
      </c>
      <c r="K47" s="12" t="s">
        <v>20</v>
      </c>
      <c r="L47" s="10">
        <f t="shared" si="2"/>
        <v>165</v>
      </c>
      <c r="M47" s="10">
        <f t="shared" si="3"/>
        <v>318</v>
      </c>
    </row>
    <row r="48" spans="1:13" ht="30" customHeight="1" x14ac:dyDescent="0.3">
      <c r="A48" s="6" t="s">
        <v>100</v>
      </c>
      <c r="B48" s="6" t="s">
        <v>97</v>
      </c>
      <c r="C48" s="6" t="s">
        <v>23</v>
      </c>
      <c r="D48" s="6" t="s">
        <v>18</v>
      </c>
      <c r="E48" s="9">
        <v>165</v>
      </c>
      <c r="F48" s="9">
        <v>320</v>
      </c>
      <c r="G48" s="11">
        <v>1</v>
      </c>
      <c r="H48" s="12" t="s">
        <v>19</v>
      </c>
      <c r="I48" s="12" t="s">
        <v>20</v>
      </c>
      <c r="J48" s="12" t="s">
        <v>20</v>
      </c>
      <c r="K48" s="12" t="s">
        <v>20</v>
      </c>
      <c r="L48" s="10">
        <f t="shared" si="2"/>
        <v>165</v>
      </c>
      <c r="M48" s="10">
        <f t="shared" si="3"/>
        <v>318</v>
      </c>
    </row>
    <row r="49" spans="1:13" ht="30" customHeight="1" x14ac:dyDescent="0.3">
      <c r="A49" s="6" t="s">
        <v>101</v>
      </c>
      <c r="B49" s="6" t="s">
        <v>97</v>
      </c>
      <c r="C49" s="6" t="s">
        <v>102</v>
      </c>
      <c r="D49" s="6" t="s">
        <v>28</v>
      </c>
      <c r="E49" s="9">
        <v>191</v>
      </c>
      <c r="F49" s="9">
        <v>696</v>
      </c>
      <c r="G49" s="11">
        <v>1</v>
      </c>
      <c r="H49" s="12" t="s">
        <v>20</v>
      </c>
      <c r="I49" s="12" t="s">
        <v>20</v>
      </c>
      <c r="J49" s="12" t="s">
        <v>20</v>
      </c>
      <c r="K49" s="12" t="s">
        <v>20</v>
      </c>
      <c r="L49" s="10">
        <f t="shared" si="2"/>
        <v>191</v>
      </c>
      <c r="M49" s="10">
        <f t="shared" si="3"/>
        <v>696</v>
      </c>
    </row>
    <row r="50" spans="1:13" ht="30" customHeight="1" x14ac:dyDescent="0.3">
      <c r="A50" s="6" t="s">
        <v>103</v>
      </c>
      <c r="B50" s="6" t="s">
        <v>97</v>
      </c>
      <c r="C50" s="6" t="s">
        <v>104</v>
      </c>
      <c r="D50" s="6" t="s">
        <v>18</v>
      </c>
      <c r="E50" s="9">
        <v>163</v>
      </c>
      <c r="F50" s="9">
        <v>300</v>
      </c>
      <c r="G50" s="11">
        <v>1</v>
      </c>
      <c r="H50" s="12" t="s">
        <v>19</v>
      </c>
      <c r="I50" s="12" t="s">
        <v>20</v>
      </c>
      <c r="J50" s="12" t="s">
        <v>20</v>
      </c>
      <c r="K50" s="12" t="s">
        <v>20</v>
      </c>
      <c r="L50" s="10">
        <f t="shared" si="2"/>
        <v>163</v>
      </c>
      <c r="M50" s="10">
        <f t="shared" si="3"/>
        <v>298</v>
      </c>
    </row>
    <row r="51" spans="1:13" ht="30" customHeight="1" x14ac:dyDescent="0.3">
      <c r="A51" s="6" t="s">
        <v>105</v>
      </c>
      <c r="B51" s="6" t="s">
        <v>97</v>
      </c>
      <c r="C51" s="6" t="s">
        <v>106</v>
      </c>
      <c r="D51" s="6" t="s">
        <v>18</v>
      </c>
      <c r="E51" s="9">
        <v>717</v>
      </c>
      <c r="F51" s="9">
        <v>192</v>
      </c>
      <c r="G51" s="11">
        <v>1</v>
      </c>
      <c r="H51" s="12" t="s">
        <v>19</v>
      </c>
      <c r="I51" s="12" t="s">
        <v>19</v>
      </c>
      <c r="J51" s="12" t="s">
        <v>19</v>
      </c>
      <c r="K51" s="12" t="s">
        <v>19</v>
      </c>
      <c r="L51" s="10">
        <f t="shared" si="2"/>
        <v>713</v>
      </c>
      <c r="M51" s="10">
        <f t="shared" si="3"/>
        <v>188</v>
      </c>
    </row>
    <row r="52" spans="1:13" ht="30" customHeight="1" x14ac:dyDescent="0.3">
      <c r="A52" s="6" t="s">
        <v>107</v>
      </c>
      <c r="B52" s="6" t="s">
        <v>108</v>
      </c>
      <c r="C52" s="6" t="s">
        <v>17</v>
      </c>
      <c r="D52" s="6" t="s">
        <v>18</v>
      </c>
      <c r="E52" s="9">
        <v>350</v>
      </c>
      <c r="F52" s="9">
        <v>320</v>
      </c>
      <c r="G52" s="11">
        <v>2</v>
      </c>
      <c r="H52" s="12" t="s">
        <v>19</v>
      </c>
      <c r="I52" s="12" t="s">
        <v>20</v>
      </c>
      <c r="J52" s="12" t="s">
        <v>19</v>
      </c>
      <c r="K52" s="12" t="s">
        <v>21</v>
      </c>
      <c r="L52" s="10">
        <f t="shared" si="2"/>
        <v>347.55</v>
      </c>
      <c r="M52" s="10">
        <f t="shared" si="3"/>
        <v>318</v>
      </c>
    </row>
    <row r="53" spans="1:13" ht="30" customHeight="1" x14ac:dyDescent="0.3">
      <c r="A53" s="6" t="s">
        <v>109</v>
      </c>
      <c r="B53" s="6" t="s">
        <v>108</v>
      </c>
      <c r="C53" s="6" t="s">
        <v>110</v>
      </c>
      <c r="D53" s="6" t="s">
        <v>18</v>
      </c>
      <c r="E53" s="9">
        <v>570</v>
      </c>
      <c r="F53" s="9">
        <v>320</v>
      </c>
      <c r="G53" s="11">
        <v>1</v>
      </c>
      <c r="H53" s="12" t="s">
        <v>19</v>
      </c>
      <c r="I53" s="12" t="s">
        <v>20</v>
      </c>
      <c r="J53" s="12" t="s">
        <v>20</v>
      </c>
      <c r="K53" s="12" t="s">
        <v>20</v>
      </c>
      <c r="L53" s="10">
        <f t="shared" si="2"/>
        <v>570</v>
      </c>
      <c r="M53" s="10">
        <f t="shared" si="3"/>
        <v>318</v>
      </c>
    </row>
    <row r="54" spans="1:13" ht="30" customHeight="1" x14ac:dyDescent="0.3">
      <c r="A54" s="6" t="s">
        <v>111</v>
      </c>
      <c r="B54" s="6" t="s">
        <v>108</v>
      </c>
      <c r="C54" s="6" t="s">
        <v>112</v>
      </c>
      <c r="D54" s="6" t="s">
        <v>18</v>
      </c>
      <c r="E54" s="9">
        <v>570</v>
      </c>
      <c r="F54" s="9">
        <v>320</v>
      </c>
      <c r="G54" s="11">
        <v>1</v>
      </c>
      <c r="H54" s="12" t="s">
        <v>19</v>
      </c>
      <c r="I54" s="12" t="s">
        <v>20</v>
      </c>
      <c r="J54" s="12" t="s">
        <v>20</v>
      </c>
      <c r="K54" s="12" t="s">
        <v>20</v>
      </c>
      <c r="L54" s="10">
        <f t="shared" si="2"/>
        <v>570</v>
      </c>
      <c r="M54" s="10">
        <f t="shared" si="3"/>
        <v>318</v>
      </c>
    </row>
    <row r="55" spans="1:13" ht="30" customHeight="1" x14ac:dyDescent="0.3">
      <c r="A55" s="6" t="s">
        <v>113</v>
      </c>
      <c r="B55" s="6" t="s">
        <v>108</v>
      </c>
      <c r="C55" s="6" t="s">
        <v>102</v>
      </c>
      <c r="D55" s="6" t="s">
        <v>28</v>
      </c>
      <c r="E55" s="9">
        <v>596</v>
      </c>
      <c r="F55" s="9">
        <v>346</v>
      </c>
      <c r="G55" s="11">
        <v>1</v>
      </c>
      <c r="H55" s="12" t="s">
        <v>20</v>
      </c>
      <c r="I55" s="12" t="s">
        <v>20</v>
      </c>
      <c r="J55" s="12" t="s">
        <v>20</v>
      </c>
      <c r="K55" s="12" t="s">
        <v>20</v>
      </c>
      <c r="L55" s="10">
        <f t="shared" si="2"/>
        <v>596</v>
      </c>
      <c r="M55" s="10">
        <f t="shared" si="3"/>
        <v>346</v>
      </c>
    </row>
    <row r="56" spans="1:13" ht="30" customHeight="1" x14ac:dyDescent="0.3">
      <c r="A56" s="6" t="s">
        <v>114</v>
      </c>
      <c r="B56" s="6" t="s">
        <v>108</v>
      </c>
      <c r="C56" s="6" t="s">
        <v>115</v>
      </c>
      <c r="D56" s="6" t="s">
        <v>18</v>
      </c>
      <c r="E56" s="9">
        <v>347</v>
      </c>
      <c r="F56" s="9">
        <v>597</v>
      </c>
      <c r="G56" s="11">
        <v>1</v>
      </c>
      <c r="H56" s="12" t="s">
        <v>19</v>
      </c>
      <c r="I56" s="12" t="s">
        <v>19</v>
      </c>
      <c r="J56" s="12" t="s">
        <v>19</v>
      </c>
      <c r="K56" s="12" t="s">
        <v>19</v>
      </c>
      <c r="L56" s="10">
        <f t="shared" si="2"/>
        <v>343</v>
      </c>
      <c r="M56" s="10">
        <f t="shared" si="3"/>
        <v>593</v>
      </c>
    </row>
    <row r="57" spans="1:13" ht="48" customHeight="1" x14ac:dyDescent="0.3">
      <c r="A57" s="6" t="s">
        <v>116</v>
      </c>
      <c r="B57" s="6" t="s">
        <v>108</v>
      </c>
      <c r="C57" s="6" t="s">
        <v>117</v>
      </c>
      <c r="D57" s="6" t="s">
        <v>18</v>
      </c>
      <c r="E57" s="9">
        <v>570</v>
      </c>
      <c r="F57" s="9">
        <v>60</v>
      </c>
      <c r="G57" s="11">
        <v>1</v>
      </c>
      <c r="H57" s="12" t="s">
        <v>19</v>
      </c>
      <c r="I57" s="12" t="s">
        <v>21</v>
      </c>
      <c r="J57" s="12" t="s">
        <v>21</v>
      </c>
      <c r="K57" s="12" t="s">
        <v>21</v>
      </c>
      <c r="L57" s="10">
        <f t="shared" si="2"/>
        <v>569.09999999999991</v>
      </c>
      <c r="M57" s="10">
        <f t="shared" si="3"/>
        <v>57.55</v>
      </c>
    </row>
    <row r="58" spans="1:13" ht="30" customHeight="1" x14ac:dyDescent="0.3">
      <c r="A58" s="6" t="s">
        <v>118</v>
      </c>
      <c r="B58" s="6" t="s">
        <v>119</v>
      </c>
      <c r="C58" s="6" t="s">
        <v>17</v>
      </c>
      <c r="D58" s="6" t="s">
        <v>18</v>
      </c>
      <c r="E58" s="9">
        <v>700</v>
      </c>
      <c r="F58" s="9">
        <v>320</v>
      </c>
      <c r="G58" s="11">
        <v>2</v>
      </c>
      <c r="H58" s="12" t="s">
        <v>19</v>
      </c>
      <c r="I58" s="12" t="s">
        <v>20</v>
      </c>
      <c r="J58" s="12" t="s">
        <v>19</v>
      </c>
      <c r="K58" s="12" t="s">
        <v>21</v>
      </c>
      <c r="L58" s="10">
        <f t="shared" si="2"/>
        <v>697.55</v>
      </c>
      <c r="M58" s="10">
        <f t="shared" si="3"/>
        <v>318</v>
      </c>
    </row>
    <row r="59" spans="1:13" ht="30" customHeight="1" x14ac:dyDescent="0.3">
      <c r="A59" s="6" t="s">
        <v>120</v>
      </c>
      <c r="B59" s="6" t="s">
        <v>119</v>
      </c>
      <c r="C59" s="6" t="s">
        <v>99</v>
      </c>
      <c r="D59" s="6" t="s">
        <v>18</v>
      </c>
      <c r="E59" s="9">
        <v>625</v>
      </c>
      <c r="F59" s="9">
        <v>320</v>
      </c>
      <c r="G59" s="11">
        <v>1</v>
      </c>
      <c r="H59" s="12" t="s">
        <v>19</v>
      </c>
      <c r="I59" s="12" t="s">
        <v>20</v>
      </c>
      <c r="J59" s="12" t="s">
        <v>20</v>
      </c>
      <c r="K59" s="12" t="s">
        <v>20</v>
      </c>
      <c r="L59" s="10">
        <f t="shared" si="2"/>
        <v>625</v>
      </c>
      <c r="M59" s="10">
        <f t="shared" si="3"/>
        <v>318</v>
      </c>
    </row>
    <row r="60" spans="1:13" ht="30" customHeight="1" x14ac:dyDescent="0.3">
      <c r="A60" s="6" t="s">
        <v>121</v>
      </c>
      <c r="B60" s="6" t="s">
        <v>119</v>
      </c>
      <c r="C60" s="6" t="s">
        <v>23</v>
      </c>
      <c r="D60" s="6" t="s">
        <v>18</v>
      </c>
      <c r="E60" s="9">
        <v>625</v>
      </c>
      <c r="F60" s="9">
        <v>320</v>
      </c>
      <c r="G60" s="11">
        <v>1</v>
      </c>
      <c r="H60" s="12" t="s">
        <v>19</v>
      </c>
      <c r="I60" s="12" t="s">
        <v>20</v>
      </c>
      <c r="J60" s="12" t="s">
        <v>20</v>
      </c>
      <c r="K60" s="12" t="s">
        <v>20</v>
      </c>
      <c r="L60" s="10">
        <f t="shared" si="2"/>
        <v>625</v>
      </c>
      <c r="M60" s="10">
        <f t="shared" si="3"/>
        <v>318</v>
      </c>
    </row>
    <row r="61" spans="1:13" ht="30" customHeight="1" x14ac:dyDescent="0.3">
      <c r="A61" s="6" t="s">
        <v>122</v>
      </c>
      <c r="B61" s="6" t="s">
        <v>119</v>
      </c>
      <c r="C61" s="6" t="s">
        <v>102</v>
      </c>
      <c r="D61" s="6" t="s">
        <v>28</v>
      </c>
      <c r="E61" s="9">
        <v>651</v>
      </c>
      <c r="F61" s="9">
        <v>696</v>
      </c>
      <c r="G61" s="11">
        <v>1</v>
      </c>
      <c r="H61" s="12" t="s">
        <v>20</v>
      </c>
      <c r="I61" s="12" t="s">
        <v>20</v>
      </c>
      <c r="J61" s="12" t="s">
        <v>20</v>
      </c>
      <c r="K61" s="12" t="s">
        <v>20</v>
      </c>
      <c r="L61" s="10">
        <f t="shared" si="2"/>
        <v>651</v>
      </c>
      <c r="M61" s="10">
        <f t="shared" si="3"/>
        <v>696</v>
      </c>
    </row>
    <row r="62" spans="1:13" ht="30" customHeight="1" x14ac:dyDescent="0.3">
      <c r="A62" s="6" t="s">
        <v>123</v>
      </c>
      <c r="B62" s="6" t="s">
        <v>119</v>
      </c>
      <c r="C62" s="6" t="s">
        <v>124</v>
      </c>
      <c r="D62" s="6" t="s">
        <v>18</v>
      </c>
      <c r="E62" s="9">
        <v>670</v>
      </c>
      <c r="F62" s="9">
        <v>320</v>
      </c>
      <c r="G62" s="11">
        <v>1</v>
      </c>
      <c r="H62" s="12" t="s">
        <v>19</v>
      </c>
      <c r="I62" s="12" t="s">
        <v>20</v>
      </c>
      <c r="J62" s="12" t="s">
        <v>20</v>
      </c>
      <c r="K62" s="12" t="s">
        <v>20</v>
      </c>
      <c r="L62" s="10">
        <f t="shared" si="2"/>
        <v>670</v>
      </c>
      <c r="M62" s="10">
        <f t="shared" si="3"/>
        <v>318</v>
      </c>
    </row>
    <row r="63" spans="1:13" ht="30" customHeight="1" x14ac:dyDescent="0.3">
      <c r="A63" s="6" t="s">
        <v>125</v>
      </c>
      <c r="B63" s="6" t="s">
        <v>119</v>
      </c>
      <c r="C63" s="6" t="s">
        <v>104</v>
      </c>
      <c r="D63" s="6" t="s">
        <v>18</v>
      </c>
      <c r="E63" s="9">
        <v>303</v>
      </c>
      <c r="F63" s="9">
        <v>300</v>
      </c>
      <c r="G63" s="11">
        <v>2</v>
      </c>
      <c r="H63" s="12" t="s">
        <v>19</v>
      </c>
      <c r="I63" s="12" t="s">
        <v>20</v>
      </c>
      <c r="J63" s="12" t="s">
        <v>20</v>
      </c>
      <c r="K63" s="12" t="s">
        <v>20</v>
      </c>
      <c r="L63" s="10">
        <f t="shared" si="2"/>
        <v>303</v>
      </c>
      <c r="M63" s="10">
        <f t="shared" si="3"/>
        <v>298</v>
      </c>
    </row>
    <row r="64" spans="1:13" ht="30" customHeight="1" x14ac:dyDescent="0.3">
      <c r="A64" s="6" t="s">
        <v>126</v>
      </c>
      <c r="B64" s="6" t="s">
        <v>119</v>
      </c>
      <c r="C64" s="6" t="s">
        <v>69</v>
      </c>
      <c r="D64" s="6" t="s">
        <v>18</v>
      </c>
      <c r="E64" s="9">
        <v>717</v>
      </c>
      <c r="F64" s="9">
        <v>324.5</v>
      </c>
      <c r="G64" s="11">
        <v>1</v>
      </c>
      <c r="H64" s="12" t="s">
        <v>19</v>
      </c>
      <c r="I64" s="12" t="s">
        <v>19</v>
      </c>
      <c r="J64" s="12" t="s">
        <v>19</v>
      </c>
      <c r="K64" s="12" t="s">
        <v>19</v>
      </c>
      <c r="L64" s="10">
        <f t="shared" si="2"/>
        <v>713</v>
      </c>
      <c r="M64" s="10">
        <f t="shared" si="3"/>
        <v>320.5</v>
      </c>
    </row>
    <row r="65" spans="1:13" ht="30" customHeight="1" x14ac:dyDescent="0.3">
      <c r="A65" s="6" t="s">
        <v>127</v>
      </c>
      <c r="B65" s="6" t="s">
        <v>119</v>
      </c>
      <c r="C65" s="6" t="s">
        <v>71</v>
      </c>
      <c r="D65" s="6" t="s">
        <v>18</v>
      </c>
      <c r="E65" s="9">
        <v>717</v>
      </c>
      <c r="F65" s="9">
        <v>324.5</v>
      </c>
      <c r="G65" s="11">
        <v>1</v>
      </c>
      <c r="H65" s="12" t="s">
        <v>19</v>
      </c>
      <c r="I65" s="12" t="s">
        <v>19</v>
      </c>
      <c r="J65" s="12" t="s">
        <v>19</v>
      </c>
      <c r="K65" s="12" t="s">
        <v>19</v>
      </c>
      <c r="L65" s="10">
        <f t="shared" si="2"/>
        <v>713</v>
      </c>
      <c r="M65" s="10">
        <f t="shared" si="3"/>
        <v>320.5</v>
      </c>
    </row>
    <row r="66" spans="1:13" ht="30" customHeight="1" x14ac:dyDescent="0.3">
      <c r="A66" s="6" t="s">
        <v>128</v>
      </c>
      <c r="B66" s="6" t="s">
        <v>129</v>
      </c>
      <c r="C66" s="6" t="s">
        <v>17</v>
      </c>
      <c r="D66" s="6" t="s">
        <v>18</v>
      </c>
      <c r="E66" s="9">
        <v>700</v>
      </c>
      <c r="F66" s="9">
        <v>320</v>
      </c>
      <c r="G66" s="11">
        <v>2</v>
      </c>
      <c r="H66" s="12" t="s">
        <v>19</v>
      </c>
      <c r="I66" s="12" t="s">
        <v>20</v>
      </c>
      <c r="J66" s="12" t="s">
        <v>19</v>
      </c>
      <c r="K66" s="12" t="s">
        <v>21</v>
      </c>
      <c r="L66" s="10">
        <f t="shared" si="2"/>
        <v>697.55</v>
      </c>
      <c r="M66" s="10">
        <f t="shared" si="3"/>
        <v>318</v>
      </c>
    </row>
    <row r="67" spans="1:13" ht="30" customHeight="1" x14ac:dyDescent="0.3">
      <c r="A67" s="6" t="s">
        <v>130</v>
      </c>
      <c r="B67" s="6" t="s">
        <v>129</v>
      </c>
      <c r="C67" s="6" t="s">
        <v>99</v>
      </c>
      <c r="D67" s="6" t="s">
        <v>18</v>
      </c>
      <c r="E67" s="9">
        <v>685</v>
      </c>
      <c r="F67" s="9">
        <v>320</v>
      </c>
      <c r="G67" s="11">
        <v>1</v>
      </c>
      <c r="H67" s="12" t="s">
        <v>19</v>
      </c>
      <c r="I67" s="12" t="s">
        <v>20</v>
      </c>
      <c r="J67" s="12" t="s">
        <v>20</v>
      </c>
      <c r="K67" s="12" t="s">
        <v>20</v>
      </c>
      <c r="L67" s="10">
        <f t="shared" si="2"/>
        <v>685</v>
      </c>
      <c r="M67" s="10">
        <f t="shared" si="3"/>
        <v>318</v>
      </c>
    </row>
    <row r="68" spans="1:13" ht="30" customHeight="1" x14ac:dyDescent="0.3">
      <c r="A68" s="6" t="s">
        <v>131</v>
      </c>
      <c r="B68" s="6" t="s">
        <v>129</v>
      </c>
      <c r="C68" s="6" t="s">
        <v>132</v>
      </c>
      <c r="D68" s="6" t="s">
        <v>18</v>
      </c>
      <c r="E68" s="9">
        <v>685</v>
      </c>
      <c r="F68" s="9">
        <v>60</v>
      </c>
      <c r="G68" s="11">
        <v>1</v>
      </c>
      <c r="H68" s="12" t="s">
        <v>21</v>
      </c>
      <c r="I68" s="12" t="s">
        <v>21</v>
      </c>
      <c r="J68" s="12" t="s">
        <v>21</v>
      </c>
      <c r="K68" s="12" t="s">
        <v>21</v>
      </c>
      <c r="L68" s="10">
        <f t="shared" si="2"/>
        <v>684.09999999999991</v>
      </c>
      <c r="M68" s="10">
        <f t="shared" si="3"/>
        <v>59.099999999999994</v>
      </c>
    </row>
    <row r="69" spans="1:13" ht="30" customHeight="1" x14ac:dyDescent="0.3">
      <c r="A69" s="6" t="s">
        <v>133</v>
      </c>
      <c r="B69" s="6" t="s">
        <v>129</v>
      </c>
      <c r="C69" s="6" t="s">
        <v>134</v>
      </c>
      <c r="D69" s="6" t="s">
        <v>18</v>
      </c>
      <c r="E69" s="9">
        <v>685</v>
      </c>
      <c r="F69" s="9">
        <v>80</v>
      </c>
      <c r="G69" s="11">
        <v>1</v>
      </c>
      <c r="H69" s="12" t="s">
        <v>21</v>
      </c>
      <c r="I69" s="12" t="s">
        <v>21</v>
      </c>
      <c r="J69" s="12" t="s">
        <v>21</v>
      </c>
      <c r="K69" s="12" t="s">
        <v>21</v>
      </c>
      <c r="L69" s="10">
        <f t="shared" ref="L69:L78" si="4">E69-IF(J69="2",2,IF(J69="0.45",0.45,0))-IF(K69="2",2,IF(K69="0.45",0.45,0))</f>
        <v>684.09999999999991</v>
      </c>
      <c r="M69" s="10">
        <f t="shared" ref="M69:M78" si="5">F69-IF(H69="2",2,IF(H69="0.45",0.45,0))-IF(I69="2",2,IF(I69="0.45",0.45,0))</f>
        <v>79.099999999999994</v>
      </c>
    </row>
    <row r="70" spans="1:13" ht="30" customHeight="1" x14ac:dyDescent="0.3">
      <c r="A70" s="6" t="s">
        <v>135</v>
      </c>
      <c r="B70" s="6" t="s">
        <v>129</v>
      </c>
      <c r="C70" s="6" t="s">
        <v>102</v>
      </c>
      <c r="D70" s="6" t="s">
        <v>28</v>
      </c>
      <c r="E70" s="9">
        <v>711</v>
      </c>
      <c r="F70" s="9">
        <v>696</v>
      </c>
      <c r="G70" s="11">
        <v>1</v>
      </c>
      <c r="H70" s="12" t="s">
        <v>20</v>
      </c>
      <c r="I70" s="12" t="s">
        <v>20</v>
      </c>
      <c r="J70" s="12" t="s">
        <v>20</v>
      </c>
      <c r="K70" s="12" t="s">
        <v>20</v>
      </c>
      <c r="L70" s="10">
        <f t="shared" si="4"/>
        <v>711</v>
      </c>
      <c r="M70" s="10">
        <f t="shared" si="5"/>
        <v>696</v>
      </c>
    </row>
    <row r="71" spans="1:13" ht="30" customHeight="1" x14ac:dyDescent="0.3">
      <c r="A71" s="6" t="s">
        <v>136</v>
      </c>
      <c r="B71" s="6" t="s">
        <v>129</v>
      </c>
      <c r="C71" s="6" t="s">
        <v>69</v>
      </c>
      <c r="D71" s="6" t="s">
        <v>18</v>
      </c>
      <c r="E71" s="9">
        <v>717</v>
      </c>
      <c r="F71" s="9">
        <v>354.5</v>
      </c>
      <c r="G71" s="11">
        <v>1</v>
      </c>
      <c r="H71" s="12" t="s">
        <v>19</v>
      </c>
      <c r="I71" s="12" t="s">
        <v>19</v>
      </c>
      <c r="J71" s="12" t="s">
        <v>19</v>
      </c>
      <c r="K71" s="12" t="s">
        <v>19</v>
      </c>
      <c r="L71" s="10">
        <f t="shared" si="4"/>
        <v>713</v>
      </c>
      <c r="M71" s="10">
        <f t="shared" si="5"/>
        <v>350.5</v>
      </c>
    </row>
    <row r="72" spans="1:13" ht="30" customHeight="1" x14ac:dyDescent="0.3">
      <c r="A72" s="6" t="s">
        <v>137</v>
      </c>
      <c r="B72" s="6" t="s">
        <v>129</v>
      </c>
      <c r="C72" s="6" t="s">
        <v>71</v>
      </c>
      <c r="D72" s="6" t="s">
        <v>18</v>
      </c>
      <c r="E72" s="9">
        <v>717</v>
      </c>
      <c r="F72" s="9">
        <v>354.5</v>
      </c>
      <c r="G72" s="11">
        <v>1</v>
      </c>
      <c r="H72" s="12" t="s">
        <v>19</v>
      </c>
      <c r="I72" s="12" t="s">
        <v>19</v>
      </c>
      <c r="J72" s="12" t="s">
        <v>19</v>
      </c>
      <c r="K72" s="12" t="s">
        <v>19</v>
      </c>
      <c r="L72" s="10">
        <f t="shared" si="4"/>
        <v>713</v>
      </c>
      <c r="M72" s="10">
        <f t="shared" si="5"/>
        <v>350.5</v>
      </c>
    </row>
    <row r="73" spans="1:13" ht="30" customHeight="1" x14ac:dyDescent="0.3">
      <c r="A73" s="6" t="s">
        <v>138</v>
      </c>
      <c r="B73" s="6" t="s">
        <v>139</v>
      </c>
      <c r="C73" s="6" t="s">
        <v>17</v>
      </c>
      <c r="D73" s="6" t="s">
        <v>18</v>
      </c>
      <c r="E73" s="9">
        <v>700</v>
      </c>
      <c r="F73" s="9">
        <v>320</v>
      </c>
      <c r="G73" s="11">
        <v>2</v>
      </c>
      <c r="H73" s="12" t="s">
        <v>19</v>
      </c>
      <c r="I73" s="12" t="s">
        <v>20</v>
      </c>
      <c r="J73" s="12" t="s">
        <v>19</v>
      </c>
      <c r="K73" s="12" t="s">
        <v>21</v>
      </c>
      <c r="L73" s="10">
        <f t="shared" si="4"/>
        <v>697.55</v>
      </c>
      <c r="M73" s="10">
        <f t="shared" si="5"/>
        <v>318</v>
      </c>
    </row>
    <row r="74" spans="1:13" ht="30" customHeight="1" x14ac:dyDescent="0.3">
      <c r="A74" s="6" t="s">
        <v>140</v>
      </c>
      <c r="B74" s="6" t="s">
        <v>139</v>
      </c>
      <c r="C74" s="6" t="s">
        <v>99</v>
      </c>
      <c r="D74" s="6" t="s">
        <v>18</v>
      </c>
      <c r="E74" s="9">
        <v>370</v>
      </c>
      <c r="F74" s="9">
        <v>320</v>
      </c>
      <c r="G74" s="11">
        <v>1</v>
      </c>
      <c r="H74" s="12" t="s">
        <v>19</v>
      </c>
      <c r="I74" s="12" t="s">
        <v>20</v>
      </c>
      <c r="J74" s="12" t="s">
        <v>20</v>
      </c>
      <c r="K74" s="12" t="s">
        <v>20</v>
      </c>
      <c r="L74" s="10">
        <f t="shared" si="4"/>
        <v>370</v>
      </c>
      <c r="M74" s="10">
        <f t="shared" si="5"/>
        <v>318</v>
      </c>
    </row>
    <row r="75" spans="1:13" ht="30" customHeight="1" x14ac:dyDescent="0.3">
      <c r="A75" s="6" t="s">
        <v>141</v>
      </c>
      <c r="B75" s="6" t="s">
        <v>139</v>
      </c>
      <c r="C75" s="6" t="s">
        <v>23</v>
      </c>
      <c r="D75" s="6" t="s">
        <v>18</v>
      </c>
      <c r="E75" s="9">
        <v>370</v>
      </c>
      <c r="F75" s="9">
        <v>320</v>
      </c>
      <c r="G75" s="11">
        <v>1</v>
      </c>
      <c r="H75" s="12" t="s">
        <v>19</v>
      </c>
      <c r="I75" s="12" t="s">
        <v>20</v>
      </c>
      <c r="J75" s="12" t="s">
        <v>20</v>
      </c>
      <c r="K75" s="12" t="s">
        <v>20</v>
      </c>
      <c r="L75" s="10">
        <f t="shared" si="4"/>
        <v>370</v>
      </c>
      <c r="M75" s="10">
        <f t="shared" si="5"/>
        <v>318</v>
      </c>
    </row>
    <row r="76" spans="1:13" ht="30" customHeight="1" x14ac:dyDescent="0.3">
      <c r="A76" s="6" t="s">
        <v>142</v>
      </c>
      <c r="B76" s="6" t="s">
        <v>139</v>
      </c>
      <c r="C76" s="6" t="s">
        <v>102</v>
      </c>
      <c r="D76" s="6" t="s">
        <v>28</v>
      </c>
      <c r="E76" s="9">
        <v>396</v>
      </c>
      <c r="F76" s="9">
        <v>696</v>
      </c>
      <c r="G76" s="11">
        <v>1</v>
      </c>
      <c r="H76" s="12" t="s">
        <v>20</v>
      </c>
      <c r="I76" s="12" t="s">
        <v>20</v>
      </c>
      <c r="J76" s="12" t="s">
        <v>20</v>
      </c>
      <c r="K76" s="12" t="s">
        <v>20</v>
      </c>
      <c r="L76" s="10">
        <f t="shared" si="4"/>
        <v>396</v>
      </c>
      <c r="M76" s="10">
        <f t="shared" si="5"/>
        <v>696</v>
      </c>
    </row>
    <row r="77" spans="1:13" ht="30" customHeight="1" x14ac:dyDescent="0.3">
      <c r="A77" s="6" t="s">
        <v>143</v>
      </c>
      <c r="B77" s="6" t="s">
        <v>139</v>
      </c>
      <c r="C77" s="6" t="s">
        <v>104</v>
      </c>
      <c r="D77" s="6" t="s">
        <v>18</v>
      </c>
      <c r="E77" s="9">
        <v>368</v>
      </c>
      <c r="F77" s="9">
        <v>300</v>
      </c>
      <c r="G77" s="11">
        <v>1</v>
      </c>
      <c r="H77" s="12" t="s">
        <v>19</v>
      </c>
      <c r="I77" s="12" t="s">
        <v>20</v>
      </c>
      <c r="J77" s="12" t="s">
        <v>20</v>
      </c>
      <c r="K77" s="12" t="s">
        <v>20</v>
      </c>
      <c r="L77" s="10">
        <f t="shared" si="4"/>
        <v>368</v>
      </c>
      <c r="M77" s="10">
        <f t="shared" si="5"/>
        <v>298</v>
      </c>
    </row>
    <row r="78" spans="1:13" ht="30" customHeight="1" x14ac:dyDescent="0.3">
      <c r="A78" s="6" t="s">
        <v>144</v>
      </c>
      <c r="B78" s="6" t="s">
        <v>139</v>
      </c>
      <c r="C78" s="6" t="s">
        <v>106</v>
      </c>
      <c r="D78" s="6" t="s">
        <v>18</v>
      </c>
      <c r="E78" s="9">
        <v>717</v>
      </c>
      <c r="F78" s="9">
        <v>397</v>
      </c>
      <c r="G78" s="11">
        <v>1</v>
      </c>
      <c r="H78" s="12" t="s">
        <v>19</v>
      </c>
      <c r="I78" s="12" t="s">
        <v>19</v>
      </c>
      <c r="J78" s="12" t="s">
        <v>19</v>
      </c>
      <c r="K78" s="12" t="s">
        <v>19</v>
      </c>
      <c r="L78" s="10">
        <f t="shared" si="4"/>
        <v>713</v>
      </c>
      <c r="M78" s="10">
        <f t="shared" si="5"/>
        <v>393</v>
      </c>
    </row>
    <row r="79" spans="1:13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2"/>
      <c r="M79" s="2"/>
    </row>
    <row r="80" spans="1:13" x14ac:dyDescent="0.3">
      <c r="A80" s="1"/>
      <c r="B80" s="1"/>
      <c r="C80" s="26" t="s">
        <v>145</v>
      </c>
      <c r="D80" s="1"/>
      <c r="E80" s="1"/>
      <c r="F80" s="1"/>
      <c r="G80" s="26">
        <f>SUMIF(D5:D78,"Melamina Cartagena RH 15",G5:G78)</f>
        <v>85</v>
      </c>
      <c r="H80" s="1"/>
      <c r="I80" s="1"/>
      <c r="J80" s="1"/>
      <c r="K80" s="1"/>
      <c r="L80" s="2"/>
      <c r="M80" s="2"/>
    </row>
    <row r="81" spans="1:13" x14ac:dyDescent="0.3">
      <c r="A81" s="1"/>
      <c r="B81" s="1"/>
      <c r="C81" s="26" t="s">
        <v>146</v>
      </c>
      <c r="D81" s="1"/>
      <c r="E81" s="1"/>
      <c r="F81" s="1"/>
      <c r="G81" s="26">
        <f>SUMIF(D5:D78,"Fondo melamina 6",G5:G78)</f>
        <v>9</v>
      </c>
      <c r="H81" s="1"/>
      <c r="I81" s="1"/>
      <c r="J81" s="1"/>
      <c r="K81" s="1"/>
      <c r="L81" s="2"/>
      <c r="M81" s="2"/>
    </row>
  </sheetData>
  <mergeCells count="3">
    <mergeCell ref="A3:M3"/>
    <mergeCell ref="A2:M2"/>
    <mergeCell ref="A1: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97"/>
  <sheetViews>
    <sheetView workbookViewId="0">
      <pane ySplit="6" topLeftCell="A7" activePane="bottomLeft" state="frozen"/>
      <selection pane="bottomLeft"/>
    </sheetView>
  </sheetViews>
  <sheetFormatPr baseColWidth="10" defaultRowHeight="14.4" x14ac:dyDescent="0.3"/>
  <cols>
    <col min="1" max="1" width="9.77734375" customWidth="1"/>
    <col min="2" max="2" width="22.77734375" customWidth="1"/>
    <col min="3" max="3" width="38.77734375" customWidth="1"/>
    <col min="4" max="4" width="24.77734375" customWidth="1"/>
    <col min="5" max="5" width="6.77734375" customWidth="1"/>
    <col min="6" max="7" width="11.77734375" customWidth="1"/>
    <col min="8" max="11" width="7.77734375" customWidth="1"/>
    <col min="12" max="12" width="11.77734375" customWidth="1"/>
    <col min="13" max="13" width="14.77734375" customWidth="1"/>
    <col min="14" max="14" width="46.77734375" customWidth="1"/>
    <col min="16" max="16" width="48.77734375" customWidth="1"/>
    <col min="17" max="17" width="8.77734375" customWidth="1"/>
    <col min="19" max="19" width="10.77734375" customWidth="1"/>
    <col min="20" max="20" width="60.77734375" customWidth="1"/>
  </cols>
  <sheetData>
    <row r="1" spans="1:20" x14ac:dyDescent="0.3">
      <c r="S1" s="28" t="s">
        <v>147</v>
      </c>
    </row>
    <row r="2" spans="1:20" ht="18" x14ac:dyDescent="0.35">
      <c r="A2" s="29" t="s">
        <v>148</v>
      </c>
      <c r="P2" s="30" t="s">
        <v>149</v>
      </c>
      <c r="Q2" s="31" t="s">
        <v>318</v>
      </c>
      <c r="S2" s="28" t="s">
        <v>33</v>
      </c>
      <c r="T2" s="28" t="s">
        <v>407</v>
      </c>
    </row>
    <row r="3" spans="1:20" x14ac:dyDescent="0.3">
      <c r="A3" s="28" t="s">
        <v>319</v>
      </c>
      <c r="P3" s="30" t="s">
        <v>320</v>
      </c>
      <c r="Q3" s="33">
        <v>100</v>
      </c>
      <c r="S3" s="28" t="s">
        <v>37</v>
      </c>
      <c r="T3" s="28" t="s">
        <v>408</v>
      </c>
    </row>
    <row r="4" spans="1:20" x14ac:dyDescent="0.3">
      <c r="A4" s="28" t="s">
        <v>321</v>
      </c>
      <c r="P4" s="30" t="s">
        <v>322</v>
      </c>
      <c r="Q4" s="33">
        <v>250</v>
      </c>
      <c r="S4" s="28" t="s">
        <v>41</v>
      </c>
      <c r="T4" s="28" t="s">
        <v>409</v>
      </c>
    </row>
    <row r="5" spans="1:20" x14ac:dyDescent="0.3">
      <c r="P5" s="30" t="s">
        <v>150</v>
      </c>
      <c r="S5" s="28" t="s">
        <v>72</v>
      </c>
      <c r="T5" s="28" t="s">
        <v>323</v>
      </c>
    </row>
    <row r="6" spans="1:20" ht="28.8" x14ac:dyDescent="0.3">
      <c r="A6" s="39" t="s">
        <v>151</v>
      </c>
      <c r="B6" s="39" t="s">
        <v>152</v>
      </c>
      <c r="C6" s="39" t="s">
        <v>4</v>
      </c>
      <c r="D6" s="39" t="s">
        <v>5</v>
      </c>
      <c r="E6" s="39" t="s">
        <v>8</v>
      </c>
      <c r="F6" s="39" t="s">
        <v>153</v>
      </c>
      <c r="G6" s="39" t="s">
        <v>154</v>
      </c>
      <c r="H6" s="39" t="s">
        <v>155</v>
      </c>
      <c r="I6" s="39" t="s">
        <v>156</v>
      </c>
      <c r="J6" s="39" t="s">
        <v>157</v>
      </c>
      <c r="K6" s="39" t="s">
        <v>158</v>
      </c>
      <c r="L6" s="39" t="s">
        <v>159</v>
      </c>
      <c r="M6" s="39" t="s">
        <v>160</v>
      </c>
      <c r="N6" s="39" t="s">
        <v>161</v>
      </c>
      <c r="S6" s="28" t="s">
        <v>109</v>
      </c>
      <c r="T6" s="28" t="s">
        <v>162</v>
      </c>
    </row>
    <row r="7" spans="1:20" ht="28.8" x14ac:dyDescent="0.3">
      <c r="A7" s="40" t="str">
        <f>Despiece!A5</f>
        <v>P001</v>
      </c>
      <c r="B7" s="40" t="str">
        <f>Despiece!B5</f>
        <v>B1 Condimentero 18</v>
      </c>
      <c r="C7" s="40" t="str">
        <f>Despiece!C5</f>
        <v>Lateral</v>
      </c>
      <c r="D7" s="40" t="str">
        <f>Despiece!D5</f>
        <v>Melamina Cartagena RH 15</v>
      </c>
      <c r="E7" s="41">
        <f>Despiece!G5</f>
        <v>2</v>
      </c>
      <c r="F7" s="45">
        <f>IF($Q$2="NO",ROUND(Despiece!L5,2),Despiece!E5)</f>
        <v>785</v>
      </c>
      <c r="G7" s="45">
        <f>IF($Q$2="NO",ROUND(Despiece!M5,2),Despiece!F5)</f>
        <v>580</v>
      </c>
      <c r="H7" s="42" t="str">
        <f>IF(Despiece!H5="2","R",IF(Despiece!H5="0.45","F","—"))</f>
        <v>R</v>
      </c>
      <c r="I7" s="42" t="str">
        <f>IF(Despiece!I5="2","R",IF(Despiece!I5="0.45","F","—"))</f>
        <v>—</v>
      </c>
      <c r="J7" s="42" t="str">
        <f>IF(Despiece!J5="2","R",IF(Despiece!J5="0.45","F","—"))</f>
        <v>F</v>
      </c>
      <c r="K7" s="42" t="str">
        <f>IF(Despiece!K5="2","R",IF(Despiece!K5="0.45","F","—"))</f>
        <v>—</v>
      </c>
      <c r="L7" s="42" t="str">
        <f>IF(SUMPRODUCT((Despiece!H5:K5="2")+(Despiece!H5:K5="0.45"))=0,"Sin canto",IF(OR(MIN(Despiece!L5,Despiece!M5)&lt;$Q$3,MAX(Despiece!L5,Despiece!M5)&lt;$Q$4),"Pequeña","Normal"))</f>
        <v>Normal</v>
      </c>
      <c r="M7" s="40" t="str">
        <f>Despiece!E5&amp;" × "&amp;Despiece!F5</f>
        <v>785 × 580</v>
      </c>
      <c r="N7" s="43" t="str">
        <f>IF(LEN(TRIM(IF($L7="Pequeña","Si no la cantean: cortar a "&amp;ROUND(Despiece!L5,2)&amp;" × "&amp;ROUND(Despiece!M5,2)&amp;" y cantear en el armado.","")&amp;" "&amp;IFERROR(VLOOKUP(Despiece!A5,$S$2:$T$40,2,FALSE),"")))=0,"—",TRIM(IF($L7="Pequeña","Si no la cantean: cortar a "&amp;ROUND(Despiece!L5,2)&amp;" × "&amp;ROUND(Despiece!M5,2)&amp;" y cantear en el armado.","")&amp;" "&amp;IFERROR(VLOOKUP(Despiece!A5,$S$2:$T$40,2,FALSE),"")))</f>
        <v>Rebaje para la gola en el armado, cuando se defina el borde del granito; no lo hace el proveedor.</v>
      </c>
      <c r="S7" s="28" t="s">
        <v>111</v>
      </c>
      <c r="T7" s="28" t="s">
        <v>162</v>
      </c>
    </row>
    <row r="8" spans="1:20" x14ac:dyDescent="0.3">
      <c r="A8" s="40" t="str">
        <f>Despiece!A6</f>
        <v>P002</v>
      </c>
      <c r="B8" s="40" t="str">
        <f>Despiece!B6</f>
        <v>B1 Condimentero 18</v>
      </c>
      <c r="C8" s="40" t="str">
        <f>Despiece!C6</f>
        <v>Piso</v>
      </c>
      <c r="D8" s="40" t="str">
        <f>Despiece!D6</f>
        <v>Melamina Cartagena RH 15</v>
      </c>
      <c r="E8" s="41">
        <f>Despiece!G6</f>
        <v>1</v>
      </c>
      <c r="F8" s="45">
        <f>IF($Q$2="NO",ROUND(Despiece!L6,2),Despiece!E6)</f>
        <v>150</v>
      </c>
      <c r="G8" s="45">
        <f>IF($Q$2="NO",ROUND(Despiece!M6,2),Despiece!F6)</f>
        <v>580</v>
      </c>
      <c r="H8" s="42" t="str">
        <f>IF(Despiece!H6="2","R",IF(Despiece!H6="0.45","F","—"))</f>
        <v>R</v>
      </c>
      <c r="I8" s="42" t="str">
        <f>IF(Despiece!I6="2","R",IF(Despiece!I6="0.45","F","—"))</f>
        <v>—</v>
      </c>
      <c r="J8" s="42" t="str">
        <f>IF(Despiece!J6="2","R",IF(Despiece!J6="0.45","F","—"))</f>
        <v>—</v>
      </c>
      <c r="K8" s="42" t="str">
        <f>IF(Despiece!K6="2","R",IF(Despiece!K6="0.45","F","—"))</f>
        <v>—</v>
      </c>
      <c r="L8" s="42" t="str">
        <f>IF(SUMPRODUCT((Despiece!H6:K6="2")+(Despiece!H6:K6="0.45"))=0,"Sin canto",IF(OR(MIN(Despiece!L6,Despiece!M6)&lt;$Q$3,MAX(Despiece!L6,Despiece!M6)&lt;$Q$4),"Pequeña","Normal"))</f>
        <v>Normal</v>
      </c>
      <c r="M8" s="40" t="str">
        <f>Despiece!E6&amp;" × "&amp;Despiece!F6</f>
        <v>150 × 580</v>
      </c>
      <c r="N8" s="43" t="str">
        <f>IF(LEN(TRIM(IF($L8="Pequeña","Si no la cantean: cortar a "&amp;ROUND(Despiece!L6,2)&amp;" × "&amp;ROUND(Despiece!M6,2)&amp;" y cantear en el armado.","")&amp;" "&amp;IFERROR(VLOOKUP(Despiece!A6,$S$2:$T$40,2,FALSE),"")))=0,"—",TRIM(IF($L8="Pequeña","Si no la cantean: cortar a "&amp;ROUND(Despiece!L6,2)&amp;" × "&amp;ROUND(Despiece!M6,2)&amp;" y cantear en el armado.","")&amp;" "&amp;IFERROR(VLOOKUP(Despiece!A6,$S$2:$T$40,2,FALSE),"")))</f>
        <v>—</v>
      </c>
      <c r="S8" s="28" t="s">
        <v>116</v>
      </c>
      <c r="T8" s="28" t="s">
        <v>163</v>
      </c>
    </row>
    <row r="9" spans="1:20" ht="43.2" x14ac:dyDescent="0.3">
      <c r="A9" s="40" t="str">
        <f>Despiece!A7</f>
        <v>P003</v>
      </c>
      <c r="B9" s="40" t="str">
        <f>Despiece!B7</f>
        <v>B1 Condimentero 18</v>
      </c>
      <c r="C9" s="40" t="str">
        <f>Despiece!C7</f>
        <v>Travesaño horizontal</v>
      </c>
      <c r="D9" s="40" t="str">
        <f>Despiece!D7</f>
        <v>Melamina Cartagena RH 15</v>
      </c>
      <c r="E9" s="41">
        <f>Despiece!G7</f>
        <v>2</v>
      </c>
      <c r="F9" s="45">
        <f>IF($Q$2="NO",ROUND(Despiece!L7,2),Despiece!E7)</f>
        <v>150</v>
      </c>
      <c r="G9" s="45">
        <f>IF($Q$2="NO",ROUND(Despiece!M7,2),Despiece!F7)</f>
        <v>100</v>
      </c>
      <c r="H9" s="42" t="str">
        <f>IF(Despiece!H7="2","R",IF(Despiece!H7="0.45","F","—"))</f>
        <v>F</v>
      </c>
      <c r="I9" s="42" t="str">
        <f>IF(Despiece!I7="2","R",IF(Despiece!I7="0.45","F","—"))</f>
        <v>F</v>
      </c>
      <c r="J9" s="42" t="str">
        <f>IF(Despiece!J7="2","R",IF(Despiece!J7="0.45","F","—"))</f>
        <v>—</v>
      </c>
      <c r="K9" s="42" t="str">
        <f>IF(Despiece!K7="2","R",IF(Despiece!K7="0.45","F","—"))</f>
        <v>—</v>
      </c>
      <c r="L9" s="42" t="str">
        <f>IF(SUMPRODUCT((Despiece!H7:K7="2")+(Despiece!H7:K7="0.45"))=0,"Sin canto",IF(OR(MIN(Despiece!L7,Despiece!M7)&lt;$Q$3,MAX(Despiece!L7,Despiece!M7)&lt;$Q$4),"Pequeña","Normal"))</f>
        <v>Pequeña</v>
      </c>
      <c r="M9" s="40" t="str">
        <f>Despiece!E7&amp;" × "&amp;Despiece!F7</f>
        <v>150 × 100</v>
      </c>
      <c r="N9" s="43" t="str">
        <f>IF(LEN(TRIM(IF($L9="Pequeña","Si no la cantean: cortar a "&amp;ROUND(Despiece!L7,2)&amp;" × "&amp;ROUND(Despiece!M7,2)&amp;" y cantear en el armado.","")&amp;" "&amp;IFERROR(VLOOKUP(Despiece!A7,$S$2:$T$40,2,FALSE),"")))=0,"—",TRIM(IF($L9="Pequeña","Si no la cantean: cortar a "&amp;ROUND(Despiece!L7,2)&amp;" × "&amp;ROUND(Despiece!M7,2)&amp;" y cantear en el armado.","")&amp;" "&amp;IFERROR(VLOOKUP(Despiece!A7,$S$2:$T$40,2,FALSE),"")))</f>
        <v>Si no la cantean: cortar a 150 × 99,1 y cantear en el armado. Rebaje para la gola en el armado, cuando se defina el borde del granito; no lo hace el proveedor.</v>
      </c>
      <c r="S9" s="28" t="s">
        <v>85</v>
      </c>
      <c r="T9" s="28" t="s">
        <v>410</v>
      </c>
    </row>
    <row r="10" spans="1:20" x14ac:dyDescent="0.3">
      <c r="A10" s="40" t="str">
        <f>Despiece!A8</f>
        <v>P004</v>
      </c>
      <c r="B10" s="40" t="str">
        <f>Despiece!B8</f>
        <v>B1 Condimentero 18</v>
      </c>
      <c r="C10" s="40" t="str">
        <f>Despiece!C8</f>
        <v>Fondo clavado atrás</v>
      </c>
      <c r="D10" s="40" t="str">
        <f>Despiece!D8</f>
        <v>Fondo melamina 6</v>
      </c>
      <c r="E10" s="41">
        <f>Despiece!G8</f>
        <v>1</v>
      </c>
      <c r="F10" s="45">
        <f>IF($Q$2="NO",ROUND(Despiece!L8,2),Despiece!E8)</f>
        <v>176</v>
      </c>
      <c r="G10" s="45">
        <f>IF($Q$2="NO",ROUND(Despiece!M8,2),Despiece!F8)</f>
        <v>781</v>
      </c>
      <c r="H10" s="42" t="str">
        <f>IF(Despiece!H8="2","R",IF(Despiece!H8="0.45","F","—"))</f>
        <v>—</v>
      </c>
      <c r="I10" s="42" t="str">
        <f>IF(Despiece!I8="2","R",IF(Despiece!I8="0.45","F","—"))</f>
        <v>—</v>
      </c>
      <c r="J10" s="42" t="str">
        <f>IF(Despiece!J8="2","R",IF(Despiece!J8="0.45","F","—"))</f>
        <v>—</v>
      </c>
      <c r="K10" s="42" t="str">
        <f>IF(Despiece!K8="2","R",IF(Despiece!K8="0.45","F","—"))</f>
        <v>—</v>
      </c>
      <c r="L10" s="42" t="str">
        <f>IF(SUMPRODUCT((Despiece!H8:K8="2")+(Despiece!H8:K8="0.45"))=0,"Sin canto",IF(OR(MIN(Despiece!L8,Despiece!M8)&lt;$Q$3,MAX(Despiece!L8,Despiece!M8)&lt;$Q$4),"Pequeña","Normal"))</f>
        <v>Sin canto</v>
      </c>
      <c r="M10" s="40" t="str">
        <f>Despiece!E8&amp;" × "&amp;Despiece!F8</f>
        <v>176 × 781</v>
      </c>
      <c r="N10" s="43" t="str">
        <f>IF(LEN(TRIM(IF($L10="Pequeña","Si no la cantean: cortar a "&amp;ROUND(Despiece!L8,2)&amp;" × "&amp;ROUND(Despiece!M8,2)&amp;" y cantear en el armado.","")&amp;" "&amp;IFERROR(VLOOKUP(Despiece!A8,$S$2:$T$40,2,FALSE),"")))=0,"—",TRIM(IF($L10="Pequeña","Si no la cantean: cortar a "&amp;ROUND(Despiece!L8,2)&amp;" × "&amp;ROUND(Despiece!M8,2)&amp;" y cantear en el armado.","")&amp;" "&amp;IFERROR(VLOOKUP(Despiece!A8,$S$2:$T$40,2,FALSE),"")))</f>
        <v>—</v>
      </c>
      <c r="S10" s="28" t="s">
        <v>87</v>
      </c>
      <c r="T10" s="28" t="s">
        <v>410</v>
      </c>
    </row>
    <row r="11" spans="1:20" x14ac:dyDescent="0.3">
      <c r="A11" s="40" t="str">
        <f>Despiece!A9</f>
        <v>P005</v>
      </c>
      <c r="B11" s="40" t="str">
        <f>Despiece!B9</f>
        <v>B1 Condimentero 18</v>
      </c>
      <c r="C11" s="40" t="str">
        <f>Despiece!C9</f>
        <v>Frente condimentero</v>
      </c>
      <c r="D11" s="40" t="str">
        <f>Despiece!D9</f>
        <v>Melamina Cartagena RH 15</v>
      </c>
      <c r="E11" s="41">
        <f>Despiece!G9</f>
        <v>1</v>
      </c>
      <c r="F11" s="45">
        <f>IF($Q$2="NO",ROUND(Despiece!L9,2),Despiece!E9)</f>
        <v>732</v>
      </c>
      <c r="G11" s="45">
        <f>IF($Q$2="NO",ROUND(Despiece!M9,2),Despiece!F9)</f>
        <v>177</v>
      </c>
      <c r="H11" s="42" t="str">
        <f>IF(Despiece!H9="2","R",IF(Despiece!H9="0.45","F","—"))</f>
        <v>R</v>
      </c>
      <c r="I11" s="42" t="str">
        <f>IF(Despiece!I9="2","R",IF(Despiece!I9="0.45","F","—"))</f>
        <v>R</v>
      </c>
      <c r="J11" s="42" t="str">
        <f>IF(Despiece!J9="2","R",IF(Despiece!J9="0.45","F","—"))</f>
        <v>R</v>
      </c>
      <c r="K11" s="42" t="str">
        <f>IF(Despiece!K9="2","R",IF(Despiece!K9="0.45","F","—"))</f>
        <v>R</v>
      </c>
      <c r="L11" s="42" t="str">
        <f>IF(SUMPRODUCT((Despiece!H9:K9="2")+(Despiece!H9:K9="0.45"))=0,"Sin canto",IF(OR(MIN(Despiece!L9,Despiece!M9)&lt;$Q$3,MAX(Despiece!L9,Despiece!M9)&lt;$Q$4),"Pequeña","Normal"))</f>
        <v>Normal</v>
      </c>
      <c r="M11" s="40" t="str">
        <f>Despiece!E9&amp;" × "&amp;Despiece!F9</f>
        <v>732 × 177</v>
      </c>
      <c r="N11" s="43" t="str">
        <f>IF(LEN(TRIM(IF($L11="Pequeña","Si no la cantean: cortar a "&amp;ROUND(Despiece!L9,2)&amp;" × "&amp;ROUND(Despiece!M9,2)&amp;" y cantear en el armado.","")&amp;" "&amp;IFERROR(VLOOKUP(Despiece!A9,$S$2:$T$40,2,FALSE),"")))=0,"—",TRIM(IF($L11="Pequeña","Si no la cantean: cortar a "&amp;ROUND(Despiece!L9,2)&amp;" × "&amp;ROUND(Despiece!M9,2)&amp;" y cantear en el armado.","")&amp;" "&amp;IFERROR(VLOOKUP(Despiece!A9,$S$2:$T$40,2,FALSE),"")))</f>
        <v>—</v>
      </c>
      <c r="S11" s="28" t="s">
        <v>89</v>
      </c>
      <c r="T11" s="28" t="s">
        <v>410</v>
      </c>
    </row>
    <row r="12" spans="1:20" x14ac:dyDescent="0.3">
      <c r="A12" s="40" t="str">
        <f>Despiece!A10</f>
        <v>P006</v>
      </c>
      <c r="B12" s="40" t="str">
        <f>Despiece!B10</f>
        <v>B2 Horno y estufa 60</v>
      </c>
      <c r="C12" s="40" t="str">
        <f>Despiece!C10</f>
        <v>Lateral</v>
      </c>
      <c r="D12" s="40" t="str">
        <f>Despiece!D10</f>
        <v>Melamina Cartagena RH 15</v>
      </c>
      <c r="E12" s="41">
        <f>Despiece!G10</f>
        <v>2</v>
      </c>
      <c r="F12" s="45">
        <f>IF($Q$2="NO",ROUND(Despiece!L10,2),Despiece!E10)</f>
        <v>785</v>
      </c>
      <c r="G12" s="45">
        <f>IF($Q$2="NO",ROUND(Despiece!M10,2),Despiece!F10)</f>
        <v>580</v>
      </c>
      <c r="H12" s="42" t="str">
        <f>IF(Despiece!H10="2","R",IF(Despiece!H10="0.45","F","—"))</f>
        <v>R</v>
      </c>
      <c r="I12" s="42" t="str">
        <f>IF(Despiece!I10="2","R",IF(Despiece!I10="0.45","F","—"))</f>
        <v>—</v>
      </c>
      <c r="J12" s="42" t="str">
        <f>IF(Despiece!J10="2","R",IF(Despiece!J10="0.45","F","—"))</f>
        <v>F</v>
      </c>
      <c r="K12" s="42" t="str">
        <f>IF(Despiece!K10="2","R",IF(Despiece!K10="0.45","F","—"))</f>
        <v>—</v>
      </c>
      <c r="L12" s="42" t="str">
        <f>IF(SUMPRODUCT((Despiece!H10:K10="2")+(Despiece!H10:K10="0.45"))=0,"Sin canto",IF(OR(MIN(Despiece!L10,Despiece!M10)&lt;$Q$3,MAX(Despiece!L10,Despiece!M10)&lt;$Q$4),"Pequeña","Normal"))</f>
        <v>Normal</v>
      </c>
      <c r="M12" s="40" t="str">
        <f>Despiece!E10&amp;" × "&amp;Despiece!F10</f>
        <v>785 × 580</v>
      </c>
      <c r="N12" s="43" t="str">
        <f>IF(LEN(TRIM(IF($L12="Pequeña","Si no la cantean: cortar a "&amp;ROUND(Despiece!L10,2)&amp;" × "&amp;ROUND(Despiece!M10,2)&amp;" y cantear en el armado.","")&amp;" "&amp;IFERROR(VLOOKUP(Despiece!A10,$S$2:$T$40,2,FALSE),"")))=0,"—",TRIM(IF($L12="Pequeña","Si no la cantean: cortar a "&amp;ROUND(Despiece!L10,2)&amp;" × "&amp;ROUND(Despiece!M10,2)&amp;" y cantear en el armado.","")&amp;" "&amp;IFERROR(VLOOKUP(Despiece!A10,$S$2:$T$40,2,FALSE),"")))</f>
        <v>—</v>
      </c>
      <c r="S12" s="28" t="s">
        <v>15</v>
      </c>
      <c r="T12" s="28" t="s">
        <v>351</v>
      </c>
    </row>
    <row r="13" spans="1:20" ht="28.8" x14ac:dyDescent="0.3">
      <c r="A13" s="40" t="str">
        <f>Despiece!A11</f>
        <v>P007</v>
      </c>
      <c r="B13" s="40" t="str">
        <f>Despiece!B11</f>
        <v>B2 Horno y estufa 60</v>
      </c>
      <c r="C13" s="40" t="str">
        <f>Despiece!C11</f>
        <v>Piso de apoyo horno (validar montaje)</v>
      </c>
      <c r="D13" s="40" t="str">
        <f>Despiece!D11</f>
        <v>Melamina Cartagena RH 15</v>
      </c>
      <c r="E13" s="41">
        <f>Despiece!G11</f>
        <v>1</v>
      </c>
      <c r="F13" s="45">
        <f>IF($Q$2="NO",ROUND(Despiece!L11,2),Despiece!E11)</f>
        <v>570</v>
      </c>
      <c r="G13" s="45">
        <f>IF($Q$2="NO",ROUND(Despiece!M11,2),Despiece!F11)</f>
        <v>580</v>
      </c>
      <c r="H13" s="42" t="str">
        <f>IF(Despiece!H11="2","R",IF(Despiece!H11="0.45","F","—"))</f>
        <v>R</v>
      </c>
      <c r="I13" s="42" t="str">
        <f>IF(Despiece!I11="2","R",IF(Despiece!I11="0.45","F","—"))</f>
        <v>—</v>
      </c>
      <c r="J13" s="42" t="str">
        <f>IF(Despiece!J11="2","R",IF(Despiece!J11="0.45","F","—"))</f>
        <v>—</v>
      </c>
      <c r="K13" s="42" t="str">
        <f>IF(Despiece!K11="2","R",IF(Despiece!K11="0.45","F","—"))</f>
        <v>—</v>
      </c>
      <c r="L13" s="42" t="str">
        <f>IF(SUMPRODUCT((Despiece!H11:K11="2")+(Despiece!H11:K11="0.45"))=0,"Sin canto",IF(OR(MIN(Despiece!L11,Despiece!M11)&lt;$Q$3,MAX(Despiece!L11,Despiece!M11)&lt;$Q$4),"Pequeña","Normal"))</f>
        <v>Normal</v>
      </c>
      <c r="M13" s="40" t="str">
        <f>Despiece!E11&amp;" × "&amp;Despiece!F11</f>
        <v>570 × 580</v>
      </c>
      <c r="N13" s="43" t="str">
        <f>IF(LEN(TRIM(IF($L13="Pequeña","Si no la cantean: cortar a "&amp;ROUND(Despiece!L11,2)&amp;" × "&amp;ROUND(Despiece!M11,2)&amp;" y cantear en el armado.","")&amp;" "&amp;IFERROR(VLOOKUP(Despiece!A11,$S$2:$T$40,2,FALSE),"")))=0,"—",TRIM(IF($L13="Pequeña","Si no la cantean: cortar a "&amp;ROUND(Despiece!L11,2)&amp;" × "&amp;ROUND(Despiece!M11,2)&amp;" y cantear en el armado.","")&amp;" "&amp;IFERROR(VLOOKUP(Despiece!A11,$S$2:$T$40,2,FALSE),"")))</f>
        <v>Ranura de ventilación o paso de cable en obra, si el manual del horno lo pide.</v>
      </c>
      <c r="S13" s="28" t="s">
        <v>24</v>
      </c>
      <c r="T13" s="28" t="s">
        <v>351</v>
      </c>
    </row>
    <row r="14" spans="1:20" ht="88.05" customHeight="1" x14ac:dyDescent="0.3">
      <c r="A14" s="40" t="str">
        <f>Despiece!A12</f>
        <v>P008</v>
      </c>
      <c r="B14" s="40" t="str">
        <f>Despiece!B12</f>
        <v>B2 Horno y estufa 60</v>
      </c>
      <c r="C14" s="40" t="str">
        <f>Despiece!C12</f>
        <v>Travesaño trasero</v>
      </c>
      <c r="D14" s="40" t="str">
        <f>Despiece!D12</f>
        <v>Melamina Cartagena RH 15</v>
      </c>
      <c r="E14" s="41">
        <f>Despiece!G12</f>
        <v>1</v>
      </c>
      <c r="F14" s="45">
        <f>IF($Q$2="NO",ROUND(Despiece!L12,2),Despiece!E12)</f>
        <v>570</v>
      </c>
      <c r="G14" s="45">
        <f>IF($Q$2="NO",ROUND(Despiece!M12,2),Despiece!F12)</f>
        <v>100</v>
      </c>
      <c r="H14" s="42" t="str">
        <f>IF(Despiece!H12="2","R",IF(Despiece!H12="0.45","F","—"))</f>
        <v>F</v>
      </c>
      <c r="I14" s="42" t="str">
        <f>IF(Despiece!I12="2","R",IF(Despiece!I12="0.45","F","—"))</f>
        <v>—</v>
      </c>
      <c r="J14" s="42" t="str">
        <f>IF(Despiece!J12="2","R",IF(Despiece!J12="0.45","F","—"))</f>
        <v>—</v>
      </c>
      <c r="K14" s="42" t="str">
        <f>IF(Despiece!K12="2","R",IF(Despiece!K12="0.45","F","—"))</f>
        <v>—</v>
      </c>
      <c r="L14" s="42" t="str">
        <f>IF(SUMPRODUCT((Despiece!H12:K12="2")+(Despiece!H12:K12="0.45"))=0,"Sin canto",IF(OR(MIN(Despiece!L12,Despiece!M12)&lt;$Q$3,MAX(Despiece!L12,Despiece!M12)&lt;$Q$4),"Pequeña","Normal"))</f>
        <v>Pequeña</v>
      </c>
      <c r="M14" s="40" t="str">
        <f>Despiece!E12&amp;" × "&amp;Despiece!F12</f>
        <v>570 × 100</v>
      </c>
      <c r="N14" s="43" t="str">
        <f>IF(LEN(TRIM(IF($L14="Pequeña","Si no la cantean: cortar a "&amp;ROUND(Despiece!L12,2)&amp;" × "&amp;ROUND(Despiece!M12,2)&amp;" y cantear en el armado.","")&amp;" "&amp;IFERROR(VLOOKUP(Despiece!A12,$S$2:$T$40,2,FALSE),"")))=0,"—",TRIM(IF($L14="Pequeña","Si no la cantean: cortar a "&amp;ROUND(Despiece!L12,2)&amp;" × "&amp;ROUND(Despiece!M12,2)&amp;" y cantear en el armado.","")&amp;" "&amp;IFERROR(VLOOKUP(Despiece!A12,$S$2:$T$40,2,FALSE),"")))</f>
        <v>Si no la cantean: cortar a 570 × 99,55 y cantear en el armado.</v>
      </c>
      <c r="S14" s="28" t="s">
        <v>43</v>
      </c>
      <c r="T14" s="28" t="s">
        <v>351</v>
      </c>
    </row>
    <row r="15" spans="1:20" x14ac:dyDescent="0.3">
      <c r="A15" s="40" t="str">
        <f>Despiece!A13</f>
        <v>P009</v>
      </c>
      <c r="B15" s="40" t="str">
        <f>Despiece!B13</f>
        <v>B2 Horno y estufa 60</v>
      </c>
      <c r="C15" s="40" t="str">
        <f>Despiece!C13</f>
        <v>Repisa sobre horno (posición por manual)</v>
      </c>
      <c r="D15" s="40" t="str">
        <f>Despiece!D13</f>
        <v>Melamina Cartagena RH 15</v>
      </c>
      <c r="E15" s="41">
        <f>Despiece!G13</f>
        <v>1</v>
      </c>
      <c r="F15" s="45">
        <f>IF($Q$2="NO",ROUND(Despiece!L13,2),Despiece!E13)</f>
        <v>570</v>
      </c>
      <c r="G15" s="45">
        <f>IF($Q$2="NO",ROUND(Despiece!M13,2),Despiece!F13)</f>
        <v>500</v>
      </c>
      <c r="H15" s="42" t="str">
        <f>IF(Despiece!H13="2","R",IF(Despiece!H13="0.45","F","—"))</f>
        <v>R</v>
      </c>
      <c r="I15" s="42" t="str">
        <f>IF(Despiece!I13="2","R",IF(Despiece!I13="0.45","F","—"))</f>
        <v>—</v>
      </c>
      <c r="J15" s="42" t="str">
        <f>IF(Despiece!J13="2","R",IF(Despiece!J13="0.45","F","—"))</f>
        <v>—</v>
      </c>
      <c r="K15" s="42" t="str">
        <f>IF(Despiece!K13="2","R",IF(Despiece!K13="0.45","F","—"))</f>
        <v>—</v>
      </c>
      <c r="L15" s="42" t="str">
        <f>IF(SUMPRODUCT((Despiece!H13:K13="2")+(Despiece!H13:K13="0.45"))=0,"Sin canto",IF(OR(MIN(Despiece!L13,Despiece!M13)&lt;$Q$3,MAX(Despiece!L13,Despiece!M13)&lt;$Q$4),"Pequeña","Normal"))</f>
        <v>Normal</v>
      </c>
      <c r="M15" s="40" t="str">
        <f>Despiece!E13&amp;" × "&amp;Despiece!F13</f>
        <v>570 × 500</v>
      </c>
      <c r="N15" s="43" t="str">
        <f>IF(LEN(TRIM(IF($L15="Pequeña","Si no la cantean: cortar a "&amp;ROUND(Despiece!L13,2)&amp;" × "&amp;ROUND(Despiece!M13,2)&amp;" y cantear en el armado.","")&amp;" "&amp;IFERROR(VLOOKUP(Despiece!A13,$S$2:$T$40,2,FALSE),"")))=0,"—",TRIM(IF($L15="Pequeña","Si no la cantean: cortar a "&amp;ROUND(Despiece!L13,2)&amp;" × "&amp;ROUND(Despiece!M13,2)&amp;" y cantear en el armado.","")&amp;" "&amp;IFERROR(VLOOKUP(Despiece!A13,$S$2:$T$40,2,FALSE),"")))</f>
        <v>Su altura se fija en el armado según el manual del horno; si pide más ventilación atrás, recortar el borde trasero (sin canto).</v>
      </c>
      <c r="S15" s="28" t="s">
        <v>46</v>
      </c>
      <c r="T15" s="28" t="s">
        <v>351</v>
      </c>
    </row>
    <row r="16" spans="1:20" ht="28.8" x14ac:dyDescent="0.3">
      <c r="A16" s="40" t="str">
        <f>Despiece!A14</f>
        <v>P010</v>
      </c>
      <c r="B16" s="40" t="str">
        <f>Despiece!B14</f>
        <v>B2 Horno y estufa 60</v>
      </c>
      <c r="C16" s="40" t="str">
        <f>Despiece!C14</f>
        <v>Listón frontal de apoyo del mesón (de canto)</v>
      </c>
      <c r="D16" s="40" t="str">
        <f>Despiece!D14</f>
        <v>Melamina Cartagena RH 15</v>
      </c>
      <c r="E16" s="41">
        <f>Despiece!G14</f>
        <v>1</v>
      </c>
      <c r="F16" s="45">
        <f>IF($Q$2="NO",ROUND(Despiece!L14,2),Despiece!E14)</f>
        <v>570</v>
      </c>
      <c r="G16" s="45">
        <f>IF($Q$2="NO",ROUND(Despiece!M14,2),Despiece!F14)</f>
        <v>80</v>
      </c>
      <c r="H16" s="42" t="str">
        <f>IF(Despiece!H14="2","R",IF(Despiece!H14="0.45","F","—"))</f>
        <v>F</v>
      </c>
      <c r="I16" s="42" t="str">
        <f>IF(Despiece!I14="2","R",IF(Despiece!I14="0.45","F","—"))</f>
        <v>—</v>
      </c>
      <c r="J16" s="42" t="str">
        <f>IF(Despiece!J14="2","R",IF(Despiece!J14="0.45","F","—"))</f>
        <v>—</v>
      </c>
      <c r="K16" s="42" t="str">
        <f>IF(Despiece!K14="2","R",IF(Despiece!K14="0.45","F","—"))</f>
        <v>—</v>
      </c>
      <c r="L16" s="42" t="str">
        <f>IF(SUMPRODUCT((Despiece!H14:K14="2")+(Despiece!H14:K14="0.45"))=0,"Sin canto",IF(OR(MIN(Despiece!L14,Despiece!M14)&lt;$Q$3,MAX(Despiece!L14,Despiece!M14)&lt;$Q$4),"Pequeña","Normal"))</f>
        <v>Pequeña</v>
      </c>
      <c r="M16" s="40" t="str">
        <f>Despiece!E14&amp;" × "&amp;Despiece!F14</f>
        <v>570 × 80</v>
      </c>
      <c r="N16" s="43" t="str">
        <f>IF(LEN(TRIM(IF($L16="Pequeña","Si no la cantean: cortar a "&amp;ROUND(Despiece!L14,2)&amp;" × "&amp;ROUND(Despiece!M14,2)&amp;" y cantear en el armado.","")&amp;" "&amp;IFERROR(VLOOKUP(Despiece!A14,$S$2:$T$40,2,FALSE),"")))=0,"—",TRIM(IF($L16="Pequeña","Si no la cantean: cortar a "&amp;ROUND(Despiece!L14,2)&amp;" × "&amp;ROUND(Despiece!M14,2)&amp;" y cantear en el armado.","")&amp;" "&amp;IFERROR(VLOOKUP(Despiece!A14,$S$2:$T$40,2,FALSE),"")))</f>
        <v>Si no la cantean: cortar a 570 × 79,55 y cantear en el armado.</v>
      </c>
      <c r="S16" s="28" t="s">
        <v>62</v>
      </c>
      <c r="T16" s="28" t="s">
        <v>351</v>
      </c>
    </row>
    <row r="17" spans="1:20" x14ac:dyDescent="0.3">
      <c r="A17" s="40" t="str">
        <f>Despiece!A15</f>
        <v>P011</v>
      </c>
      <c r="B17" s="40" t="str">
        <f>Despiece!B15</f>
        <v>B2 Horno y estufa 60</v>
      </c>
      <c r="C17" s="40" t="str">
        <f>Despiece!C15</f>
        <v>Panel fijo bajo estufa (ajustar con equipo)</v>
      </c>
      <c r="D17" s="40" t="str">
        <f>Despiece!D15</f>
        <v>Melamina Cartagena RH 15</v>
      </c>
      <c r="E17" s="41">
        <f>Despiece!G15</f>
        <v>1</v>
      </c>
      <c r="F17" s="45">
        <f>IF($Q$2="NO",ROUND(Despiece!L15,2),Despiece!E15)+15</f>
        <v>160</v>
      </c>
      <c r="G17" s="45">
        <f>IF($Q$2="NO",ROUND(Despiece!M15,2),Despiece!F15)</f>
        <v>597</v>
      </c>
      <c r="H17" s="42" t="str">
        <f>IF(Despiece!H15="2","R",IF(Despiece!H15="0.45","F","—"))</f>
        <v>R</v>
      </c>
      <c r="I17" s="42" t="str">
        <f>IF(Despiece!I15="2","R",IF(Despiece!I15="0.45","F","—"))</f>
        <v>R</v>
      </c>
      <c r="J17" s="42" t="str">
        <f>IF(Despiece!J15="2","R",IF(Despiece!J15="0.45","F","—"))</f>
        <v>R</v>
      </c>
      <c r="K17" s="42" t="str">
        <f>IF(Despiece!K15="2","R",IF(Despiece!K15="0.45","F","—"))</f>
        <v>—</v>
      </c>
      <c r="L17" s="42" t="str">
        <f>IF(SUMPRODUCT((Despiece!H15:K15="2")+(Despiece!H15:K15="0.45"))=0,"Sin canto",IF(OR(MIN(Despiece!L15,Despiece!M15)&lt;$Q$3,MAX(Despiece!L15,Despiece!M15)&lt;$Q$4),"Pequeña","Normal"))</f>
        <v>Normal</v>
      </c>
      <c r="M17" s="40" t="str">
        <f>Despiece!E15&amp;" × "&amp;Despiece!F15</f>
        <v>145 × 597</v>
      </c>
      <c r="N17" s="43" t="str">
        <f>IF(LEN(TRIM(IF($L17="Pequeña","Si no la cantean: cortar a "&amp;ROUND(Despiece!L15,2)&amp;" × "&amp;ROUND(Despiece!M15,2)&amp;" y cantear en el armado.","")&amp;" "&amp;IFERROR(VLOOKUP(Despiece!A15,$S$2:$T$40,2,FALSE),"")))=0,"—",TRIM(IF($L17="Pequeña","Si no la cantean: cortar a "&amp;ROUND(Despiece!L15,2)&amp;" × "&amp;ROUND(Despiece!M15,2)&amp;" y cantear en el armado.","")&amp;" "&amp;IFERROR(VLOOKUP(Despiece!A15,$S$2:$T$40,2,FALSE),"")))</f>
        <v>Pedida 15 mm más alta (160 en vez de 145): en el armado, recortar el borde superior —oculto bajo el mesón y sin canto— según el horno instalado.</v>
      </c>
      <c r="S17" s="28" t="s">
        <v>65</v>
      </c>
      <c r="T17" s="28" t="s">
        <v>351</v>
      </c>
    </row>
    <row r="18" spans="1:20" x14ac:dyDescent="0.3">
      <c r="A18" s="40" t="str">
        <f>Despiece!A16</f>
        <v>P012</v>
      </c>
      <c r="B18" s="40" t="str">
        <f>Despiece!B16</f>
        <v>B3 Cubiertero y puertas 67</v>
      </c>
      <c r="C18" s="40" t="str">
        <f>Despiece!C16</f>
        <v>Lateral</v>
      </c>
      <c r="D18" s="40" t="str">
        <f>Despiece!D16</f>
        <v>Melamina Cartagena RH 15</v>
      </c>
      <c r="E18" s="41">
        <f>Despiece!G16</f>
        <v>2</v>
      </c>
      <c r="F18" s="45">
        <f>IF($Q$2="NO",ROUND(Despiece!L16,2),Despiece!E16)</f>
        <v>785</v>
      </c>
      <c r="G18" s="45">
        <f>IF($Q$2="NO",ROUND(Despiece!M16,2),Despiece!F16)</f>
        <v>580</v>
      </c>
      <c r="H18" s="42" t="str">
        <f>IF(Despiece!H16="2","R",IF(Despiece!H16="0.45","F","—"))</f>
        <v>R</v>
      </c>
      <c r="I18" s="42" t="str">
        <f>IF(Despiece!I16="2","R",IF(Despiece!I16="0.45","F","—"))</f>
        <v>—</v>
      </c>
      <c r="J18" s="42" t="str">
        <f>IF(Despiece!J16="2","R",IF(Despiece!J16="0.45","F","—"))</f>
        <v>F</v>
      </c>
      <c r="K18" s="42" t="str">
        <f>IF(Despiece!K16="2","R",IF(Despiece!K16="0.45","F","—"))</f>
        <v>—</v>
      </c>
      <c r="L18" s="42" t="str">
        <f>IF(SUMPRODUCT((Despiece!H16:K16="2")+(Despiece!H16:K16="0.45"))=0,"Sin canto",IF(OR(MIN(Despiece!L16,Despiece!M16)&lt;$Q$3,MAX(Despiece!L16,Despiece!M16)&lt;$Q$4),"Pequeña","Normal"))</f>
        <v>Normal</v>
      </c>
      <c r="M18" s="40" t="str">
        <f>Despiece!E16&amp;" × "&amp;Despiece!F16</f>
        <v>785 × 580</v>
      </c>
      <c r="N18" s="43" t="str">
        <f>IF(LEN(TRIM(IF($L18="Pequeña","Si no la cantean: cortar a "&amp;ROUND(Despiece!L16,2)&amp;" × "&amp;ROUND(Despiece!M16,2)&amp;" y cantear en el armado.","")&amp;" "&amp;IFERROR(VLOOKUP(Despiece!A16,$S$2:$T$40,2,FALSE),"")))=0,"—",TRIM(IF($L18="Pequeña","Si no la cantean: cortar a "&amp;ROUND(Despiece!L16,2)&amp;" × "&amp;ROUND(Despiece!M16,2)&amp;" y cantear en el armado.","")&amp;" "&amp;IFERROR(VLOOKUP(Despiece!A16,$S$2:$T$40,2,FALSE),"")))</f>
        <v>Rebaje para la gola en el armado, cuando se defina el borde del granito; no lo hace el proveedor.</v>
      </c>
      <c r="S18" s="28" t="s">
        <v>74</v>
      </c>
      <c r="T18" s="28" t="s">
        <v>351</v>
      </c>
    </row>
    <row r="19" spans="1:20" x14ac:dyDescent="0.3">
      <c r="A19" s="40" t="str">
        <f>Despiece!A17</f>
        <v>P013</v>
      </c>
      <c r="B19" s="40" t="str">
        <f>Despiece!B17</f>
        <v>B3 Cubiertero y puertas 67</v>
      </c>
      <c r="C19" s="40" t="str">
        <f>Despiece!C17</f>
        <v>Piso</v>
      </c>
      <c r="D19" s="40" t="str">
        <f>Despiece!D17</f>
        <v>Melamina Cartagena RH 15</v>
      </c>
      <c r="E19" s="41">
        <f>Despiece!G17</f>
        <v>1</v>
      </c>
      <c r="F19" s="45">
        <f>IF($Q$2="NO",ROUND(Despiece!L17,2),Despiece!E17)</f>
        <v>640</v>
      </c>
      <c r="G19" s="45">
        <f>IF($Q$2="NO",ROUND(Despiece!M17,2),Despiece!F17)</f>
        <v>580</v>
      </c>
      <c r="H19" s="42" t="str">
        <f>IF(Despiece!H17="2","R",IF(Despiece!H17="0.45","F","—"))</f>
        <v>R</v>
      </c>
      <c r="I19" s="42" t="str">
        <f>IF(Despiece!I17="2","R",IF(Despiece!I17="0.45","F","—"))</f>
        <v>—</v>
      </c>
      <c r="J19" s="42" t="str">
        <f>IF(Despiece!J17="2","R",IF(Despiece!J17="0.45","F","—"))</f>
        <v>—</v>
      </c>
      <c r="K19" s="42" t="str">
        <f>IF(Despiece!K17="2","R",IF(Despiece!K17="0.45","F","—"))</f>
        <v>—</v>
      </c>
      <c r="L19" s="42" t="str">
        <f>IF(SUMPRODUCT((Despiece!H17:K17="2")+(Despiece!H17:K17="0.45"))=0,"Sin canto",IF(OR(MIN(Despiece!L17,Despiece!M17)&lt;$Q$3,MAX(Despiece!L17,Despiece!M17)&lt;$Q$4),"Pequeña","Normal"))</f>
        <v>Normal</v>
      </c>
      <c r="M19" s="40" t="str">
        <f>Despiece!E17&amp;" × "&amp;Despiece!F17</f>
        <v>640 × 580</v>
      </c>
      <c r="N19" s="43" t="str">
        <f>IF(LEN(TRIM(IF($L19="Pequeña","Si no la cantean: cortar a "&amp;ROUND(Despiece!L17,2)&amp;" × "&amp;ROUND(Despiece!M17,2)&amp;" y cantear en el armado.","")&amp;" "&amp;IFERROR(VLOOKUP(Despiece!A17,$S$2:$T$40,2,FALSE),"")))=0,"—",TRIM(IF($L19="Pequeña","Si no la cantean: cortar a "&amp;ROUND(Despiece!L17,2)&amp;" × "&amp;ROUND(Despiece!M17,2)&amp;" y cantear en el armado.","")&amp;" "&amp;IFERROR(VLOOKUP(Despiece!A17,$S$2:$T$40,2,FALSE),"")))</f>
        <v>—</v>
      </c>
      <c r="S19" s="28" t="s">
        <v>77</v>
      </c>
      <c r="T19" s="28" t="s">
        <v>351</v>
      </c>
    </row>
    <row r="20" spans="1:20" ht="88.05" customHeight="1" x14ac:dyDescent="0.3">
      <c r="A20" s="40" t="str">
        <f>Despiece!A18</f>
        <v>P014</v>
      </c>
      <c r="B20" s="40" t="str">
        <f>Despiece!B18</f>
        <v>B3 Cubiertero y puertas 67</v>
      </c>
      <c r="C20" s="40" t="str">
        <f>Despiece!C18</f>
        <v>Travesaño horizontal</v>
      </c>
      <c r="D20" s="40" t="str">
        <f>Despiece!D18</f>
        <v>Melamina Cartagena RH 15</v>
      </c>
      <c r="E20" s="41">
        <f>Despiece!G18</f>
        <v>2</v>
      </c>
      <c r="F20" s="45">
        <f>IF($Q$2="NO",ROUND(Despiece!L18,2),Despiece!E18)</f>
        <v>640</v>
      </c>
      <c r="G20" s="45">
        <f>IF($Q$2="NO",ROUND(Despiece!M18,2),Despiece!F18)</f>
        <v>100</v>
      </c>
      <c r="H20" s="42" t="str">
        <f>IF(Despiece!H18="2","R",IF(Despiece!H18="0.45","F","—"))</f>
        <v>F</v>
      </c>
      <c r="I20" s="42" t="str">
        <f>IF(Despiece!I18="2","R",IF(Despiece!I18="0.45","F","—"))</f>
        <v>F</v>
      </c>
      <c r="J20" s="42" t="str">
        <f>IF(Despiece!J18="2","R",IF(Despiece!J18="0.45","F","—"))</f>
        <v>—</v>
      </c>
      <c r="K20" s="42" t="str">
        <f>IF(Despiece!K18="2","R",IF(Despiece!K18="0.45","F","—"))</f>
        <v>—</v>
      </c>
      <c r="L20" s="42" t="str">
        <f>IF(SUMPRODUCT((Despiece!H18:K18="2")+(Despiece!H18:K18="0.45"))=0,"Sin canto",IF(OR(MIN(Despiece!L18,Despiece!M18)&lt;$Q$3,MAX(Despiece!L18,Despiece!M18)&lt;$Q$4),"Pequeña","Normal"))</f>
        <v>Pequeña</v>
      </c>
      <c r="M20" s="40" t="str">
        <f>Despiece!E18&amp;" × "&amp;Despiece!F18</f>
        <v>640 × 100</v>
      </c>
      <c r="N20" s="43" t="str">
        <f>IF(LEN(TRIM(IF($L20="Pequeña","Si no la cantean: cortar a "&amp;ROUND(Despiece!L18,2)&amp;" × "&amp;ROUND(Despiece!M18,2)&amp;" y cantear en el armado.","")&amp;" "&amp;IFERROR(VLOOKUP(Despiece!A18,$S$2:$T$40,2,FALSE),"")))=0,"—",TRIM(IF($L20="Pequeña","Si no la cantean: cortar a "&amp;ROUND(Despiece!L18,2)&amp;" × "&amp;ROUND(Despiece!M18,2)&amp;" y cantear en el armado.","")&amp;" "&amp;IFERROR(VLOOKUP(Despiece!A18,$S$2:$T$40,2,FALSE),"")))</f>
        <v>Si no la cantean: cortar a 640 × 99,1 y cantear en el armado. Rebaje para la gola en el armado, cuando se defina el borde del granito; no lo hace el proveedor.</v>
      </c>
      <c r="S20" s="28" t="s">
        <v>79</v>
      </c>
      <c r="T20" s="28" t="s">
        <v>351</v>
      </c>
    </row>
    <row r="21" spans="1:20" x14ac:dyDescent="0.3">
      <c r="A21" s="40" t="str">
        <f>Despiece!A19</f>
        <v>P015</v>
      </c>
      <c r="B21" s="40" t="str">
        <f>Despiece!B19</f>
        <v>B3 Cubiertero y puertas 67</v>
      </c>
      <c r="C21" s="40" t="str">
        <f>Despiece!C19</f>
        <v>Fondo clavado atrás</v>
      </c>
      <c r="D21" s="40" t="str">
        <f>Despiece!D19</f>
        <v>Fondo melamina 6</v>
      </c>
      <c r="E21" s="41">
        <f>Despiece!G19</f>
        <v>1</v>
      </c>
      <c r="F21" s="45">
        <f>IF($Q$2="NO",ROUND(Despiece!L19,2),Despiece!E19)</f>
        <v>666</v>
      </c>
      <c r="G21" s="45">
        <f>IF($Q$2="NO",ROUND(Despiece!M19,2),Despiece!F19)</f>
        <v>781</v>
      </c>
      <c r="H21" s="42" t="str">
        <f>IF(Despiece!H19="2","R",IF(Despiece!H19="0.45","F","—"))</f>
        <v>—</v>
      </c>
      <c r="I21" s="42" t="str">
        <f>IF(Despiece!I19="2","R",IF(Despiece!I19="0.45","F","—"))</f>
        <v>—</v>
      </c>
      <c r="J21" s="42" t="str">
        <f>IF(Despiece!J19="2","R",IF(Despiece!J19="0.45","F","—"))</f>
        <v>—</v>
      </c>
      <c r="K21" s="42" t="str">
        <f>IF(Despiece!K19="2","R",IF(Despiece!K19="0.45","F","—"))</f>
        <v>—</v>
      </c>
      <c r="L21" s="42" t="str">
        <f>IF(SUMPRODUCT((Despiece!H19:K19="2")+(Despiece!H19:K19="0.45"))=0,"Sin canto",IF(OR(MIN(Despiece!L19,Despiece!M19)&lt;$Q$3,MAX(Despiece!L19,Despiece!M19)&lt;$Q$4),"Pequeña","Normal"))</f>
        <v>Sin canto</v>
      </c>
      <c r="M21" s="40" t="str">
        <f>Despiece!E19&amp;" × "&amp;Despiece!F19</f>
        <v>666 × 781</v>
      </c>
      <c r="N21" s="43" t="str">
        <f>IF(LEN(TRIM(IF($L21="Pequeña","Si no la cantean: cortar a "&amp;ROUND(Despiece!L19,2)&amp;" × "&amp;ROUND(Despiece!M19,2)&amp;" y cantear en el armado.","")&amp;" "&amp;IFERROR(VLOOKUP(Despiece!A19,$S$2:$T$40,2,FALSE),"")))=0,"—",TRIM(IF($L21="Pequeña","Si no la cantean: cortar a "&amp;ROUND(Despiece!L19,2)&amp;" × "&amp;ROUND(Despiece!M19,2)&amp;" y cantear en el armado.","")&amp;" "&amp;IFERROR(VLOOKUP(Despiece!A19,$S$2:$T$40,2,FALSE),"")))</f>
        <v>—</v>
      </c>
    </row>
    <row r="22" spans="1:20" x14ac:dyDescent="0.3">
      <c r="A22" s="40" t="str">
        <f>Despiece!A20</f>
        <v>P016</v>
      </c>
      <c r="B22" s="40" t="str">
        <f>Despiece!B20</f>
        <v>B3 Cubiertero y puertas 67</v>
      </c>
      <c r="C22" s="40" t="str">
        <f>Despiece!C20</f>
        <v>Frente cajón superior cubiertero</v>
      </c>
      <c r="D22" s="40" t="str">
        <f>Despiece!D20</f>
        <v>Melamina Cartagena RH 15</v>
      </c>
      <c r="E22" s="41">
        <f>Despiece!G20</f>
        <v>1</v>
      </c>
      <c r="F22" s="45">
        <f>IF($Q$2="NO",ROUND(Despiece!L20,2),Despiece!E20)</f>
        <v>167</v>
      </c>
      <c r="G22" s="45">
        <f>IF($Q$2="NO",ROUND(Despiece!M20,2),Despiece!F20)</f>
        <v>667</v>
      </c>
      <c r="H22" s="42" t="str">
        <f>IF(Despiece!H20="2","R",IF(Despiece!H20="0.45","F","—"))</f>
        <v>R</v>
      </c>
      <c r="I22" s="42" t="str">
        <f>IF(Despiece!I20="2","R",IF(Despiece!I20="0.45","F","—"))</f>
        <v>R</v>
      </c>
      <c r="J22" s="42" t="str">
        <f>IF(Despiece!J20="2","R",IF(Despiece!J20="0.45","F","—"))</f>
        <v>R</v>
      </c>
      <c r="K22" s="42" t="str">
        <f>IF(Despiece!K20="2","R",IF(Despiece!K20="0.45","F","—"))</f>
        <v>R</v>
      </c>
      <c r="L22" s="42" t="str">
        <f>IF(SUMPRODUCT((Despiece!H20:K20="2")+(Despiece!H20:K20="0.45"))=0,"Sin canto",IF(OR(MIN(Despiece!L20,Despiece!M20)&lt;$Q$3,MAX(Despiece!L20,Despiece!M20)&lt;$Q$4),"Pequeña","Normal"))</f>
        <v>Normal</v>
      </c>
      <c r="M22" s="40" t="str">
        <f>Despiece!E20&amp;" × "&amp;Despiece!F20</f>
        <v>167 × 667</v>
      </c>
      <c r="N22" s="43" t="str">
        <f>IF(LEN(TRIM(IF($L22="Pequeña","Si no la cantean: cortar a "&amp;ROUND(Despiece!L20,2)&amp;" × "&amp;ROUND(Despiece!M20,2)&amp;" y cantear en el armado.","")&amp;" "&amp;IFERROR(VLOOKUP(Despiece!A20,$S$2:$T$40,2,FALSE),"")))=0,"—",TRIM(IF($L22="Pequeña","Si no la cantean: cortar a "&amp;ROUND(Despiece!L20,2)&amp;" × "&amp;ROUND(Despiece!M20,2)&amp;" y cantear en el armado.","")&amp;" "&amp;IFERROR(VLOOKUP(Despiece!A20,$S$2:$T$40,2,FALSE),"")))</f>
        <v>—</v>
      </c>
    </row>
    <row r="23" spans="1:20" x14ac:dyDescent="0.3">
      <c r="A23" s="40" t="str">
        <f>Despiece!A21</f>
        <v>P017</v>
      </c>
      <c r="B23" s="40" t="str">
        <f>Despiece!B21</f>
        <v>B3 Cubiertero y puertas 67</v>
      </c>
      <c r="C23" s="40" t="str">
        <f>Despiece!C21</f>
        <v>Cajón: base aplicada inferior</v>
      </c>
      <c r="D23" s="40" t="str">
        <f>Despiece!D21</f>
        <v>Melamina Cartagena RH 15</v>
      </c>
      <c r="E23" s="41">
        <f>Despiece!G21</f>
        <v>1</v>
      </c>
      <c r="F23" s="45">
        <f>IF($Q$2="NO",ROUND(Despiece!L21,2),Despiece!E21)</f>
        <v>613</v>
      </c>
      <c r="G23" s="45">
        <f>IF($Q$2="NO",ROUND(Despiece!M21,2),Despiece!F21)</f>
        <v>550</v>
      </c>
      <c r="H23" s="42" t="str">
        <f>IF(Despiece!H21="2","R",IF(Despiece!H21="0.45","F","—"))</f>
        <v>F</v>
      </c>
      <c r="I23" s="42" t="str">
        <f>IF(Despiece!I21="2","R",IF(Despiece!I21="0.45","F","—"))</f>
        <v>—</v>
      </c>
      <c r="J23" s="42" t="str">
        <f>IF(Despiece!J21="2","R",IF(Despiece!J21="0.45","F","—"))</f>
        <v>F</v>
      </c>
      <c r="K23" s="42" t="str">
        <f>IF(Despiece!K21="2","R",IF(Despiece!K21="0.45","F","—"))</f>
        <v>F</v>
      </c>
      <c r="L23" s="42" t="str">
        <f>IF(SUMPRODUCT((Despiece!H21:K21="2")+(Despiece!H21:K21="0.45"))=0,"Sin canto",IF(OR(MIN(Despiece!L21,Despiece!M21)&lt;$Q$3,MAX(Despiece!L21,Despiece!M21)&lt;$Q$4),"Pequeña","Normal"))</f>
        <v>Normal</v>
      </c>
      <c r="M23" s="40" t="str">
        <f>Despiece!E21&amp;" × "&amp;Despiece!F21</f>
        <v>613 × 550</v>
      </c>
      <c r="N23" s="43" t="str">
        <f>IF(LEN(TRIM(IF($L23="Pequeña","Si no la cantean: cortar a "&amp;ROUND(Despiece!L21,2)&amp;" × "&amp;ROUND(Despiece!M21,2)&amp;" y cantear en el armado.","")&amp;" "&amp;IFERROR(VLOOKUP(Despiece!A21,$S$2:$T$40,2,FALSE),"")))=0,"—",TRIM(IF($L23="Pequeña","Si no la cantean: cortar a "&amp;ROUND(Despiece!L21,2)&amp;" × "&amp;ROUND(Despiece!M21,2)&amp;" y cantear en el armado.","")&amp;" "&amp;IFERROR(VLOOKUP(Despiece!A21,$S$2:$T$40,2,FALSE),"")))</f>
        <v>—</v>
      </c>
    </row>
    <row r="24" spans="1:20" ht="28.8" x14ac:dyDescent="0.3">
      <c r="A24" s="40" t="str">
        <f>Despiece!A22</f>
        <v>P018</v>
      </c>
      <c r="B24" s="40" t="str">
        <f>Despiece!B22</f>
        <v>B3 Cubiertero y puertas 67</v>
      </c>
      <c r="C24" s="40" t="str">
        <f>Despiece!C22</f>
        <v>Cajón: costado</v>
      </c>
      <c r="D24" s="40" t="str">
        <f>Despiece!D22</f>
        <v>Melamina Cartagena RH 15</v>
      </c>
      <c r="E24" s="41">
        <f>Despiece!G22</f>
        <v>2</v>
      </c>
      <c r="F24" s="45">
        <f>IF($Q$2="NO",ROUND(Despiece!L22,2),Despiece!E22)</f>
        <v>550</v>
      </c>
      <c r="G24" s="45">
        <f>IF($Q$2="NO",ROUND(Despiece!M22,2),Despiece!F22)</f>
        <v>75</v>
      </c>
      <c r="H24" s="42" t="str">
        <f>IF(Despiece!H22="2","R",IF(Despiece!H22="0.45","F","—"))</f>
        <v>F</v>
      </c>
      <c r="I24" s="42" t="str">
        <f>IF(Despiece!I22="2","R",IF(Despiece!I22="0.45","F","—"))</f>
        <v>—</v>
      </c>
      <c r="J24" s="42" t="str">
        <f>IF(Despiece!J22="2","R",IF(Despiece!J22="0.45","F","—"))</f>
        <v>F</v>
      </c>
      <c r="K24" s="42" t="str">
        <f>IF(Despiece!K22="2","R",IF(Despiece!K22="0.45","F","—"))</f>
        <v>—</v>
      </c>
      <c r="L24" s="42" t="str">
        <f>IF(SUMPRODUCT((Despiece!H22:K22="2")+(Despiece!H22:K22="0.45"))=0,"Sin canto",IF(OR(MIN(Despiece!L22,Despiece!M22)&lt;$Q$3,MAX(Despiece!L22,Despiece!M22)&lt;$Q$4),"Pequeña","Normal"))</f>
        <v>Pequeña</v>
      </c>
      <c r="M24" s="40" t="str">
        <f>Despiece!E22&amp;" × "&amp;Despiece!F22</f>
        <v>550 × 75</v>
      </c>
      <c r="N24" s="43" t="str">
        <f>IF(LEN(TRIM(IF($L24="Pequeña","Si no la cantean: cortar a "&amp;ROUND(Despiece!L22,2)&amp;" × "&amp;ROUND(Despiece!M22,2)&amp;" y cantear en el armado.","")&amp;" "&amp;IFERROR(VLOOKUP(Despiece!A22,$S$2:$T$40,2,FALSE),"")))=0,"—",TRIM(IF($L24="Pequeña","Si no la cantean: cortar a "&amp;ROUND(Despiece!L22,2)&amp;" × "&amp;ROUND(Despiece!M22,2)&amp;" y cantear en el armado.","")&amp;" "&amp;IFERROR(VLOOKUP(Despiece!A22,$S$2:$T$40,2,FALSE),"")))</f>
        <v>Si no la cantean: cortar a 549,55 × 74,55 y cantear en el armado.</v>
      </c>
    </row>
    <row r="25" spans="1:20" ht="28.8" x14ac:dyDescent="0.3">
      <c r="A25" s="40" t="str">
        <f>Despiece!A23</f>
        <v>P019</v>
      </c>
      <c r="B25" s="40" t="str">
        <f>Despiece!B23</f>
        <v>B3 Cubiertero y puertas 67</v>
      </c>
      <c r="C25" s="40" t="str">
        <f>Despiece!C23</f>
        <v>Cajón: frente y trasero interiores</v>
      </c>
      <c r="D25" s="40" t="str">
        <f>Despiece!D23</f>
        <v>Melamina Cartagena RH 15</v>
      </c>
      <c r="E25" s="41">
        <f>Despiece!G23</f>
        <v>2</v>
      </c>
      <c r="F25" s="45">
        <f>IF($Q$2="NO",ROUND(Despiece!L23,2),Despiece!E23)</f>
        <v>583</v>
      </c>
      <c r="G25" s="45">
        <f>IF($Q$2="NO",ROUND(Despiece!M23,2),Despiece!F23)</f>
        <v>75</v>
      </c>
      <c r="H25" s="42" t="str">
        <f>IF(Despiece!H23="2","R",IF(Despiece!H23="0.45","F","—"))</f>
        <v>F</v>
      </c>
      <c r="I25" s="42" t="str">
        <f>IF(Despiece!I23="2","R",IF(Despiece!I23="0.45","F","—"))</f>
        <v>—</v>
      </c>
      <c r="J25" s="42" t="str">
        <f>IF(Despiece!J23="2","R",IF(Despiece!J23="0.45","F","—"))</f>
        <v>—</v>
      </c>
      <c r="K25" s="42" t="str">
        <f>IF(Despiece!K23="2","R",IF(Despiece!K23="0.45","F","—"))</f>
        <v>—</v>
      </c>
      <c r="L25" s="42" t="str">
        <f>IF(SUMPRODUCT((Despiece!H23:K23="2")+(Despiece!H23:K23="0.45"))=0,"Sin canto",IF(OR(MIN(Despiece!L23,Despiece!M23)&lt;$Q$3,MAX(Despiece!L23,Despiece!M23)&lt;$Q$4),"Pequeña","Normal"))</f>
        <v>Pequeña</v>
      </c>
      <c r="M25" s="40" t="str">
        <f>Despiece!E23&amp;" × "&amp;Despiece!F23</f>
        <v>583 × 75</v>
      </c>
      <c r="N25" s="43" t="str">
        <f>IF(LEN(TRIM(IF($L25="Pequeña","Si no la cantean: cortar a "&amp;ROUND(Despiece!L23,2)&amp;" × "&amp;ROUND(Despiece!M23,2)&amp;" y cantear en el armado.","")&amp;" "&amp;IFERROR(VLOOKUP(Despiece!A23,$S$2:$T$40,2,FALSE),"")))=0,"—",TRIM(IF($L25="Pequeña","Si no la cantean: cortar a "&amp;ROUND(Despiece!L23,2)&amp;" × "&amp;ROUND(Despiece!M23,2)&amp;" y cantear en el armado.","")&amp;" "&amp;IFERROR(VLOOKUP(Despiece!A23,$S$2:$T$40,2,FALSE),"")))</f>
        <v>Si no la cantean: cortar a 583 × 74,55 y cantear en el armado.</v>
      </c>
    </row>
    <row r="26" spans="1:20" x14ac:dyDescent="0.3">
      <c r="A26" s="40" t="str">
        <f>Despiece!A24</f>
        <v>P020</v>
      </c>
      <c r="B26" s="40" t="str">
        <f>Despiece!B24</f>
        <v>B3 Cubiertero y puertas 67</v>
      </c>
      <c r="C26" s="40" t="str">
        <f>Despiece!C24</f>
        <v>Puerta inferior izquierda</v>
      </c>
      <c r="D26" s="40" t="str">
        <f>Despiece!D24</f>
        <v>Melamina Cartagena RH 15</v>
      </c>
      <c r="E26" s="41">
        <f>Despiece!G24</f>
        <v>1</v>
      </c>
      <c r="F26" s="45">
        <f>IF($Q$2="NO",ROUND(Despiece!L24,2),Despiece!E24)</f>
        <v>537</v>
      </c>
      <c r="G26" s="45">
        <f>IF($Q$2="NO",ROUND(Despiece!M24,2),Despiece!F24)</f>
        <v>332</v>
      </c>
      <c r="H26" s="42" t="str">
        <f>IF(Despiece!H24="2","R",IF(Despiece!H24="0.45","F","—"))</f>
        <v>R</v>
      </c>
      <c r="I26" s="42" t="str">
        <f>IF(Despiece!I24="2","R",IF(Despiece!I24="0.45","F","—"))</f>
        <v>R</v>
      </c>
      <c r="J26" s="42" t="str">
        <f>IF(Despiece!J24="2","R",IF(Despiece!J24="0.45","F","—"))</f>
        <v>R</v>
      </c>
      <c r="K26" s="42" t="str">
        <f>IF(Despiece!K24="2","R",IF(Despiece!K24="0.45","F","—"))</f>
        <v>R</v>
      </c>
      <c r="L26" s="42" t="str">
        <f>IF(SUMPRODUCT((Despiece!H24:K24="2")+(Despiece!H24:K24="0.45"))=0,"Sin canto",IF(OR(MIN(Despiece!L24,Despiece!M24)&lt;$Q$3,MAX(Despiece!L24,Despiece!M24)&lt;$Q$4),"Pequeña","Normal"))</f>
        <v>Normal</v>
      </c>
      <c r="M26" s="40" t="str">
        <f>Despiece!E24&amp;" × "&amp;Despiece!F24</f>
        <v>537 × 332</v>
      </c>
      <c r="N26" s="43" t="str">
        <f>IF(LEN(TRIM(IF($L26="Pequeña","Si no la cantean: cortar a "&amp;ROUND(Despiece!L24,2)&amp;" × "&amp;ROUND(Despiece!M24,2)&amp;" y cantear en el armado.","")&amp;" "&amp;IFERROR(VLOOKUP(Despiece!A24,$S$2:$T$40,2,FALSE),"")))=0,"—",TRIM(IF($L26="Pequeña","Si no la cantean: cortar a "&amp;ROUND(Despiece!L24,2)&amp;" × "&amp;ROUND(Despiece!M24,2)&amp;" y cantear en el armado.","")&amp;" "&amp;IFERROR(VLOOKUP(Despiece!A24,$S$2:$T$40,2,FALSE),"")))</f>
        <v>—</v>
      </c>
    </row>
    <row r="27" spans="1:20" x14ac:dyDescent="0.3">
      <c r="A27" s="40" t="str">
        <f>Despiece!A25</f>
        <v>P021</v>
      </c>
      <c r="B27" s="40" t="str">
        <f>Despiece!B25</f>
        <v>B3 Cubiertero y puertas 67</v>
      </c>
      <c r="C27" s="40" t="str">
        <f>Despiece!C25</f>
        <v>Puerta inferior derecha</v>
      </c>
      <c r="D27" s="40" t="str">
        <f>Despiece!D25</f>
        <v>Melamina Cartagena RH 15</v>
      </c>
      <c r="E27" s="41">
        <f>Despiece!G25</f>
        <v>1</v>
      </c>
      <c r="F27" s="45">
        <f>IF($Q$2="NO",ROUND(Despiece!L25,2),Despiece!E25)</f>
        <v>537</v>
      </c>
      <c r="G27" s="45">
        <f>IF($Q$2="NO",ROUND(Despiece!M25,2),Despiece!F25)</f>
        <v>332</v>
      </c>
      <c r="H27" s="42" t="str">
        <f>IF(Despiece!H25="2","R",IF(Despiece!H25="0.45","F","—"))</f>
        <v>R</v>
      </c>
      <c r="I27" s="42" t="str">
        <f>IF(Despiece!I25="2","R",IF(Despiece!I25="0.45","F","—"))</f>
        <v>R</v>
      </c>
      <c r="J27" s="42" t="str">
        <f>IF(Despiece!J25="2","R",IF(Despiece!J25="0.45","F","—"))</f>
        <v>R</v>
      </c>
      <c r="K27" s="42" t="str">
        <f>IF(Despiece!K25="2","R",IF(Despiece!K25="0.45","F","—"))</f>
        <v>R</v>
      </c>
      <c r="L27" s="42" t="str">
        <f>IF(SUMPRODUCT((Despiece!H25:K25="2")+(Despiece!H25:K25="0.45"))=0,"Sin canto",IF(OR(MIN(Despiece!L25,Despiece!M25)&lt;$Q$3,MAX(Despiece!L25,Despiece!M25)&lt;$Q$4),"Pequeña","Normal"))</f>
        <v>Normal</v>
      </c>
      <c r="M27" s="40" t="str">
        <f>Despiece!E25&amp;" × "&amp;Despiece!F25</f>
        <v>537 × 332</v>
      </c>
      <c r="N27" s="43" t="str">
        <f>IF(LEN(TRIM(IF($L27="Pequeña","Si no la cantean: cortar a "&amp;ROUND(Despiece!L25,2)&amp;" × "&amp;ROUND(Despiece!M25,2)&amp;" y cantear en el armado.","")&amp;" "&amp;IFERROR(VLOOKUP(Despiece!A25,$S$2:$T$40,2,FALSE),"")))=0,"—",TRIM(IF($L27="Pequeña","Si no la cantean: cortar a "&amp;ROUND(Despiece!L25,2)&amp;" × "&amp;ROUND(Despiece!M25,2)&amp;" y cantear en el armado.","")&amp;" "&amp;IFERROR(VLOOKUP(Despiece!A25,$S$2:$T$40,2,FALSE),"")))</f>
        <v>—</v>
      </c>
    </row>
    <row r="28" spans="1:20" x14ac:dyDescent="0.3">
      <c r="A28" s="40" t="str">
        <f>Despiece!A26</f>
        <v>P022</v>
      </c>
      <c r="B28" s="40" t="str">
        <f>Despiece!B26</f>
        <v>B3 Cubiertero y puertas 67</v>
      </c>
      <c r="C28" s="40" t="str">
        <f>Despiece!C26</f>
        <v>Entrepaño regulable inferior</v>
      </c>
      <c r="D28" s="40" t="str">
        <f>Despiece!D26</f>
        <v>Melamina Cartagena RH 15</v>
      </c>
      <c r="E28" s="41">
        <f>Despiece!G26</f>
        <v>1</v>
      </c>
      <c r="F28" s="45">
        <f>IF($Q$2="NO",ROUND(Despiece!L26,2),Despiece!E26)</f>
        <v>638</v>
      </c>
      <c r="G28" s="45">
        <f>IF($Q$2="NO",ROUND(Despiece!M26,2),Despiece!F26)</f>
        <v>550</v>
      </c>
      <c r="H28" s="42" t="str">
        <f>IF(Despiece!H26="2","R",IF(Despiece!H26="0.45","F","—"))</f>
        <v>R</v>
      </c>
      <c r="I28" s="42" t="str">
        <f>IF(Despiece!I26="2","R",IF(Despiece!I26="0.45","F","—"))</f>
        <v>—</v>
      </c>
      <c r="J28" s="42" t="str">
        <f>IF(Despiece!J26="2","R",IF(Despiece!J26="0.45","F","—"))</f>
        <v>—</v>
      </c>
      <c r="K28" s="42" t="str">
        <f>IF(Despiece!K26="2","R",IF(Despiece!K26="0.45","F","—"))</f>
        <v>—</v>
      </c>
      <c r="L28" s="42" t="str">
        <f>IF(SUMPRODUCT((Despiece!H26:K26="2")+(Despiece!H26:K26="0.45"))=0,"Sin canto",IF(OR(MIN(Despiece!L26,Despiece!M26)&lt;$Q$3,MAX(Despiece!L26,Despiece!M26)&lt;$Q$4),"Pequeña","Normal"))</f>
        <v>Normal</v>
      </c>
      <c r="M28" s="40" t="str">
        <f>Despiece!E26&amp;" × "&amp;Despiece!F26</f>
        <v>638 × 550</v>
      </c>
      <c r="N28" s="43" t="str">
        <f>IF(LEN(TRIM(IF($L28="Pequeña","Si no la cantean: cortar a "&amp;ROUND(Despiece!L26,2)&amp;" × "&amp;ROUND(Despiece!M26,2)&amp;" y cantear en el armado.","")&amp;" "&amp;IFERROR(VLOOKUP(Despiece!A26,$S$2:$T$40,2,FALSE),"")))=0,"—",TRIM(IF($L28="Pequeña","Si no la cantean: cortar a "&amp;ROUND(Despiece!L26,2)&amp;" × "&amp;ROUND(Despiece!M26,2)&amp;" y cantear en el armado.","")&amp;" "&amp;IFERROR(VLOOKUP(Despiece!A26,$S$2:$T$40,2,FALSE),"")))</f>
        <v>—</v>
      </c>
    </row>
    <row r="29" spans="1:20" x14ac:dyDescent="0.3">
      <c r="A29" s="40" t="str">
        <f>Despiece!A27</f>
        <v>P023</v>
      </c>
      <c r="B29" s="40" t="str">
        <f>Despiece!B27</f>
        <v>B5 Lavaplatos 70</v>
      </c>
      <c r="C29" s="40" t="str">
        <f>Despiece!C27</f>
        <v>Lateral</v>
      </c>
      <c r="D29" s="40" t="str">
        <f>Despiece!D27</f>
        <v>Melamina Cartagena RH 15</v>
      </c>
      <c r="E29" s="41">
        <f>Despiece!G27</f>
        <v>2</v>
      </c>
      <c r="F29" s="45">
        <f>IF($Q$2="NO",ROUND(Despiece!L27,2),Despiece!E27)</f>
        <v>785</v>
      </c>
      <c r="G29" s="45">
        <f>IF($Q$2="NO",ROUND(Despiece!M27,2),Despiece!F27)</f>
        <v>580</v>
      </c>
      <c r="H29" s="42" t="str">
        <f>IF(Despiece!H27="2","R",IF(Despiece!H27="0.45","F","—"))</f>
        <v>R</v>
      </c>
      <c r="I29" s="42" t="str">
        <f>IF(Despiece!I27="2","R",IF(Despiece!I27="0.45","F","—"))</f>
        <v>—</v>
      </c>
      <c r="J29" s="42" t="str">
        <f>IF(Despiece!J27="2","R",IF(Despiece!J27="0.45","F","—"))</f>
        <v>F</v>
      </c>
      <c r="K29" s="42" t="str">
        <f>IF(Despiece!K27="2","R",IF(Despiece!K27="0.45","F","—"))</f>
        <v>—</v>
      </c>
      <c r="L29" s="42" t="str">
        <f>IF(SUMPRODUCT((Despiece!H27:K27="2")+(Despiece!H27:K27="0.45"))=0,"Sin canto",IF(OR(MIN(Despiece!L27,Despiece!M27)&lt;$Q$3,MAX(Despiece!L27,Despiece!M27)&lt;$Q$4),"Pequeña","Normal"))</f>
        <v>Normal</v>
      </c>
      <c r="M29" s="40" t="str">
        <f>Despiece!E27&amp;" × "&amp;Despiece!F27</f>
        <v>785 × 580</v>
      </c>
      <c r="N29" s="43" t="str">
        <f>IF(LEN(TRIM(IF($L29="Pequeña","Si no la cantean: cortar a "&amp;ROUND(Despiece!L27,2)&amp;" × "&amp;ROUND(Despiece!M27,2)&amp;" y cantear en el armado.","")&amp;" "&amp;IFERROR(VLOOKUP(Despiece!A27,$S$2:$T$40,2,FALSE),"")))=0,"—",TRIM(IF($L29="Pequeña","Si no la cantean: cortar a "&amp;ROUND(Despiece!L27,2)&amp;" × "&amp;ROUND(Despiece!M27,2)&amp;" y cantear en el armado.","")&amp;" "&amp;IFERROR(VLOOKUP(Despiece!A27,$S$2:$T$40,2,FALSE),"")))</f>
        <v>Rebaje para la gola en el armado, cuando se defina el borde del granito; no lo hace el proveedor.</v>
      </c>
    </row>
    <row r="30" spans="1:20" x14ac:dyDescent="0.3">
      <c r="A30" s="40" t="str">
        <f>Despiece!A28</f>
        <v>P024</v>
      </c>
      <c r="B30" s="40" t="str">
        <f>Despiece!B28</f>
        <v>B5 Lavaplatos 70</v>
      </c>
      <c r="C30" s="40" t="str">
        <f>Despiece!C28</f>
        <v>Piso</v>
      </c>
      <c r="D30" s="40" t="str">
        <f>Despiece!D28</f>
        <v>Melamina Cartagena RH 15</v>
      </c>
      <c r="E30" s="41">
        <f>Despiece!G28</f>
        <v>1</v>
      </c>
      <c r="F30" s="45">
        <f>IF($Q$2="NO",ROUND(Despiece!L28,2),Despiece!E28)</f>
        <v>670</v>
      </c>
      <c r="G30" s="45">
        <f>IF($Q$2="NO",ROUND(Despiece!M28,2),Despiece!F28)</f>
        <v>580</v>
      </c>
      <c r="H30" s="42" t="str">
        <f>IF(Despiece!H28="2","R",IF(Despiece!H28="0.45","F","—"))</f>
        <v>R</v>
      </c>
      <c r="I30" s="42" t="str">
        <f>IF(Despiece!I28="2","R",IF(Despiece!I28="0.45","F","—"))</f>
        <v>—</v>
      </c>
      <c r="J30" s="42" t="str">
        <f>IF(Despiece!J28="2","R",IF(Despiece!J28="0.45","F","—"))</f>
        <v>—</v>
      </c>
      <c r="K30" s="42" t="str">
        <f>IF(Despiece!K28="2","R",IF(Despiece!K28="0.45","F","—"))</f>
        <v>—</v>
      </c>
      <c r="L30" s="42" t="str">
        <f>IF(SUMPRODUCT((Despiece!H28:K28="2")+(Despiece!H28:K28="0.45"))=0,"Sin canto",IF(OR(MIN(Despiece!L28,Despiece!M28)&lt;$Q$3,MAX(Despiece!L28,Despiece!M28)&lt;$Q$4),"Pequeña","Normal"))</f>
        <v>Normal</v>
      </c>
      <c r="M30" s="40" t="str">
        <f>Despiece!E28&amp;" × "&amp;Despiece!F28</f>
        <v>670 × 580</v>
      </c>
      <c r="N30" s="43" t="str">
        <f>IF(LEN(TRIM(IF($L30="Pequeña","Si no la cantean: cortar a "&amp;ROUND(Despiece!L28,2)&amp;" × "&amp;ROUND(Despiece!M28,2)&amp;" y cantear en el armado.","")&amp;" "&amp;IFERROR(VLOOKUP(Despiece!A28,$S$2:$T$40,2,FALSE),"")))=0,"—",TRIM(IF($L30="Pequeña","Si no la cantean: cortar a "&amp;ROUND(Despiece!L28,2)&amp;" × "&amp;ROUND(Despiece!M28,2)&amp;" y cantear en el armado.","")&amp;" "&amp;IFERROR(VLOOKUP(Despiece!A28,$S$2:$T$40,2,FALSE),"")))</f>
        <v>—</v>
      </c>
    </row>
    <row r="31" spans="1:20" ht="88.05" customHeight="1" x14ac:dyDescent="0.3">
      <c r="A31" s="40" t="str">
        <f>Despiece!A29</f>
        <v>P025</v>
      </c>
      <c r="B31" s="40" t="str">
        <f>Despiece!B29</f>
        <v>B5 Lavaplatos 70</v>
      </c>
      <c r="C31" s="40" t="str">
        <f>Despiece!C29</f>
        <v>Travesaño de canto</v>
      </c>
      <c r="D31" s="40" t="str">
        <f>Despiece!D29</f>
        <v>Melamina Cartagena RH 15</v>
      </c>
      <c r="E31" s="41">
        <f>Despiece!G29</f>
        <v>2</v>
      </c>
      <c r="F31" s="45">
        <f>IF($Q$2="NO",ROUND(Despiece!L29,2),Despiece!E29)</f>
        <v>670</v>
      </c>
      <c r="G31" s="45">
        <f>IF($Q$2="NO",ROUND(Despiece!M29,2),Despiece!F29)</f>
        <v>100</v>
      </c>
      <c r="H31" s="42" t="str">
        <f>IF(Despiece!H29="2","R",IF(Despiece!H29="0.45","F","—"))</f>
        <v>F</v>
      </c>
      <c r="I31" s="42" t="str">
        <f>IF(Despiece!I29="2","R",IF(Despiece!I29="0.45","F","—"))</f>
        <v>F</v>
      </c>
      <c r="J31" s="42" t="str">
        <f>IF(Despiece!J29="2","R",IF(Despiece!J29="0.45","F","—"))</f>
        <v>F</v>
      </c>
      <c r="K31" s="42" t="str">
        <f>IF(Despiece!K29="2","R",IF(Despiece!K29="0.45","F","—"))</f>
        <v>F</v>
      </c>
      <c r="L31" s="42" t="str">
        <f>IF(SUMPRODUCT((Despiece!H29:K29="2")+(Despiece!H29:K29="0.45"))=0,"Sin canto",IF(OR(MIN(Despiece!L29,Despiece!M29)&lt;$Q$3,MAX(Despiece!L29,Despiece!M29)&lt;$Q$4),"Pequeña","Normal"))</f>
        <v>Pequeña</v>
      </c>
      <c r="M31" s="40" t="str">
        <f>Despiece!E29&amp;" × "&amp;Despiece!F29</f>
        <v>670 × 100</v>
      </c>
      <c r="N31" s="43" t="str">
        <f>IF(LEN(TRIM(IF($L31="Pequeña","Si no la cantean: cortar a "&amp;ROUND(Despiece!L29,2)&amp;" × "&amp;ROUND(Despiece!M29,2)&amp;" y cantear en el armado.","")&amp;" "&amp;IFERROR(VLOOKUP(Despiece!A29,$S$2:$T$40,2,FALSE),"")))=0,"—",TRIM(IF($L31="Pequeña","Si no la cantean: cortar a "&amp;ROUND(Despiece!L29,2)&amp;" × "&amp;ROUND(Despiece!M29,2)&amp;" y cantear en el armado.","")&amp;" "&amp;IFERROR(VLOOKUP(Despiece!A29,$S$2:$T$40,2,FALSE),"")))</f>
        <v>Si no la cantean: cortar a 669,1 × 99,1 y cantear en el armado. Rebaje para la gola en el armado, cuando se defina el borde del granito; no lo hace el proveedor.</v>
      </c>
    </row>
    <row r="32" spans="1:20" x14ac:dyDescent="0.3">
      <c r="A32" s="40" t="str">
        <f>Despiece!A30</f>
        <v>P026</v>
      </c>
      <c r="B32" s="40" t="str">
        <f>Despiece!B30</f>
        <v>B5 Lavaplatos 70</v>
      </c>
      <c r="C32" s="40" t="str">
        <f>Despiece!C30</f>
        <v>Fondo clavado atrás</v>
      </c>
      <c r="D32" s="40" t="str">
        <f>Despiece!D30</f>
        <v>Fondo melamina 6</v>
      </c>
      <c r="E32" s="41">
        <f>Despiece!G30</f>
        <v>1</v>
      </c>
      <c r="F32" s="45">
        <f>IF($Q$2="NO",ROUND(Despiece!L30,2),Despiece!E30)</f>
        <v>696</v>
      </c>
      <c r="G32" s="45">
        <f>IF($Q$2="NO",ROUND(Despiece!M30,2),Despiece!F30)</f>
        <v>781</v>
      </c>
      <c r="H32" s="42" t="str">
        <f>IF(Despiece!H30="2","R",IF(Despiece!H30="0.45","F","—"))</f>
        <v>—</v>
      </c>
      <c r="I32" s="42" t="str">
        <f>IF(Despiece!I30="2","R",IF(Despiece!I30="0.45","F","—"))</f>
        <v>—</v>
      </c>
      <c r="J32" s="42" t="str">
        <f>IF(Despiece!J30="2","R",IF(Despiece!J30="0.45","F","—"))</f>
        <v>—</v>
      </c>
      <c r="K32" s="42" t="str">
        <f>IF(Despiece!K30="2","R",IF(Despiece!K30="0.45","F","—"))</f>
        <v>—</v>
      </c>
      <c r="L32" s="42" t="str">
        <f>IF(SUMPRODUCT((Despiece!H30:K30="2")+(Despiece!H30:K30="0.45"))=0,"Sin canto",IF(OR(MIN(Despiece!L30,Despiece!M30)&lt;$Q$3,MAX(Despiece!L30,Despiece!M30)&lt;$Q$4),"Pequeña","Normal"))</f>
        <v>Sin canto</v>
      </c>
      <c r="M32" s="40" t="str">
        <f>Despiece!E30&amp;" × "&amp;Despiece!F30</f>
        <v>696 × 781</v>
      </c>
      <c r="N32" s="43" t="str">
        <f>IF(LEN(TRIM(IF($L32="Pequeña","Si no la cantean: cortar a "&amp;ROUND(Despiece!L30,2)&amp;" × "&amp;ROUND(Despiece!M30,2)&amp;" y cantear en el armado.","")&amp;" "&amp;IFERROR(VLOOKUP(Despiece!A30,$S$2:$T$40,2,FALSE),"")))=0,"—",TRIM(IF($L32="Pequeña","Si no la cantean: cortar a "&amp;ROUND(Despiece!L30,2)&amp;" × "&amp;ROUND(Despiece!M30,2)&amp;" y cantear en el armado.","")&amp;" "&amp;IFERROR(VLOOKUP(Despiece!A30,$S$2:$T$40,2,FALSE),"")))</f>
        <v>—</v>
      </c>
    </row>
    <row r="33" spans="1:14" x14ac:dyDescent="0.3">
      <c r="A33" s="40" t="str">
        <f>Despiece!A31</f>
        <v>P027</v>
      </c>
      <c r="B33" s="40" t="str">
        <f>Despiece!B31</f>
        <v>B5 Lavaplatos 70</v>
      </c>
      <c r="C33" s="40" t="str">
        <f>Despiece!C31</f>
        <v>Puerta izquierda</v>
      </c>
      <c r="D33" s="40" t="str">
        <f>Despiece!D31</f>
        <v>Melamina Cartagena RH 15</v>
      </c>
      <c r="E33" s="41">
        <f>Despiece!G31</f>
        <v>1</v>
      </c>
      <c r="F33" s="45">
        <f>IF($Q$2="NO",ROUND(Despiece!L31,2),Despiece!E31)</f>
        <v>732</v>
      </c>
      <c r="G33" s="45">
        <f>IF($Q$2="NO",ROUND(Despiece!M31,2),Despiece!F31)</f>
        <v>347</v>
      </c>
      <c r="H33" s="42" t="str">
        <f>IF(Despiece!H31="2","R",IF(Despiece!H31="0.45","F","—"))</f>
        <v>R</v>
      </c>
      <c r="I33" s="42" t="str">
        <f>IF(Despiece!I31="2","R",IF(Despiece!I31="0.45","F","—"))</f>
        <v>R</v>
      </c>
      <c r="J33" s="42" t="str">
        <f>IF(Despiece!J31="2","R",IF(Despiece!J31="0.45","F","—"))</f>
        <v>R</v>
      </c>
      <c r="K33" s="42" t="str">
        <f>IF(Despiece!K31="2","R",IF(Despiece!K31="0.45","F","—"))</f>
        <v>R</v>
      </c>
      <c r="L33" s="42" t="str">
        <f>IF(SUMPRODUCT((Despiece!H31:K31="2")+(Despiece!H31:K31="0.45"))=0,"Sin canto",IF(OR(MIN(Despiece!L31,Despiece!M31)&lt;$Q$3,MAX(Despiece!L31,Despiece!M31)&lt;$Q$4),"Pequeña","Normal"))</f>
        <v>Normal</v>
      </c>
      <c r="M33" s="40" t="str">
        <f>Despiece!E31&amp;" × "&amp;Despiece!F31</f>
        <v>732 × 347</v>
      </c>
      <c r="N33" s="43" t="str">
        <f>IF(LEN(TRIM(IF($L33="Pequeña","Si no la cantean: cortar a "&amp;ROUND(Despiece!L31,2)&amp;" × "&amp;ROUND(Despiece!M31,2)&amp;" y cantear en el armado.","")&amp;" "&amp;IFERROR(VLOOKUP(Despiece!A31,$S$2:$T$40,2,FALSE),"")))=0,"—",TRIM(IF($L33="Pequeña","Si no la cantean: cortar a "&amp;ROUND(Despiece!L31,2)&amp;" × "&amp;ROUND(Despiece!M31,2)&amp;" y cantear en el armado.","")&amp;" "&amp;IFERROR(VLOOKUP(Despiece!A31,$S$2:$T$40,2,FALSE),"")))</f>
        <v>—</v>
      </c>
    </row>
    <row r="34" spans="1:14" x14ac:dyDescent="0.3">
      <c r="A34" s="40" t="str">
        <f>Despiece!A32</f>
        <v>P028</v>
      </c>
      <c r="B34" s="40" t="str">
        <f>Despiece!B32</f>
        <v>B5 Lavaplatos 70</v>
      </c>
      <c r="C34" s="40" t="str">
        <f>Despiece!C32</f>
        <v>Puerta derecha</v>
      </c>
      <c r="D34" s="40" t="str">
        <f>Despiece!D32</f>
        <v>Melamina Cartagena RH 15</v>
      </c>
      <c r="E34" s="41">
        <f>Despiece!G32</f>
        <v>1</v>
      </c>
      <c r="F34" s="45">
        <f>IF($Q$2="NO",ROUND(Despiece!L32,2),Despiece!E32)</f>
        <v>732</v>
      </c>
      <c r="G34" s="45">
        <f>IF($Q$2="NO",ROUND(Despiece!M32,2),Despiece!F32)</f>
        <v>347</v>
      </c>
      <c r="H34" s="42" t="str">
        <f>IF(Despiece!H32="2","R",IF(Despiece!H32="0.45","F","—"))</f>
        <v>R</v>
      </c>
      <c r="I34" s="42" t="str">
        <f>IF(Despiece!I32="2","R",IF(Despiece!I32="0.45","F","—"))</f>
        <v>R</v>
      </c>
      <c r="J34" s="42" t="str">
        <f>IF(Despiece!J32="2","R",IF(Despiece!J32="0.45","F","—"))</f>
        <v>R</v>
      </c>
      <c r="K34" s="42" t="str">
        <f>IF(Despiece!K32="2","R",IF(Despiece!K32="0.45","F","—"))</f>
        <v>R</v>
      </c>
      <c r="L34" s="42" t="str">
        <f>IF(SUMPRODUCT((Despiece!H32:K32="2")+(Despiece!H32:K32="0.45"))=0,"Sin canto",IF(OR(MIN(Despiece!L32,Despiece!M32)&lt;$Q$3,MAX(Despiece!L32,Despiece!M32)&lt;$Q$4),"Pequeña","Normal"))</f>
        <v>Normal</v>
      </c>
      <c r="M34" s="40" t="str">
        <f>Despiece!E32&amp;" × "&amp;Despiece!F32</f>
        <v>732 × 347</v>
      </c>
      <c r="N34" s="43" t="str">
        <f>IF(LEN(TRIM(IF($L34="Pequeña","Si no la cantean: cortar a "&amp;ROUND(Despiece!L32,2)&amp;" × "&amp;ROUND(Despiece!M32,2)&amp;" y cantear en el armado.","")&amp;" "&amp;IFERROR(VLOOKUP(Despiece!A32,$S$2:$T$40,2,FALSE),"")))=0,"—",TRIM(IF($L34="Pequeña","Si no la cantean: cortar a "&amp;ROUND(Despiece!L32,2)&amp;" × "&amp;ROUND(Despiece!M32,2)&amp;" y cantear en el armado.","")&amp;" "&amp;IFERROR(VLOOKUP(Despiece!A32,$S$2:$T$40,2,FALSE),"")))</f>
        <v>—</v>
      </c>
    </row>
    <row r="35" spans="1:14" ht="43.2" x14ac:dyDescent="0.3">
      <c r="A35" s="40" t="str">
        <f>Despiece!A33</f>
        <v>P029</v>
      </c>
      <c r="B35" s="40" t="str">
        <f>Despiece!B33</f>
        <v>B5 Lavaplatos 70</v>
      </c>
      <c r="C35" s="40" t="str">
        <f>Despiece!C33</f>
        <v>Entrepaño desmontable; recortar sifón en obra</v>
      </c>
      <c r="D35" s="40" t="str">
        <f>Despiece!D33</f>
        <v>Melamina Cartagena RH 15</v>
      </c>
      <c r="E35" s="41">
        <f>Despiece!G33</f>
        <v>1</v>
      </c>
      <c r="F35" s="45">
        <f>IF($Q$2="NO",ROUND(Despiece!L33,2),Despiece!E33)</f>
        <v>668</v>
      </c>
      <c r="G35" s="45">
        <f>IF($Q$2="NO",ROUND(Despiece!M33,2),Despiece!F33)</f>
        <v>520</v>
      </c>
      <c r="H35" s="42" t="str">
        <f>IF(Despiece!H33="2","R",IF(Despiece!H33="0.45","F","—"))</f>
        <v>R</v>
      </c>
      <c r="I35" s="42" t="str">
        <f>IF(Despiece!I33="2","R",IF(Despiece!I33="0.45","F","—"))</f>
        <v>F</v>
      </c>
      <c r="J35" s="42" t="str">
        <f>IF(Despiece!J33="2","R",IF(Despiece!J33="0.45","F","—"))</f>
        <v>F</v>
      </c>
      <c r="K35" s="42" t="str">
        <f>IF(Despiece!K33="2","R",IF(Despiece!K33="0.45","F","—"))</f>
        <v>F</v>
      </c>
      <c r="L35" s="42" t="str">
        <f>IF(SUMPRODUCT((Despiece!H33:K33="2")+(Despiece!H33:K33="0.45"))=0,"Sin canto",IF(OR(MIN(Despiece!L33,Despiece!M33)&lt;$Q$3,MAX(Despiece!L33,Despiece!M33)&lt;$Q$4),"Pequeña","Normal"))</f>
        <v>Normal</v>
      </c>
      <c r="M35" s="40" t="str">
        <f>Despiece!E33&amp;" × "&amp;Despiece!F33</f>
        <v>668 × 520</v>
      </c>
      <c r="N35" s="43" t="str">
        <f>IF(LEN(TRIM(IF($L35="Pequeña","Si no la cantean: cortar a "&amp;ROUND(Despiece!L33,2)&amp;" × "&amp;ROUND(Despiece!M33,2)&amp;" y cantear en el armado.","")&amp;" "&amp;IFERROR(VLOOKUP(Despiece!A33,$S$2:$T$40,2,FALSE),"")))=0,"—",TRIM(IF($L35="Pequeña","Si no la cantean: cortar a "&amp;ROUND(Despiece!L33,2)&amp;" × "&amp;ROUND(Despiece!M33,2)&amp;" y cantear en el armado.","")&amp;" "&amp;IFERROR(VLOOKUP(Despiece!A33,$S$2:$T$40,2,FALSE),"")))</f>
        <v>Zona húmeda: 2 mm delante y 0,45 mm en los otros tres bordes. Recorte de sifón y tuberías en obra: sellar el corte.</v>
      </c>
    </row>
    <row r="36" spans="1:14" ht="28.8" x14ac:dyDescent="0.3">
      <c r="A36" s="40" t="str">
        <f>Despiece!A34</f>
        <v>P030</v>
      </c>
      <c r="B36" s="40" t="str">
        <f>Despiece!B34</f>
        <v>B4 Basurero y puerta 40</v>
      </c>
      <c r="C36" s="40" t="str">
        <f>Despiece!C34</f>
        <v>Lateral</v>
      </c>
      <c r="D36" s="40" t="str">
        <f>Despiece!D34</f>
        <v>Melamina Cartagena RH 15</v>
      </c>
      <c r="E36" s="41">
        <f>Despiece!G34</f>
        <v>2</v>
      </c>
      <c r="F36" s="45">
        <f>IF($Q$2="NO",ROUND(Despiece!L34,2),Despiece!E34)</f>
        <v>785</v>
      </c>
      <c r="G36" s="45">
        <f>IF($Q$2="NO",ROUND(Despiece!M34,2),Despiece!F34)</f>
        <v>580</v>
      </c>
      <c r="H36" s="42" t="str">
        <f>IF(Despiece!H34="2","R",IF(Despiece!H34="0.45","F","—"))</f>
        <v>R</v>
      </c>
      <c r="I36" s="42" t="str">
        <f>IF(Despiece!I34="2","R",IF(Despiece!I34="0.45","F","—"))</f>
        <v>—</v>
      </c>
      <c r="J36" s="42" t="str">
        <f>IF(Despiece!J34="2","R",IF(Despiece!J34="0.45","F","—"))</f>
        <v>F</v>
      </c>
      <c r="K36" s="42" t="str">
        <f>IF(Despiece!K34="2","R",IF(Despiece!K34="0.45","F","—"))</f>
        <v>—</v>
      </c>
      <c r="L36" s="42" t="str">
        <f>IF(SUMPRODUCT((Despiece!H34:K34="2")+(Despiece!H34:K34="0.45"))=0,"Sin canto",IF(OR(MIN(Despiece!L34,Despiece!M34)&lt;$Q$3,MAX(Despiece!L34,Despiece!M34)&lt;$Q$4),"Pequeña","Normal"))</f>
        <v>Normal</v>
      </c>
      <c r="M36" s="40" t="str">
        <f>Despiece!E34&amp;" × "&amp;Despiece!F34</f>
        <v>785 × 580</v>
      </c>
      <c r="N36" s="43" t="str">
        <f>IF(LEN(TRIM(IF($L36="Pequeña","Si no la cantean: cortar a "&amp;ROUND(Despiece!L34,2)&amp;" × "&amp;ROUND(Despiece!M34,2)&amp;" y cantear en el armado.","")&amp;" "&amp;IFERROR(VLOOKUP(Despiece!A34,$S$2:$T$40,2,FALSE),"")))=0,"—",TRIM(IF($L36="Pequeña","Si no la cantean: cortar a "&amp;ROUND(Despiece!L34,2)&amp;" × "&amp;ROUND(Despiece!M34,2)&amp;" y cantear en el armado.","")&amp;" "&amp;IFERROR(VLOOKUP(Despiece!A34,$S$2:$T$40,2,FALSE),"")))</f>
        <v>Rebaje para la gola en el armado, cuando se defina el borde del granito; no lo hace el proveedor.</v>
      </c>
    </row>
    <row r="37" spans="1:14" x14ac:dyDescent="0.3">
      <c r="A37" s="40" t="str">
        <f>Despiece!A35</f>
        <v>P031</v>
      </c>
      <c r="B37" s="40" t="str">
        <f>Despiece!B35</f>
        <v>B4 Basurero y puerta 40</v>
      </c>
      <c r="C37" s="40" t="str">
        <f>Despiece!C35</f>
        <v>Piso</v>
      </c>
      <c r="D37" s="40" t="str">
        <f>Despiece!D35</f>
        <v>Melamina Cartagena RH 15</v>
      </c>
      <c r="E37" s="41">
        <f>Despiece!G35</f>
        <v>1</v>
      </c>
      <c r="F37" s="45">
        <f>IF($Q$2="NO",ROUND(Despiece!L35,2),Despiece!E35)</f>
        <v>370</v>
      </c>
      <c r="G37" s="45">
        <f>IF($Q$2="NO",ROUND(Despiece!M35,2),Despiece!F35)</f>
        <v>580</v>
      </c>
      <c r="H37" s="42" t="str">
        <f>IF(Despiece!H35="2","R",IF(Despiece!H35="0.45","F","—"))</f>
        <v>R</v>
      </c>
      <c r="I37" s="42" t="str">
        <f>IF(Despiece!I35="2","R",IF(Despiece!I35="0.45","F","—"))</f>
        <v>—</v>
      </c>
      <c r="J37" s="42" t="str">
        <f>IF(Despiece!J35="2","R",IF(Despiece!J35="0.45","F","—"))</f>
        <v>—</v>
      </c>
      <c r="K37" s="42" t="str">
        <f>IF(Despiece!K35="2","R",IF(Despiece!K35="0.45","F","—"))</f>
        <v>—</v>
      </c>
      <c r="L37" s="42" t="str">
        <f>IF(SUMPRODUCT((Despiece!H35:K35="2")+(Despiece!H35:K35="0.45"))=0,"Sin canto",IF(OR(MIN(Despiece!L35,Despiece!M35)&lt;$Q$3,MAX(Despiece!L35,Despiece!M35)&lt;$Q$4),"Pequeña","Normal"))</f>
        <v>Normal</v>
      </c>
      <c r="M37" s="40" t="str">
        <f>Despiece!E35&amp;" × "&amp;Despiece!F35</f>
        <v>370 × 580</v>
      </c>
      <c r="N37" s="43" t="str">
        <f>IF(LEN(TRIM(IF($L37="Pequeña","Si no la cantean: cortar a "&amp;ROUND(Despiece!L35,2)&amp;" × "&amp;ROUND(Despiece!M35,2)&amp;" y cantear en el armado.","")&amp;" "&amp;IFERROR(VLOOKUP(Despiece!A35,$S$2:$T$40,2,FALSE),"")))=0,"—",TRIM(IF($L37="Pequeña","Si no la cantean: cortar a "&amp;ROUND(Despiece!L35,2)&amp;" × "&amp;ROUND(Despiece!M35,2)&amp;" y cantear en el armado.","")&amp;" "&amp;IFERROR(VLOOKUP(Despiece!A35,$S$2:$T$40,2,FALSE),"")))</f>
        <v>—</v>
      </c>
    </row>
    <row r="38" spans="1:14" ht="88.05" customHeight="1" x14ac:dyDescent="0.3">
      <c r="A38" s="40" t="str">
        <f>Despiece!A36</f>
        <v>P032</v>
      </c>
      <c r="B38" s="40" t="str">
        <f>Despiece!B36</f>
        <v>B4 Basurero y puerta 40</v>
      </c>
      <c r="C38" s="40" t="str">
        <f>Despiece!C36</f>
        <v>Travesaño horizontal</v>
      </c>
      <c r="D38" s="40" t="str">
        <f>Despiece!D36</f>
        <v>Melamina Cartagena RH 15</v>
      </c>
      <c r="E38" s="41">
        <f>Despiece!G36</f>
        <v>2</v>
      </c>
      <c r="F38" s="45">
        <f>IF($Q$2="NO",ROUND(Despiece!L36,2),Despiece!E36)</f>
        <v>370</v>
      </c>
      <c r="G38" s="45">
        <f>IF($Q$2="NO",ROUND(Despiece!M36,2),Despiece!F36)</f>
        <v>100</v>
      </c>
      <c r="H38" s="42" t="str">
        <f>IF(Despiece!H36="2","R",IF(Despiece!H36="0.45","F","—"))</f>
        <v>F</v>
      </c>
      <c r="I38" s="42" t="str">
        <f>IF(Despiece!I36="2","R",IF(Despiece!I36="0.45","F","—"))</f>
        <v>F</v>
      </c>
      <c r="J38" s="42" t="str">
        <f>IF(Despiece!J36="2","R",IF(Despiece!J36="0.45","F","—"))</f>
        <v>—</v>
      </c>
      <c r="K38" s="42" t="str">
        <f>IF(Despiece!K36="2","R",IF(Despiece!K36="0.45","F","—"))</f>
        <v>—</v>
      </c>
      <c r="L38" s="42" t="str">
        <f>IF(SUMPRODUCT((Despiece!H36:K36="2")+(Despiece!H36:K36="0.45"))=0,"Sin canto",IF(OR(MIN(Despiece!L36,Despiece!M36)&lt;$Q$3,MAX(Despiece!L36,Despiece!M36)&lt;$Q$4),"Pequeña","Normal"))</f>
        <v>Pequeña</v>
      </c>
      <c r="M38" s="40" t="str">
        <f>Despiece!E36&amp;" × "&amp;Despiece!F36</f>
        <v>370 × 100</v>
      </c>
      <c r="N38" s="43" t="str">
        <f>IF(LEN(TRIM(IF($L38="Pequeña","Si no la cantean: cortar a "&amp;ROUND(Despiece!L36,2)&amp;" × "&amp;ROUND(Despiece!M36,2)&amp;" y cantear en el armado.","")&amp;" "&amp;IFERROR(VLOOKUP(Despiece!A36,$S$2:$T$40,2,FALSE),"")))=0,"—",TRIM(IF($L38="Pequeña","Si no la cantean: cortar a "&amp;ROUND(Despiece!L36,2)&amp;" × "&amp;ROUND(Despiece!M36,2)&amp;" y cantear en el armado.","")&amp;" "&amp;IFERROR(VLOOKUP(Despiece!A36,$S$2:$T$40,2,FALSE),"")))</f>
        <v>Si no la cantean: cortar a 370 × 99,1 y cantear en el armado. Rebaje para la gola en el armado, cuando se defina el borde del granito; no lo hace el proveedor.</v>
      </c>
    </row>
    <row r="39" spans="1:14" x14ac:dyDescent="0.3">
      <c r="A39" s="40" t="str">
        <f>Despiece!A37</f>
        <v>P033</v>
      </c>
      <c r="B39" s="40" t="str">
        <f>Despiece!B37</f>
        <v>B4 Basurero y puerta 40</v>
      </c>
      <c r="C39" s="40" t="str">
        <f>Despiece!C37</f>
        <v>Fondo clavado atrás</v>
      </c>
      <c r="D39" s="40" t="str">
        <f>Despiece!D37</f>
        <v>Fondo melamina 6</v>
      </c>
      <c r="E39" s="41">
        <f>Despiece!G37</f>
        <v>1</v>
      </c>
      <c r="F39" s="45">
        <f>IF($Q$2="NO",ROUND(Despiece!L37,2),Despiece!E37)</f>
        <v>396</v>
      </c>
      <c r="G39" s="45">
        <f>IF($Q$2="NO",ROUND(Despiece!M37,2),Despiece!F37)</f>
        <v>781</v>
      </c>
      <c r="H39" s="42" t="str">
        <f>IF(Despiece!H37="2","R",IF(Despiece!H37="0.45","F","—"))</f>
        <v>—</v>
      </c>
      <c r="I39" s="42" t="str">
        <f>IF(Despiece!I37="2","R",IF(Despiece!I37="0.45","F","—"))</f>
        <v>—</v>
      </c>
      <c r="J39" s="42" t="str">
        <f>IF(Despiece!J37="2","R",IF(Despiece!J37="0.45","F","—"))</f>
        <v>—</v>
      </c>
      <c r="K39" s="42" t="str">
        <f>IF(Despiece!K37="2","R",IF(Despiece!K37="0.45","F","—"))</f>
        <v>—</v>
      </c>
      <c r="L39" s="42" t="str">
        <f>IF(SUMPRODUCT((Despiece!H37:K37="2")+(Despiece!H37:K37="0.45"))=0,"Sin canto",IF(OR(MIN(Despiece!L37,Despiece!M37)&lt;$Q$3,MAX(Despiece!L37,Despiece!M37)&lt;$Q$4),"Pequeña","Normal"))</f>
        <v>Sin canto</v>
      </c>
      <c r="M39" s="40" t="str">
        <f>Despiece!E37&amp;" × "&amp;Despiece!F37</f>
        <v>396 × 781</v>
      </c>
      <c r="N39" s="43" t="str">
        <f>IF(LEN(TRIM(IF($L39="Pequeña","Si no la cantean: cortar a "&amp;ROUND(Despiece!L37,2)&amp;" × "&amp;ROUND(Despiece!M37,2)&amp;" y cantear en el armado.","")&amp;" "&amp;IFERROR(VLOOKUP(Despiece!A37,$S$2:$T$40,2,FALSE),"")))=0,"—",TRIM(IF($L39="Pequeña","Si no la cantean: cortar a "&amp;ROUND(Despiece!L37,2)&amp;" × "&amp;ROUND(Despiece!M37,2)&amp;" y cantear en el armado.","")&amp;" "&amp;IFERROR(VLOOKUP(Despiece!A37,$S$2:$T$40,2,FALSE),"")))</f>
        <v>—</v>
      </c>
    </row>
    <row r="40" spans="1:14" ht="28.8" x14ac:dyDescent="0.3">
      <c r="A40" s="40" t="str">
        <f>Despiece!A38</f>
        <v>P034</v>
      </c>
      <c r="B40" s="40" t="str">
        <f>Despiece!B38</f>
        <v>B4 Basurero y puerta 40</v>
      </c>
      <c r="C40" s="40" t="str">
        <f>Despiece!C38</f>
        <v>Entrepaño FIJO separador superior/basurero</v>
      </c>
      <c r="D40" s="40" t="str">
        <f>Despiece!D38</f>
        <v>Melamina Cartagena RH 15</v>
      </c>
      <c r="E40" s="41">
        <f>Despiece!G38</f>
        <v>1</v>
      </c>
      <c r="F40" s="45">
        <f>IF($Q$2="NO",ROUND(Despiece!L38,2),Despiece!E38)</f>
        <v>370</v>
      </c>
      <c r="G40" s="45">
        <f>IF($Q$2="NO",ROUND(Despiece!M38,2),Despiece!F38)</f>
        <v>550</v>
      </c>
      <c r="H40" s="42" t="str">
        <f>IF(Despiece!H38="2","R",IF(Despiece!H38="0.45","F","—"))</f>
        <v>R</v>
      </c>
      <c r="I40" s="42" t="str">
        <f>IF(Despiece!I38="2","R",IF(Despiece!I38="0.45","F","—"))</f>
        <v>—</v>
      </c>
      <c r="J40" s="42" t="str">
        <f>IF(Despiece!J38="2","R",IF(Despiece!J38="0.45","F","—"))</f>
        <v>—</v>
      </c>
      <c r="K40" s="42" t="str">
        <f>IF(Despiece!K38="2","R",IF(Despiece!K38="0.45","F","—"))</f>
        <v>—</v>
      </c>
      <c r="L40" s="42" t="str">
        <f>IF(SUMPRODUCT((Despiece!H38:K38="2")+(Despiece!H38:K38="0.45"))=0,"Sin canto",IF(OR(MIN(Despiece!L38,Despiece!M38)&lt;$Q$3,MAX(Despiece!L38,Despiece!M38)&lt;$Q$4),"Pequeña","Normal"))</f>
        <v>Normal</v>
      </c>
      <c r="M40" s="40" t="str">
        <f>Despiece!E38&amp;" × "&amp;Despiece!F38</f>
        <v>370 × 550</v>
      </c>
      <c r="N40" s="43" t="str">
        <f>IF(LEN(TRIM(IF($L40="Pequeña","Si no la cantean: cortar a "&amp;ROUND(Despiece!L38,2)&amp;" × "&amp;ROUND(Despiece!M38,2)&amp;" y cantear en el armado.","")&amp;" "&amp;IFERROR(VLOOKUP(Despiece!A38,$S$2:$T$40,2,FALSE),"")))=0,"—",TRIM(IF($L40="Pequeña","Si no la cantean: cortar a "&amp;ROUND(Despiece!L38,2)&amp;" × "&amp;ROUND(Despiece!M38,2)&amp;" y cantear en el armado.","")&amp;" "&amp;IFERROR(VLOOKUP(Despiece!A38,$S$2:$T$40,2,FALSE),"")))</f>
        <v>Rebaje para la gola en el armado, cuando se defina el borde del granito; no lo hace el proveedor.</v>
      </c>
    </row>
    <row r="41" spans="1:14" x14ac:dyDescent="0.3">
      <c r="A41" s="40" t="str">
        <f>Despiece!A39</f>
        <v>P035</v>
      </c>
      <c r="B41" s="40" t="str">
        <f>Despiece!B39</f>
        <v>B4 Basurero y puerta 40</v>
      </c>
      <c r="C41" s="40" t="str">
        <f>Despiece!C39</f>
        <v>Puerta superior</v>
      </c>
      <c r="D41" s="40" t="str">
        <f>Despiece!D39</f>
        <v>Melamina Cartagena RH 15</v>
      </c>
      <c r="E41" s="41">
        <f>Despiece!G39</f>
        <v>1</v>
      </c>
      <c r="F41" s="45">
        <f>IF($Q$2="NO",ROUND(Despiece!L39,2),Despiece!E39)</f>
        <v>402</v>
      </c>
      <c r="G41" s="45">
        <f>IF($Q$2="NO",ROUND(Despiece!M39,2),Despiece!F39)</f>
        <v>397</v>
      </c>
      <c r="H41" s="42" t="str">
        <f>IF(Despiece!H39="2","R",IF(Despiece!H39="0.45","F","—"))</f>
        <v>R</v>
      </c>
      <c r="I41" s="42" t="str">
        <f>IF(Despiece!I39="2","R",IF(Despiece!I39="0.45","F","—"))</f>
        <v>R</v>
      </c>
      <c r="J41" s="42" t="str">
        <f>IF(Despiece!J39="2","R",IF(Despiece!J39="0.45","F","—"))</f>
        <v>R</v>
      </c>
      <c r="K41" s="42" t="str">
        <f>IF(Despiece!K39="2","R",IF(Despiece!K39="0.45","F","—"))</f>
        <v>R</v>
      </c>
      <c r="L41" s="42" t="str">
        <f>IF(SUMPRODUCT((Despiece!H39:K39="2")+(Despiece!H39:K39="0.45"))=0,"Sin canto",IF(OR(MIN(Despiece!L39,Despiece!M39)&lt;$Q$3,MAX(Despiece!L39,Despiece!M39)&lt;$Q$4),"Pequeña","Normal"))</f>
        <v>Normal</v>
      </c>
      <c r="M41" s="40" t="str">
        <f>Despiece!E39&amp;" × "&amp;Despiece!F39</f>
        <v>402 × 397</v>
      </c>
      <c r="N41" s="43" t="str">
        <f>IF(LEN(TRIM(IF($L41="Pequeña","Si no la cantean: cortar a "&amp;ROUND(Despiece!L39,2)&amp;" × "&amp;ROUND(Despiece!M39,2)&amp;" y cantear en el armado.","")&amp;" "&amp;IFERROR(VLOOKUP(Despiece!A39,$S$2:$T$40,2,FALSE),"")))=0,"—",TRIM(IF($L41="Pequeña","Si no la cantean: cortar a "&amp;ROUND(Despiece!L39,2)&amp;" × "&amp;ROUND(Despiece!M39,2)&amp;" y cantear en el armado.","")&amp;" "&amp;IFERROR(VLOOKUP(Despiece!A39,$S$2:$T$40,2,FALSE),"")))</f>
        <v>—</v>
      </c>
    </row>
    <row r="42" spans="1:14" x14ac:dyDescent="0.3">
      <c r="A42" s="40" t="str">
        <f>Despiece!A40</f>
        <v>P036</v>
      </c>
      <c r="B42" s="40" t="str">
        <f>Despiece!B40</f>
        <v>B4 Basurero y puerta 40</v>
      </c>
      <c r="C42" s="40" t="str">
        <f>Despiece!C40</f>
        <v>Frente inferior extraíble basurero</v>
      </c>
      <c r="D42" s="40" t="str">
        <f>Despiece!D40</f>
        <v>Melamina Cartagena RH 15</v>
      </c>
      <c r="E42" s="41">
        <f>Despiece!G40</f>
        <v>1</v>
      </c>
      <c r="F42" s="45">
        <f>IF($Q$2="NO",ROUND(Despiece!L40,2),Despiece!E40)</f>
        <v>302</v>
      </c>
      <c r="G42" s="45">
        <f>IF($Q$2="NO",ROUND(Despiece!M40,2),Despiece!F40)</f>
        <v>397</v>
      </c>
      <c r="H42" s="42" t="str">
        <f>IF(Despiece!H40="2","R",IF(Despiece!H40="0.45","F","—"))</f>
        <v>R</v>
      </c>
      <c r="I42" s="42" t="str">
        <f>IF(Despiece!I40="2","R",IF(Despiece!I40="0.45","F","—"))</f>
        <v>R</v>
      </c>
      <c r="J42" s="42" t="str">
        <f>IF(Despiece!J40="2","R",IF(Despiece!J40="0.45","F","—"))</f>
        <v>R</v>
      </c>
      <c r="K42" s="42" t="str">
        <f>IF(Despiece!K40="2","R",IF(Despiece!K40="0.45","F","—"))</f>
        <v>R</v>
      </c>
      <c r="L42" s="42" t="str">
        <f>IF(SUMPRODUCT((Despiece!H40:K40="2")+(Despiece!H40:K40="0.45"))=0,"Sin canto",IF(OR(MIN(Despiece!L40,Despiece!M40)&lt;$Q$3,MAX(Despiece!L40,Despiece!M40)&lt;$Q$4),"Pequeña","Normal"))</f>
        <v>Normal</v>
      </c>
      <c r="M42" s="40" t="str">
        <f>Despiece!E40&amp;" × "&amp;Despiece!F40</f>
        <v>302 × 397</v>
      </c>
      <c r="N42" s="43" t="str">
        <f>IF(LEN(TRIM(IF($L42="Pequeña","Si no la cantean: cortar a "&amp;ROUND(Despiece!L40,2)&amp;" × "&amp;ROUND(Despiece!M40,2)&amp;" y cantear en el armado.","")&amp;" "&amp;IFERROR(VLOOKUP(Despiece!A40,$S$2:$T$40,2,FALSE),"")))=0,"—",TRIM(IF($L42="Pequeña","Si no la cantean: cortar a "&amp;ROUND(Despiece!L40,2)&amp;" × "&amp;ROUND(Despiece!M40,2)&amp;" y cantear en el armado.","")&amp;" "&amp;IFERROR(VLOOKUP(Despiece!A40,$S$2:$T$40,2,FALSE),"")))</f>
        <v>—</v>
      </c>
    </row>
    <row r="43" spans="1:14" ht="28.8" x14ac:dyDescent="0.3">
      <c r="A43" s="40" t="str">
        <f>Despiece!A41</f>
        <v>P072</v>
      </c>
      <c r="B43" s="40" t="str">
        <f>Despiece!B41</f>
        <v>B4 Basurero y puerta 40</v>
      </c>
      <c r="C43" s="40" t="str">
        <f>Despiece!C41</f>
        <v>PROVISIONAL plataforma basurero; confirmar ancho por riel</v>
      </c>
      <c r="D43" s="40" t="str">
        <f>Despiece!D41</f>
        <v>Melamina Cartagena RH 15</v>
      </c>
      <c r="E43" s="41">
        <f>Despiece!G41</f>
        <v>1</v>
      </c>
      <c r="F43" s="45">
        <f>IF($Q$2="NO",ROUND(Despiece!L41,2),Despiece!E41)</f>
        <v>343</v>
      </c>
      <c r="G43" s="45">
        <f>IF($Q$2="NO",ROUND(Despiece!M41,2),Despiece!F41)</f>
        <v>550</v>
      </c>
      <c r="H43" s="42" t="str">
        <f>IF(Despiece!H41="2","R",IF(Despiece!H41="0.45","F","—"))</f>
        <v>F</v>
      </c>
      <c r="I43" s="42" t="str">
        <f>IF(Despiece!I41="2","R",IF(Despiece!I41="0.45","F","—"))</f>
        <v>F</v>
      </c>
      <c r="J43" s="42" t="str">
        <f>IF(Despiece!J41="2","R",IF(Despiece!J41="0.45","F","—"))</f>
        <v>F</v>
      </c>
      <c r="K43" s="42" t="str">
        <f>IF(Despiece!K41="2","R",IF(Despiece!K41="0.45","F","—"))</f>
        <v>F</v>
      </c>
      <c r="L43" s="42" t="str">
        <f>IF(SUMPRODUCT((Despiece!H41:K41="2")+(Despiece!H41:K41="0.45"))=0,"Sin canto",IF(OR(MIN(Despiece!L41,Despiece!M41)&lt;$Q$3,MAX(Despiece!L41,Despiece!M41)&lt;$Q$4),"Pequeña","Normal"))</f>
        <v>Normal</v>
      </c>
      <c r="M43" s="40" t="str">
        <f>Despiece!E41&amp;" × "&amp;Despiece!F41</f>
        <v>343 × 550</v>
      </c>
      <c r="N43" s="43" t="str">
        <f>IF(LEN(TRIM(IF($L43="Pequeña","Si no la cantean: cortar a "&amp;ROUND(Despiece!L41,2)&amp;" × "&amp;ROUND(Despiece!M41,2)&amp;" y cantear en el armado.","")&amp;" "&amp;IFERROR(VLOOKUP(Despiece!A41,$S$2:$T$40,2,FALSE),"")))=0,"—",TRIM(IF($L43="Pequeña","Si no la cantean: cortar a "&amp;ROUND(Despiece!L41,2)&amp;" × "&amp;ROUND(Despiece!M41,2)&amp;" y cantear en el armado.","")&amp;" "&amp;IFERROR(VLOOKUP(Despiece!A41,$S$2:$T$40,2,FALSE),"")))</f>
        <v>NO PEDIR: se corta en el armado de un sobrante, con el riel HRE126-55 y la bandeja en mano. Pedir a la sucursal que entregue los sobrantes.</v>
      </c>
    </row>
    <row r="44" spans="1:14" ht="43.2" x14ac:dyDescent="0.3">
      <c r="A44" s="40" t="str">
        <f>Despiece!A42</f>
        <v>P073</v>
      </c>
      <c r="B44" s="40" t="str">
        <f>Despiece!B42</f>
        <v>B4 Basurero y puerta 40</v>
      </c>
      <c r="C44" s="40" t="str">
        <f>Despiece!C42</f>
        <v>PROVISIONAL larguero bajo plataforma basurero</v>
      </c>
      <c r="D44" s="40" t="str">
        <f>Despiece!D42</f>
        <v>Melamina Cartagena RH 15</v>
      </c>
      <c r="E44" s="41">
        <f>Despiece!G42</f>
        <v>2</v>
      </c>
      <c r="F44" s="45">
        <f>IF($Q$2="NO",ROUND(Despiece!L42,2),Despiece!E42)</f>
        <v>550</v>
      </c>
      <c r="G44" s="45">
        <f>IF($Q$2="NO",ROUND(Despiece!M42,2),Despiece!F42)</f>
        <v>60</v>
      </c>
      <c r="H44" s="42" t="str">
        <f>IF(Despiece!H42="2","R",IF(Despiece!H42="0.45","F","—"))</f>
        <v>F</v>
      </c>
      <c r="I44" s="42" t="str">
        <f>IF(Despiece!I42="2","R",IF(Despiece!I42="0.45","F","—"))</f>
        <v>F</v>
      </c>
      <c r="J44" s="42" t="str">
        <f>IF(Despiece!J42="2","R",IF(Despiece!J42="0.45","F","—"))</f>
        <v>F</v>
      </c>
      <c r="K44" s="42" t="str">
        <f>IF(Despiece!K42="2","R",IF(Despiece!K42="0.45","F","—"))</f>
        <v>F</v>
      </c>
      <c r="L44" s="42" t="str">
        <f>IF(SUMPRODUCT((Despiece!H42:K42="2")+(Despiece!H42:K42="0.45"))=0,"Sin canto",IF(OR(MIN(Despiece!L42,Despiece!M42)&lt;$Q$3,MAX(Despiece!L42,Despiece!M42)&lt;$Q$4),"Pequeña","Normal"))</f>
        <v>Pequeña</v>
      </c>
      <c r="M44" s="40" t="str">
        <f>Despiece!E42&amp;" × "&amp;Despiece!F42</f>
        <v>550 × 60</v>
      </c>
      <c r="N44" s="43" t="str">
        <f>IF(LEN(TRIM(IF($L44="Pequeña","Si no la cantean: cortar a "&amp;ROUND(Despiece!L42,2)&amp;" × "&amp;ROUND(Despiece!M42,2)&amp;" y cantear en el armado.","")&amp;" "&amp;IFERROR(VLOOKUP(Despiece!A42,$S$2:$T$40,2,FALSE),"")))=0,"—",TRIM(IF($L44="Pequeña","Si no la cantean: cortar a "&amp;ROUND(Despiece!L42,2)&amp;" × "&amp;ROUND(Despiece!M42,2)&amp;" y cantear en el armado.","")&amp;" "&amp;IFERROR(VLOOKUP(Despiece!A42,$S$2:$T$40,2,FALSE),"")))</f>
        <v>Si no la cantean: cortar a 549,1 × 59,1 y cantear en el armado. NO PEDIR: se corta en el armado de un sobrante, con el riel HRE126-55 y la bandeja en mano. Pedir a la sucursal que entregue los sobrantes.</v>
      </c>
    </row>
    <row r="45" spans="1:14" ht="43.2" x14ac:dyDescent="0.3">
      <c r="A45" s="40" t="str">
        <f>Despiece!A43</f>
        <v>P074</v>
      </c>
      <c r="B45" s="40" t="str">
        <f>Despiece!B43</f>
        <v>B4 Basurero y puerta 40</v>
      </c>
      <c r="C45" s="40" t="str">
        <f>Despiece!C43</f>
        <v>PROVISIONAL travesaño bajo plataforma basurero</v>
      </c>
      <c r="D45" s="40" t="str">
        <f>Despiece!D43</f>
        <v>Melamina Cartagena RH 15</v>
      </c>
      <c r="E45" s="41">
        <f>Despiece!G43</f>
        <v>2</v>
      </c>
      <c r="F45" s="45">
        <f>IF($Q$2="NO",ROUND(Despiece!L43,2),Despiece!E43)</f>
        <v>313</v>
      </c>
      <c r="G45" s="45">
        <f>IF($Q$2="NO",ROUND(Despiece!M43,2),Despiece!F43)</f>
        <v>60</v>
      </c>
      <c r="H45" s="42" t="str">
        <f>IF(Despiece!H43="2","R",IF(Despiece!H43="0.45","F","—"))</f>
        <v>F</v>
      </c>
      <c r="I45" s="42" t="str">
        <f>IF(Despiece!I43="2","R",IF(Despiece!I43="0.45","F","—"))</f>
        <v>F</v>
      </c>
      <c r="J45" s="42" t="str">
        <f>IF(Despiece!J43="2","R",IF(Despiece!J43="0.45","F","—"))</f>
        <v>F</v>
      </c>
      <c r="K45" s="42" t="str">
        <f>IF(Despiece!K43="2","R",IF(Despiece!K43="0.45","F","—"))</f>
        <v>F</v>
      </c>
      <c r="L45" s="42" t="str">
        <f>IF(SUMPRODUCT((Despiece!H43:K43="2")+(Despiece!H43:K43="0.45"))=0,"Sin canto",IF(OR(MIN(Despiece!L43,Despiece!M43)&lt;$Q$3,MAX(Despiece!L43,Despiece!M43)&lt;$Q$4),"Pequeña","Normal"))</f>
        <v>Pequeña</v>
      </c>
      <c r="M45" s="40" t="str">
        <f>Despiece!E43&amp;" × "&amp;Despiece!F43</f>
        <v>313 × 60</v>
      </c>
      <c r="N45" s="43" t="str">
        <f>IF(LEN(TRIM(IF($L45="Pequeña","Si no la cantean: cortar a "&amp;ROUND(Despiece!L43,2)&amp;" × "&amp;ROUND(Despiece!M43,2)&amp;" y cantear en el armado.","")&amp;" "&amp;IFERROR(VLOOKUP(Despiece!A43,$S$2:$T$40,2,FALSE),"")))=0,"—",TRIM(IF($L45="Pequeña","Si no la cantean: cortar a "&amp;ROUND(Despiece!L43,2)&amp;" × "&amp;ROUND(Despiece!M43,2)&amp;" y cantear en el armado.","")&amp;" "&amp;IFERROR(VLOOKUP(Despiece!A43,$S$2:$T$40,2,FALSE),"")))</f>
        <v>Si no la cantean: cortar a 312,1 × 59,1 y cantear en el armado. NO PEDIR: se corta en el armado de un sobrante, con el riel HRE126-55 y la bandeja en mano. Pedir a la sucursal que entregue los sobrantes.</v>
      </c>
    </row>
    <row r="46" spans="1:14" x14ac:dyDescent="0.3">
      <c r="A46" s="40" t="str">
        <f>Despiece!A44</f>
        <v>P037</v>
      </c>
      <c r="B46" s="40" t="str">
        <f>Despiece!B44</f>
        <v>B6 Terminación</v>
      </c>
      <c r="C46" s="40" t="str">
        <f>Despiece!C44</f>
        <v>Costado de terminación</v>
      </c>
      <c r="D46" s="40" t="str">
        <f>Despiece!D44</f>
        <v>Melamina Cartagena RH 15</v>
      </c>
      <c r="E46" s="41">
        <f>Despiece!G44</f>
        <v>1</v>
      </c>
      <c r="F46" s="45">
        <f>IF($Q$2="NO",ROUND(Despiece!L44,2),Despiece!E44)</f>
        <v>882</v>
      </c>
      <c r="G46" s="45">
        <f>IF($Q$2="NO",ROUND(Despiece!M44,2),Despiece!F44)</f>
        <v>595</v>
      </c>
      <c r="H46" s="42" t="str">
        <f>IF(Despiece!H44="2","R",IF(Despiece!H44="0.45","F","—"))</f>
        <v>R</v>
      </c>
      <c r="I46" s="42" t="str">
        <f>IF(Despiece!I44="2","R",IF(Despiece!I44="0.45","F","—"))</f>
        <v>—</v>
      </c>
      <c r="J46" s="42" t="str">
        <f>IF(Despiece!J44="2","R",IF(Despiece!J44="0.45","F","—"))</f>
        <v>F</v>
      </c>
      <c r="K46" s="42" t="str">
        <f>IF(Despiece!K44="2","R",IF(Despiece!K44="0.45","F","—"))</f>
        <v>—</v>
      </c>
      <c r="L46" s="42" t="str">
        <f>IF(SUMPRODUCT((Despiece!H44:K44="2")+(Despiece!H44:K44="0.45"))=0,"Sin canto",IF(OR(MIN(Despiece!L44,Despiece!M44)&lt;$Q$3,MAX(Despiece!L44,Despiece!M44)&lt;$Q$4),"Pequeña","Normal"))</f>
        <v>Normal</v>
      </c>
      <c r="M46" s="40" t="str">
        <f>Despiece!E44&amp;" × "&amp;Despiece!F44</f>
        <v>882 × 595</v>
      </c>
      <c r="N46" s="43" t="str">
        <f>IF(LEN(TRIM(IF($L46="Pequeña","Si no la cantean: cortar a "&amp;ROUND(Despiece!L44,2)&amp;" × "&amp;ROUND(Despiece!M44,2)&amp;" y cantear en el armado.","")&amp;" "&amp;IFERROR(VLOOKUP(Despiece!A44,$S$2:$T$40,2,FALSE),"")))=0,"—",TRIM(IF($L46="Pequeña","Si no la cantean: cortar a "&amp;ROUND(Despiece!L44,2)&amp;" × "&amp;ROUND(Despiece!M44,2)&amp;" y cantear en el armado.","")&amp;" "&amp;IFERROR(VLOOKUP(Despiece!A44,$S$2:$T$40,2,FALSE),"")))</f>
        <v>—</v>
      </c>
    </row>
    <row r="47" spans="1:14" ht="28.8" x14ac:dyDescent="0.3">
      <c r="A47" s="40" t="str">
        <f>Despiece!A45</f>
        <v>P038</v>
      </c>
      <c r="B47" s="40" t="str">
        <f>Despiece!B45</f>
        <v>B6 Terminación</v>
      </c>
      <c r="C47" s="40" t="str">
        <f>Despiece!C45</f>
        <v>Zócalo retranqueado (dos tramos)</v>
      </c>
      <c r="D47" s="40" t="str">
        <f>Despiece!D45</f>
        <v>Melamina Cartagena RH 15</v>
      </c>
      <c r="E47" s="41">
        <f>Despiece!G45</f>
        <v>2</v>
      </c>
      <c r="F47" s="45">
        <f>IF($Q$2="NO",ROUND(Despiece!L45,2),Despiece!E45)</f>
        <v>1275</v>
      </c>
      <c r="G47" s="45">
        <f>IF($Q$2="NO",ROUND(Despiece!M45,2),Despiece!F45)</f>
        <v>97</v>
      </c>
      <c r="H47" s="42" t="str">
        <f>IF(Despiece!H45="2","R",IF(Despiece!H45="0.45","F","—"))</f>
        <v>F</v>
      </c>
      <c r="I47" s="42" t="str">
        <f>IF(Despiece!I45="2","R",IF(Despiece!I45="0.45","F","—"))</f>
        <v>F</v>
      </c>
      <c r="J47" s="42" t="str">
        <f>IF(Despiece!J45="2","R",IF(Despiece!J45="0.45","F","—"))</f>
        <v>F</v>
      </c>
      <c r="K47" s="42" t="str">
        <f>IF(Despiece!K45="2","R",IF(Despiece!K45="0.45","F","—"))</f>
        <v>F</v>
      </c>
      <c r="L47" s="42" t="str">
        <f>IF(SUMPRODUCT((Despiece!H45:K45="2")+(Despiece!H45:K45="0.45"))=0,"Sin canto",IF(OR(MIN(Despiece!L45,Despiece!M45)&lt;$Q$3,MAX(Despiece!L45,Despiece!M45)&lt;$Q$4),"Pequeña","Normal"))</f>
        <v>Pequeña</v>
      </c>
      <c r="M47" s="40" t="str">
        <f>Despiece!E45&amp;" × "&amp;Despiece!F45</f>
        <v>1275 × 97</v>
      </c>
      <c r="N47" s="43" t="str">
        <f>IF(LEN(TRIM(IF($L47="Pequeña","Si no la cantean: cortar a "&amp;ROUND(Despiece!L45,2)&amp;" × "&amp;ROUND(Despiece!M45,2)&amp;" y cantear en el armado.","")&amp;" "&amp;IFERROR(VLOOKUP(Despiece!A45,$S$2:$T$40,2,FALSE),"")))=0,"—",TRIM(IF($L47="Pequeña","Si no la cantean: cortar a "&amp;ROUND(Despiece!L45,2)&amp;" × "&amp;ROUND(Despiece!M45,2)&amp;" y cantear en el armado.","")&amp;" "&amp;IFERROR(VLOOKUP(Despiece!A45,$S$2:$T$40,2,FALSE),"")))</f>
        <v>Si no la cantean: cortar a 1274,1 × 96,1 y cantear en el armado.</v>
      </c>
    </row>
    <row r="48" spans="1:14" x14ac:dyDescent="0.3">
      <c r="A48" s="40" t="str">
        <f>Despiece!A46</f>
        <v>P039</v>
      </c>
      <c r="B48" s="40" t="str">
        <f>Despiece!B46</f>
        <v>S1 Alacena 19,5</v>
      </c>
      <c r="C48" s="40" t="str">
        <f>Despiece!C46</f>
        <v>Lateral</v>
      </c>
      <c r="D48" s="40" t="str">
        <f>Despiece!D46</f>
        <v>Melamina Cartagena RH 15</v>
      </c>
      <c r="E48" s="41">
        <f>Despiece!G46</f>
        <v>2</v>
      </c>
      <c r="F48" s="45">
        <f>IF($Q$2="NO",ROUND(Despiece!L46,2),Despiece!E46)</f>
        <v>700</v>
      </c>
      <c r="G48" s="45">
        <f>IF($Q$2="NO",ROUND(Despiece!M46,2),Despiece!F46)</f>
        <v>320</v>
      </c>
      <c r="H48" s="42" t="str">
        <f>IF(Despiece!H46="2","R",IF(Despiece!H46="0.45","F","—"))</f>
        <v>R</v>
      </c>
      <c r="I48" s="42" t="str">
        <f>IF(Despiece!I46="2","R",IF(Despiece!I46="0.45","F","—"))</f>
        <v>—</v>
      </c>
      <c r="J48" s="42" t="str">
        <f>IF(Despiece!J46="2","R",IF(Despiece!J46="0.45","F","—"))</f>
        <v>R</v>
      </c>
      <c r="K48" s="42" t="str">
        <f>IF(Despiece!K46="2","R",IF(Despiece!K46="0.45","F","—"))</f>
        <v>F</v>
      </c>
      <c r="L48" s="42" t="str">
        <f>IF(SUMPRODUCT((Despiece!H46:K46="2")+(Despiece!H46:K46="0.45"))=0,"Sin canto",IF(OR(MIN(Despiece!L46,Despiece!M46)&lt;$Q$3,MAX(Despiece!L46,Despiece!M46)&lt;$Q$4),"Pequeña","Normal"))</f>
        <v>Normal</v>
      </c>
      <c r="M48" s="40" t="str">
        <f>Despiece!E46&amp;" × "&amp;Despiece!F46</f>
        <v>700 × 320</v>
      </c>
      <c r="N48" s="43" t="str">
        <f>IF(LEN(TRIM(IF($L48="Pequeña","Si no la cantean: cortar a "&amp;ROUND(Despiece!L46,2)&amp;" × "&amp;ROUND(Despiece!M46,2)&amp;" y cantear en el armado.","")&amp;" "&amp;IFERROR(VLOOKUP(Despiece!A46,$S$2:$T$40,2,FALSE),"")))=0,"—",TRIM(IF($L48="Pequeña","Si no la cantean: cortar a "&amp;ROUND(Despiece!L46,2)&amp;" × "&amp;ROUND(Despiece!M46,2)&amp;" y cantear en el armado.","")&amp;" "&amp;IFERROR(VLOOKUP(Despiece!A46,$S$2:$T$40,2,FALSE),"")))</f>
        <v>—</v>
      </c>
    </row>
    <row r="49" spans="1:14" x14ac:dyDescent="0.3">
      <c r="A49" s="40" t="str">
        <f>Despiece!A47</f>
        <v>P040</v>
      </c>
      <c r="B49" s="40" t="str">
        <f>Despiece!B47</f>
        <v>S1 Alacena 19,5</v>
      </c>
      <c r="C49" s="40" t="str">
        <f>Despiece!C47</f>
        <v>Techo</v>
      </c>
      <c r="D49" s="40" t="str">
        <f>Despiece!D47</f>
        <v>Melamina Cartagena RH 15</v>
      </c>
      <c r="E49" s="41">
        <f>Despiece!G47</f>
        <v>1</v>
      </c>
      <c r="F49" s="45">
        <f>IF($Q$2="NO",ROUND(Despiece!L47,2),Despiece!E47)</f>
        <v>165</v>
      </c>
      <c r="G49" s="45">
        <f>IF($Q$2="NO",ROUND(Despiece!M47,2),Despiece!F47)</f>
        <v>320</v>
      </c>
      <c r="H49" s="42" t="str">
        <f>IF(Despiece!H47="2","R",IF(Despiece!H47="0.45","F","—"))</f>
        <v>R</v>
      </c>
      <c r="I49" s="42" t="str">
        <f>IF(Despiece!I47="2","R",IF(Despiece!I47="0.45","F","—"))</f>
        <v>—</v>
      </c>
      <c r="J49" s="42" t="str">
        <f>IF(Despiece!J47="2","R",IF(Despiece!J47="0.45","F","—"))</f>
        <v>—</v>
      </c>
      <c r="K49" s="42" t="str">
        <f>IF(Despiece!K47="2","R",IF(Despiece!K47="0.45","F","—"))</f>
        <v>—</v>
      </c>
      <c r="L49" s="42" t="str">
        <f>IF(SUMPRODUCT((Despiece!H47:K47="2")+(Despiece!H47:K47="0.45"))=0,"Sin canto",IF(OR(MIN(Despiece!L47,Despiece!M47)&lt;$Q$3,MAX(Despiece!L47,Despiece!M47)&lt;$Q$4),"Pequeña","Normal"))</f>
        <v>Normal</v>
      </c>
      <c r="M49" s="40" t="str">
        <f>Despiece!E47&amp;" × "&amp;Despiece!F47</f>
        <v>165 × 320</v>
      </c>
      <c r="N49" s="43" t="str">
        <f>IF(LEN(TRIM(IF($L49="Pequeña","Si no la cantean: cortar a "&amp;ROUND(Despiece!L47,2)&amp;" × "&amp;ROUND(Despiece!M47,2)&amp;" y cantear en el armado.","")&amp;" "&amp;IFERROR(VLOOKUP(Despiece!A47,$S$2:$T$40,2,FALSE),"")))=0,"—",TRIM(IF($L49="Pequeña","Si no la cantean: cortar a "&amp;ROUND(Despiece!L47,2)&amp;" × "&amp;ROUND(Despiece!M47,2)&amp;" y cantear en el armado.","")&amp;" "&amp;IFERROR(VLOOKUP(Despiece!A47,$S$2:$T$40,2,FALSE),"")))</f>
        <v>—</v>
      </c>
    </row>
    <row r="50" spans="1:14" x14ac:dyDescent="0.3">
      <c r="A50" s="40" t="str">
        <f>Despiece!A48</f>
        <v>P041</v>
      </c>
      <c r="B50" s="40" t="str">
        <f>Despiece!B48</f>
        <v>S1 Alacena 19,5</v>
      </c>
      <c r="C50" s="40" t="str">
        <f>Despiece!C48</f>
        <v>Piso</v>
      </c>
      <c r="D50" s="40" t="str">
        <f>Despiece!D48</f>
        <v>Melamina Cartagena RH 15</v>
      </c>
      <c r="E50" s="41">
        <f>Despiece!G48</f>
        <v>1</v>
      </c>
      <c r="F50" s="45">
        <f>IF($Q$2="NO",ROUND(Despiece!L48,2),Despiece!E48)</f>
        <v>165</v>
      </c>
      <c r="G50" s="45">
        <f>IF($Q$2="NO",ROUND(Despiece!M48,2),Despiece!F48)</f>
        <v>320</v>
      </c>
      <c r="H50" s="42" t="str">
        <f>IF(Despiece!H48="2","R",IF(Despiece!H48="0.45","F","—"))</f>
        <v>R</v>
      </c>
      <c r="I50" s="42" t="str">
        <f>IF(Despiece!I48="2","R",IF(Despiece!I48="0.45","F","—"))</f>
        <v>—</v>
      </c>
      <c r="J50" s="42" t="str">
        <f>IF(Despiece!J48="2","R",IF(Despiece!J48="0.45","F","—"))</f>
        <v>—</v>
      </c>
      <c r="K50" s="42" t="str">
        <f>IF(Despiece!K48="2","R",IF(Despiece!K48="0.45","F","—"))</f>
        <v>—</v>
      </c>
      <c r="L50" s="42" t="str">
        <f>IF(SUMPRODUCT((Despiece!H48:K48="2")+(Despiece!H48:K48="0.45"))=0,"Sin canto",IF(OR(MIN(Despiece!L48,Despiece!M48)&lt;$Q$3,MAX(Despiece!L48,Despiece!M48)&lt;$Q$4),"Pequeña","Normal"))</f>
        <v>Normal</v>
      </c>
      <c r="M50" s="40" t="str">
        <f>Despiece!E48&amp;" × "&amp;Despiece!F48</f>
        <v>165 × 320</v>
      </c>
      <c r="N50" s="43" t="str">
        <f>IF(LEN(TRIM(IF($L50="Pequeña","Si no la cantean: cortar a "&amp;ROUND(Despiece!L48,2)&amp;" × "&amp;ROUND(Despiece!M48,2)&amp;" y cantear en el armado.","")&amp;" "&amp;IFERROR(VLOOKUP(Despiece!A48,$S$2:$T$40,2,FALSE),"")))=0,"—",TRIM(IF($L50="Pequeña","Si no la cantean: cortar a "&amp;ROUND(Despiece!L48,2)&amp;" × "&amp;ROUND(Despiece!M48,2)&amp;" y cantear en el armado.","")&amp;" "&amp;IFERROR(VLOOKUP(Despiece!A48,$S$2:$T$40,2,FALSE),"")))</f>
        <v>—</v>
      </c>
    </row>
    <row r="51" spans="1:14" x14ac:dyDescent="0.3">
      <c r="A51" s="40" t="str">
        <f>Despiece!A49</f>
        <v>P042</v>
      </c>
      <c r="B51" s="40" t="str">
        <f>Despiece!B49</f>
        <v>S1 Alacena 19,5</v>
      </c>
      <c r="C51" s="40" t="str">
        <f>Despiece!C49</f>
        <v>Fondo</v>
      </c>
      <c r="D51" s="40" t="str">
        <f>Despiece!D49</f>
        <v>Fondo melamina 6</v>
      </c>
      <c r="E51" s="41">
        <f>Despiece!G49</f>
        <v>1</v>
      </c>
      <c r="F51" s="45">
        <f>IF($Q$2="NO",ROUND(Despiece!L49,2),Despiece!E49)</f>
        <v>191</v>
      </c>
      <c r="G51" s="45">
        <f>IF($Q$2="NO",ROUND(Despiece!M49,2),Despiece!F49)</f>
        <v>696</v>
      </c>
      <c r="H51" s="42" t="str">
        <f>IF(Despiece!H49="2","R",IF(Despiece!H49="0.45","F","—"))</f>
        <v>—</v>
      </c>
      <c r="I51" s="42" t="str">
        <f>IF(Despiece!I49="2","R",IF(Despiece!I49="0.45","F","—"))</f>
        <v>—</v>
      </c>
      <c r="J51" s="42" t="str">
        <f>IF(Despiece!J49="2","R",IF(Despiece!J49="0.45","F","—"))</f>
        <v>—</v>
      </c>
      <c r="K51" s="42" t="str">
        <f>IF(Despiece!K49="2","R",IF(Despiece!K49="0.45","F","—"))</f>
        <v>—</v>
      </c>
      <c r="L51" s="42" t="str">
        <f>IF(SUMPRODUCT((Despiece!H49:K49="2")+(Despiece!H49:K49="0.45"))=0,"Sin canto",IF(OR(MIN(Despiece!L49,Despiece!M49)&lt;$Q$3,MAX(Despiece!L49,Despiece!M49)&lt;$Q$4),"Pequeña","Normal"))</f>
        <v>Sin canto</v>
      </c>
      <c r="M51" s="40" t="str">
        <f>Despiece!E49&amp;" × "&amp;Despiece!F49</f>
        <v>191 × 696</v>
      </c>
      <c r="N51" s="43" t="str">
        <f>IF(LEN(TRIM(IF($L51="Pequeña","Si no la cantean: cortar a "&amp;ROUND(Despiece!L49,2)&amp;" × "&amp;ROUND(Despiece!M49,2)&amp;" y cantear en el armado.","")&amp;" "&amp;IFERROR(VLOOKUP(Despiece!A49,$S$2:$T$40,2,FALSE),"")))=0,"—",TRIM(IF($L51="Pequeña","Si no la cantean: cortar a "&amp;ROUND(Despiece!L49,2)&amp;" × "&amp;ROUND(Despiece!M49,2)&amp;" y cantear en el armado.","")&amp;" "&amp;IFERROR(VLOOKUP(Despiece!A49,$S$2:$T$40,2,FALSE),"")))</f>
        <v>—</v>
      </c>
    </row>
    <row r="52" spans="1:14" x14ac:dyDescent="0.3">
      <c r="A52" s="40" t="str">
        <f>Despiece!A50</f>
        <v>P043</v>
      </c>
      <c r="B52" s="40" t="str">
        <f>Despiece!B50</f>
        <v>S1 Alacena 19,5</v>
      </c>
      <c r="C52" s="40" t="str">
        <f>Despiece!C50</f>
        <v>Entrepaño regulable</v>
      </c>
      <c r="D52" s="40" t="str">
        <f>Despiece!D50</f>
        <v>Melamina Cartagena RH 15</v>
      </c>
      <c r="E52" s="41">
        <f>Despiece!G50</f>
        <v>1</v>
      </c>
      <c r="F52" s="45">
        <f>IF($Q$2="NO",ROUND(Despiece!L50,2),Despiece!E50)</f>
        <v>163</v>
      </c>
      <c r="G52" s="45">
        <f>IF($Q$2="NO",ROUND(Despiece!M50,2),Despiece!F50)</f>
        <v>300</v>
      </c>
      <c r="H52" s="42" t="str">
        <f>IF(Despiece!H50="2","R",IF(Despiece!H50="0.45","F","—"))</f>
        <v>R</v>
      </c>
      <c r="I52" s="42" t="str">
        <f>IF(Despiece!I50="2","R",IF(Despiece!I50="0.45","F","—"))</f>
        <v>—</v>
      </c>
      <c r="J52" s="42" t="str">
        <f>IF(Despiece!J50="2","R",IF(Despiece!J50="0.45","F","—"))</f>
        <v>—</v>
      </c>
      <c r="K52" s="42" t="str">
        <f>IF(Despiece!K50="2","R",IF(Despiece!K50="0.45","F","—"))</f>
        <v>—</v>
      </c>
      <c r="L52" s="42" t="str">
        <f>IF(SUMPRODUCT((Despiece!H50:K50="2")+(Despiece!H50:K50="0.45"))=0,"Sin canto",IF(OR(MIN(Despiece!L50,Despiece!M50)&lt;$Q$3,MAX(Despiece!L50,Despiece!M50)&lt;$Q$4),"Pequeña","Normal"))</f>
        <v>Normal</v>
      </c>
      <c r="M52" s="40" t="str">
        <f>Despiece!E50&amp;" × "&amp;Despiece!F50</f>
        <v>163 × 300</v>
      </c>
      <c r="N52" s="43" t="str">
        <f>IF(LEN(TRIM(IF($L52="Pequeña","Si no la cantean: cortar a "&amp;ROUND(Despiece!L50,2)&amp;" × "&amp;ROUND(Despiece!M50,2)&amp;" y cantear en el armado.","")&amp;" "&amp;IFERROR(VLOOKUP(Despiece!A50,$S$2:$T$40,2,FALSE),"")))=0,"—",TRIM(IF($L52="Pequeña","Si no la cantean: cortar a "&amp;ROUND(Despiece!L50,2)&amp;" × "&amp;ROUND(Despiece!M50,2)&amp;" y cantear en el armado.","")&amp;" "&amp;IFERROR(VLOOKUP(Despiece!A50,$S$2:$T$40,2,FALSE),"")))</f>
        <v>—</v>
      </c>
    </row>
    <row r="53" spans="1:14" x14ac:dyDescent="0.3">
      <c r="A53" s="40" t="str">
        <f>Despiece!A51</f>
        <v>P044</v>
      </c>
      <c r="B53" s="40" t="str">
        <f>Despiece!B51</f>
        <v>S1 Alacena 19,5</v>
      </c>
      <c r="C53" s="40" t="str">
        <f>Despiece!C51</f>
        <v>Puerta</v>
      </c>
      <c r="D53" s="40" t="str">
        <f>Despiece!D51</f>
        <v>Melamina Cartagena RH 15</v>
      </c>
      <c r="E53" s="41">
        <f>Despiece!G51</f>
        <v>1</v>
      </c>
      <c r="F53" s="45">
        <f>IF($Q$2="NO",ROUND(Despiece!L51,2),Despiece!E51)</f>
        <v>717</v>
      </c>
      <c r="G53" s="45">
        <f>IF($Q$2="NO",ROUND(Despiece!M51,2),Despiece!F51)</f>
        <v>192</v>
      </c>
      <c r="H53" s="42" t="str">
        <f>IF(Despiece!H51="2","R",IF(Despiece!H51="0.45","F","—"))</f>
        <v>R</v>
      </c>
      <c r="I53" s="42" t="str">
        <f>IF(Despiece!I51="2","R",IF(Despiece!I51="0.45","F","—"))</f>
        <v>R</v>
      </c>
      <c r="J53" s="42" t="str">
        <f>IF(Despiece!J51="2","R",IF(Despiece!J51="0.45","F","—"))</f>
        <v>R</v>
      </c>
      <c r="K53" s="42" t="str">
        <f>IF(Despiece!K51="2","R",IF(Despiece!K51="0.45","F","—"))</f>
        <v>R</v>
      </c>
      <c r="L53" s="42" t="str">
        <f>IF(SUMPRODUCT((Despiece!H51:K51="2")+(Despiece!H51:K51="0.45"))=0,"Sin canto",IF(OR(MIN(Despiece!L51,Despiece!M51)&lt;$Q$3,MAX(Despiece!L51,Despiece!M51)&lt;$Q$4),"Pequeña","Normal"))</f>
        <v>Normal</v>
      </c>
      <c r="M53" s="40" t="str">
        <f>Despiece!E51&amp;" × "&amp;Despiece!F51</f>
        <v>717 × 192</v>
      </c>
      <c r="N53" s="43" t="str">
        <f>IF(LEN(TRIM(IF($L53="Pequeña","Si no la cantean: cortar a "&amp;ROUND(Despiece!L51,2)&amp;" × "&amp;ROUND(Despiece!M51,2)&amp;" y cantear en el armado.","")&amp;" "&amp;IFERROR(VLOOKUP(Despiece!A51,$S$2:$T$40,2,FALSE),"")))=0,"—",TRIM(IF($L53="Pequeña","Si no la cantean: cortar a "&amp;ROUND(Despiece!L51,2)&amp;" × "&amp;ROUND(Despiece!M51,2)&amp;" y cantear en el armado.","")&amp;" "&amp;IFERROR(VLOOKUP(Despiece!A51,$S$2:$T$40,2,FALSE),"")))</f>
        <v>—</v>
      </c>
    </row>
    <row r="54" spans="1:14" x14ac:dyDescent="0.3">
      <c r="A54" s="40" t="str">
        <f>Despiece!A52</f>
        <v>P045</v>
      </c>
      <c r="B54" s="40" t="str">
        <f>Despiece!B52</f>
        <v>S2 Gabinete ducto 60</v>
      </c>
      <c r="C54" s="40" t="str">
        <f>Despiece!C52</f>
        <v>Lateral</v>
      </c>
      <c r="D54" s="40" t="str">
        <f>Despiece!D52</f>
        <v>Melamina Cartagena RH 15</v>
      </c>
      <c r="E54" s="41">
        <f>Despiece!G52</f>
        <v>2</v>
      </c>
      <c r="F54" s="45">
        <f>IF($Q$2="NO",ROUND(Despiece!L52,2),Despiece!E52)</f>
        <v>350</v>
      </c>
      <c r="G54" s="45">
        <f>IF($Q$2="NO",ROUND(Despiece!M52,2),Despiece!F52)</f>
        <v>320</v>
      </c>
      <c r="H54" s="42" t="str">
        <f>IF(Despiece!H52="2","R",IF(Despiece!H52="0.45","F","—"))</f>
        <v>R</v>
      </c>
      <c r="I54" s="42" t="str">
        <f>IF(Despiece!I52="2","R",IF(Despiece!I52="0.45","F","—"))</f>
        <v>—</v>
      </c>
      <c r="J54" s="42" t="str">
        <f>IF(Despiece!J52="2","R",IF(Despiece!J52="0.45","F","—"))</f>
        <v>R</v>
      </c>
      <c r="K54" s="42" t="str">
        <f>IF(Despiece!K52="2","R",IF(Despiece!K52="0.45","F","—"))</f>
        <v>F</v>
      </c>
      <c r="L54" s="42" t="str">
        <f>IF(SUMPRODUCT((Despiece!H52:K52="2")+(Despiece!H52:K52="0.45"))=0,"Sin canto",IF(OR(MIN(Despiece!L52,Despiece!M52)&lt;$Q$3,MAX(Despiece!L52,Despiece!M52)&lt;$Q$4),"Pequeña","Normal"))</f>
        <v>Normal</v>
      </c>
      <c r="M54" s="40" t="str">
        <f>Despiece!E52&amp;" × "&amp;Despiece!F52</f>
        <v>350 × 320</v>
      </c>
      <c r="N54" s="43" t="str">
        <f>IF(LEN(TRIM(IF($L54="Pequeña","Si no la cantean: cortar a "&amp;ROUND(Despiece!L52,2)&amp;" × "&amp;ROUND(Despiece!M52,2)&amp;" y cantear en el armado.","")&amp;" "&amp;IFERROR(VLOOKUP(Despiece!A52,$S$2:$T$40,2,FALSE),"")))=0,"—",TRIM(IF($L54="Pequeña","Si no la cantean: cortar a "&amp;ROUND(Despiece!L52,2)&amp;" × "&amp;ROUND(Despiece!M52,2)&amp;" y cantear en el armado.","")&amp;" "&amp;IFERROR(VLOOKUP(Despiece!A52,$S$2:$T$40,2,FALSE),"")))</f>
        <v>—</v>
      </c>
    </row>
    <row r="55" spans="1:14" ht="28.8" x14ac:dyDescent="0.3">
      <c r="A55" s="40" t="str">
        <f>Despiece!A53</f>
        <v>P046</v>
      </c>
      <c r="B55" s="40" t="str">
        <f>Despiece!B53</f>
        <v>S2 Gabinete ducto 60</v>
      </c>
      <c r="C55" s="40" t="str">
        <f>Despiece!C53</f>
        <v>Techo (perforar solo si el ducto sale hacia arriba; definir con manual)</v>
      </c>
      <c r="D55" s="40" t="str">
        <f>Despiece!D53</f>
        <v>Melamina Cartagena RH 15</v>
      </c>
      <c r="E55" s="41">
        <f>Despiece!G53</f>
        <v>1</v>
      </c>
      <c r="F55" s="45">
        <f>IF($Q$2="NO",ROUND(Despiece!L53,2),Despiece!E53)</f>
        <v>570</v>
      </c>
      <c r="G55" s="45">
        <f>IF($Q$2="NO",ROUND(Despiece!M53,2),Despiece!F53)</f>
        <v>320</v>
      </c>
      <c r="H55" s="42" t="str">
        <f>IF(Despiece!H53="2","R",IF(Despiece!H53="0.45","F","—"))</f>
        <v>R</v>
      </c>
      <c r="I55" s="42" t="str">
        <f>IF(Despiece!I53="2","R",IF(Despiece!I53="0.45","F","—"))</f>
        <v>—</v>
      </c>
      <c r="J55" s="42" t="str">
        <f>IF(Despiece!J53="2","R",IF(Despiece!J53="0.45","F","—"))</f>
        <v>—</v>
      </c>
      <c r="K55" s="42" t="str">
        <f>IF(Despiece!K53="2","R",IF(Despiece!K53="0.45","F","—"))</f>
        <v>—</v>
      </c>
      <c r="L55" s="42" t="str">
        <f>IF(SUMPRODUCT((Despiece!H53:K53="2")+(Despiece!H53:K53="0.45"))=0,"Sin canto",IF(OR(MIN(Despiece!L53,Despiece!M53)&lt;$Q$3,MAX(Despiece!L53,Despiece!M53)&lt;$Q$4),"Pequeña","Normal"))</f>
        <v>Normal</v>
      </c>
      <c r="M55" s="40" t="str">
        <f>Despiece!E53&amp;" × "&amp;Despiece!F53</f>
        <v>570 × 320</v>
      </c>
      <c r="N55" s="43" t="str">
        <f>IF(LEN(TRIM(IF($L55="Pequeña","Si no la cantean: cortar a "&amp;ROUND(Despiece!L53,2)&amp;" × "&amp;ROUND(Despiece!M53,2)&amp;" y cantear en el armado.","")&amp;" "&amp;IFERROR(VLOOKUP(Despiece!A53,$S$2:$T$40,2,FALSE),"")))=0,"—",TRIM(IF($L55="Pequeña","Si no la cantean: cortar a "&amp;ROUND(Despiece!L53,2)&amp;" × "&amp;ROUND(Despiece!M53,2)&amp;" y cantear en el armado.","")&amp;" "&amp;IFERROR(VLOOKUP(Despiece!A53,$S$2:$T$40,2,FALSE),"")))</f>
        <v>Perforación del ducto en obra, según manual de la campana.</v>
      </c>
    </row>
    <row r="56" spans="1:14" ht="28.8" x14ac:dyDescent="0.3">
      <c r="A56" s="40" t="str">
        <f>Despiece!A54</f>
        <v>P047</v>
      </c>
      <c r="B56" s="40" t="str">
        <f>Despiece!B54</f>
        <v>S2 Gabinete ducto 60</v>
      </c>
      <c r="C56" s="40" t="str">
        <f>Despiece!C54</f>
        <v>Piso elevado 40 mm para agarre inferior; perforar para ducto (diámetro y posición según manual de campana)</v>
      </c>
      <c r="D56" s="40" t="str">
        <f>Despiece!D54</f>
        <v>Melamina Cartagena RH 15</v>
      </c>
      <c r="E56" s="41">
        <f>Despiece!G54</f>
        <v>1</v>
      </c>
      <c r="F56" s="45">
        <f>IF($Q$2="NO",ROUND(Despiece!L54,2),Despiece!E54)</f>
        <v>570</v>
      </c>
      <c r="G56" s="45">
        <f>IF($Q$2="NO",ROUND(Despiece!M54,2),Despiece!F54)</f>
        <v>320</v>
      </c>
      <c r="H56" s="42" t="str">
        <f>IF(Despiece!H54="2","R",IF(Despiece!H54="0.45","F","—"))</f>
        <v>R</v>
      </c>
      <c r="I56" s="42" t="str">
        <f>IF(Despiece!I54="2","R",IF(Despiece!I54="0.45","F","—"))</f>
        <v>—</v>
      </c>
      <c r="J56" s="42" t="str">
        <f>IF(Despiece!J54="2","R",IF(Despiece!J54="0.45","F","—"))</f>
        <v>—</v>
      </c>
      <c r="K56" s="42" t="str">
        <f>IF(Despiece!K54="2","R",IF(Despiece!K54="0.45","F","—"))</f>
        <v>—</v>
      </c>
      <c r="L56" s="42" t="str">
        <f>IF(SUMPRODUCT((Despiece!H54:K54="2")+(Despiece!H54:K54="0.45"))=0,"Sin canto",IF(OR(MIN(Despiece!L54,Despiece!M54)&lt;$Q$3,MAX(Despiece!L54,Despiece!M54)&lt;$Q$4),"Pequeña","Normal"))</f>
        <v>Normal</v>
      </c>
      <c r="M56" s="40" t="str">
        <f>Despiece!E54&amp;" × "&amp;Despiece!F54</f>
        <v>570 × 320</v>
      </c>
      <c r="N56" s="43" t="str">
        <f>IF(LEN(TRIM(IF($L56="Pequeña","Si no la cantean: cortar a "&amp;ROUND(Despiece!L54,2)&amp;" × "&amp;ROUND(Despiece!M54,2)&amp;" y cantear en el armado.","")&amp;" "&amp;IFERROR(VLOOKUP(Despiece!A54,$S$2:$T$40,2,FALSE),"")))=0,"—",TRIM(IF($L56="Pequeña","Si no la cantean: cortar a "&amp;ROUND(Despiece!L54,2)&amp;" × "&amp;ROUND(Despiece!M54,2)&amp;" y cantear en el armado.","")&amp;" "&amp;IFERROR(VLOOKUP(Despiece!A54,$S$2:$T$40,2,FALSE),"")))</f>
        <v>Perforación del ducto en obra, según manual de la campana.</v>
      </c>
    </row>
    <row r="57" spans="1:14" x14ac:dyDescent="0.3">
      <c r="A57" s="40" t="str">
        <f>Despiece!A55</f>
        <v>P048</v>
      </c>
      <c r="B57" s="40" t="str">
        <f>Despiece!B55</f>
        <v>S2 Gabinete ducto 60</v>
      </c>
      <c r="C57" s="40" t="str">
        <f>Despiece!C55</f>
        <v>Fondo</v>
      </c>
      <c r="D57" s="40" t="str">
        <f>Despiece!D55</f>
        <v>Fondo melamina 6</v>
      </c>
      <c r="E57" s="41">
        <f>Despiece!G55</f>
        <v>1</v>
      </c>
      <c r="F57" s="45">
        <f>IF($Q$2="NO",ROUND(Despiece!L55,2),Despiece!E55)</f>
        <v>596</v>
      </c>
      <c r="G57" s="45">
        <f>IF($Q$2="NO",ROUND(Despiece!M55,2),Despiece!F55)</f>
        <v>346</v>
      </c>
      <c r="H57" s="42" t="str">
        <f>IF(Despiece!H55="2","R",IF(Despiece!H55="0.45","F","—"))</f>
        <v>—</v>
      </c>
      <c r="I57" s="42" t="str">
        <f>IF(Despiece!I55="2","R",IF(Despiece!I55="0.45","F","—"))</f>
        <v>—</v>
      </c>
      <c r="J57" s="42" t="str">
        <f>IF(Despiece!J55="2","R",IF(Despiece!J55="0.45","F","—"))</f>
        <v>—</v>
      </c>
      <c r="K57" s="42" t="str">
        <f>IF(Despiece!K55="2","R",IF(Despiece!K55="0.45","F","—"))</f>
        <v>—</v>
      </c>
      <c r="L57" s="42" t="str">
        <f>IF(SUMPRODUCT((Despiece!H55:K55="2")+(Despiece!H55:K55="0.45"))=0,"Sin canto",IF(OR(MIN(Despiece!L55,Despiece!M55)&lt;$Q$3,MAX(Despiece!L55,Despiece!M55)&lt;$Q$4),"Pequeña","Normal"))</f>
        <v>Sin canto</v>
      </c>
      <c r="M57" s="40" t="str">
        <f>Despiece!E55&amp;" × "&amp;Despiece!F55</f>
        <v>596 × 346</v>
      </c>
      <c r="N57" s="43" t="str">
        <f>IF(LEN(TRIM(IF($L57="Pequeña","Si no la cantean: cortar a "&amp;ROUND(Despiece!L55,2)&amp;" × "&amp;ROUND(Despiece!M55,2)&amp;" y cantear en el armado.","")&amp;" "&amp;IFERROR(VLOOKUP(Despiece!A55,$S$2:$T$40,2,FALSE),"")))=0,"—",TRIM(IF($L57="Pequeña","Si no la cantean: cortar a "&amp;ROUND(Despiece!L55,2)&amp;" × "&amp;ROUND(Despiece!M55,2)&amp;" y cantear en el armado.","")&amp;" "&amp;IFERROR(VLOOKUP(Despiece!A55,$S$2:$T$40,2,FALSE),"")))</f>
        <v>—</v>
      </c>
    </row>
    <row r="58" spans="1:14" x14ac:dyDescent="0.3">
      <c r="A58" s="40" t="str">
        <f>Despiece!A56</f>
        <v>P049</v>
      </c>
      <c r="B58" s="40" t="str">
        <f>Despiece!B56</f>
        <v>S2 Gabinete ducto 60</v>
      </c>
      <c r="C58" s="40" t="str">
        <f>Despiece!C56</f>
        <v>Puerta abatible superior</v>
      </c>
      <c r="D58" s="40" t="str">
        <f>Despiece!D56</f>
        <v>Melamina Cartagena RH 15</v>
      </c>
      <c r="E58" s="41">
        <f>Despiece!G56</f>
        <v>1</v>
      </c>
      <c r="F58" s="45">
        <f>IF($Q$2="NO",ROUND(Despiece!L56,2),Despiece!E56)</f>
        <v>347</v>
      </c>
      <c r="G58" s="45">
        <f>IF($Q$2="NO",ROUND(Despiece!M56,2),Despiece!F56)</f>
        <v>597</v>
      </c>
      <c r="H58" s="42" t="str">
        <f>IF(Despiece!H56="2","R",IF(Despiece!H56="0.45","F","—"))</f>
        <v>R</v>
      </c>
      <c r="I58" s="42" t="str">
        <f>IF(Despiece!I56="2","R",IF(Despiece!I56="0.45","F","—"))</f>
        <v>R</v>
      </c>
      <c r="J58" s="42" t="str">
        <f>IF(Despiece!J56="2","R",IF(Despiece!J56="0.45","F","—"))</f>
        <v>R</v>
      </c>
      <c r="K58" s="42" t="str">
        <f>IF(Despiece!K56="2","R",IF(Despiece!K56="0.45","F","—"))</f>
        <v>R</v>
      </c>
      <c r="L58" s="42" t="str">
        <f>IF(SUMPRODUCT((Despiece!H56:K56="2")+(Despiece!H56:K56="0.45"))=0,"Sin canto",IF(OR(MIN(Despiece!L56,Despiece!M56)&lt;$Q$3,MAX(Despiece!L56,Despiece!M56)&lt;$Q$4),"Pequeña","Normal"))</f>
        <v>Normal</v>
      </c>
      <c r="M58" s="40" t="str">
        <f>Despiece!E56&amp;" × "&amp;Despiece!F56</f>
        <v>347 × 597</v>
      </c>
      <c r="N58" s="43" t="str">
        <f>IF(LEN(TRIM(IF($L58="Pequeña","Si no la cantean: cortar a "&amp;ROUND(Despiece!L56,2)&amp;" × "&amp;ROUND(Despiece!M56,2)&amp;" y cantear en el armado.","")&amp;" "&amp;IFERROR(VLOOKUP(Despiece!A56,$S$2:$T$40,2,FALSE),"")))=0,"—",TRIM(IF($L58="Pequeña","Si no la cantean: cortar a "&amp;ROUND(Despiece!L56,2)&amp;" × "&amp;ROUND(Despiece!M56,2)&amp;" y cantear en el armado.","")&amp;" "&amp;IFERROR(VLOOKUP(Despiece!A56,$S$2:$T$40,2,FALSE),"")))</f>
        <v>—</v>
      </c>
    </row>
    <row r="59" spans="1:14" ht="57.6" x14ac:dyDescent="0.3">
      <c r="A59" s="40" t="str">
        <f>Despiece!A57</f>
        <v>P071</v>
      </c>
      <c r="B59" s="40" t="str">
        <f>Despiece!B57</f>
        <v>S2 Gabinete ducto 60</v>
      </c>
      <c r="C59" s="40" t="str">
        <f>Despiece!C57</f>
        <v>Faja retranqueada de agarre sobre campana</v>
      </c>
      <c r="D59" s="40" t="str">
        <f>Despiece!D57</f>
        <v>Melamina Cartagena RH 15</v>
      </c>
      <c r="E59" s="41">
        <f>Despiece!G57</f>
        <v>1</v>
      </c>
      <c r="F59" s="45">
        <f>IF($Q$2="NO",ROUND(Despiece!L57,2),Despiece!E57)</f>
        <v>570</v>
      </c>
      <c r="G59" s="45">
        <f>IF($Q$2="NO",ROUND(Despiece!M57,2),Despiece!F57)</f>
        <v>60</v>
      </c>
      <c r="H59" s="42" t="str">
        <f>IF(Despiece!H57="2","R",IF(Despiece!H57="0.45","F","—"))</f>
        <v>R</v>
      </c>
      <c r="I59" s="42" t="str">
        <f>IF(Despiece!I57="2","R",IF(Despiece!I57="0.45","F","—"))</f>
        <v>F</v>
      </c>
      <c r="J59" s="42" t="str">
        <f>IF(Despiece!J57="2","R",IF(Despiece!J57="0.45","F","—"))</f>
        <v>F</v>
      </c>
      <c r="K59" s="42" t="str">
        <f>IF(Despiece!K57="2","R",IF(Despiece!K57="0.45","F","—"))</f>
        <v>F</v>
      </c>
      <c r="L59" s="42" t="str">
        <f>IF(SUMPRODUCT((Despiece!H57:K57="2")+(Despiece!H57:K57="0.45"))=0,"Sin canto",IF(OR(MIN(Despiece!L57,Despiece!M57)&lt;$Q$3,MAX(Despiece!L57,Despiece!M57)&lt;$Q$4),"Pequeña","Normal"))</f>
        <v>Pequeña</v>
      </c>
      <c r="M59" s="40" t="str">
        <f>Despiece!E57&amp;" × "&amp;Despiece!F57</f>
        <v>570 × 60</v>
      </c>
      <c r="N59" s="43" t="str">
        <f>IF(LEN(TRIM(IF($L59="Pequeña","Si no la cantean: cortar a "&amp;ROUND(Despiece!L57,2)&amp;" × "&amp;ROUND(Despiece!M57,2)&amp;" y cantear en el armado.","")&amp;" "&amp;IFERROR(VLOOKUP(Despiece!A57,$S$2:$T$40,2,FALSE),"")))=0,"—",TRIM(IF($L59="Pequeña","Si no la cantean: cortar a "&amp;ROUND(Despiece!L57,2)&amp;" × "&amp;ROUND(Despiece!M57,2)&amp;" y cantear en el armado.","")&amp;" "&amp;IFERROR(VLOOKUP(Despiece!A57,$S$2:$T$40,2,FALSE),"")))</f>
        <v>Si no la cantean: cortar a 569,1 × 57,55 y cantear en el armado. Angosta con canto rígido de 2 mm: preguntar si la canteadora la acepta; si no, canteadora manual en taller.</v>
      </c>
    </row>
    <row r="60" spans="1:14" x14ac:dyDescent="0.3">
      <c r="A60" s="40" t="str">
        <f>Despiece!A58</f>
        <v>P050</v>
      </c>
      <c r="B60" s="40" t="str">
        <f>Despiece!B58</f>
        <v>S3 Alacena 65,5</v>
      </c>
      <c r="C60" s="40" t="str">
        <f>Despiece!C58</f>
        <v>Lateral</v>
      </c>
      <c r="D60" s="40" t="str">
        <f>Despiece!D58</f>
        <v>Melamina Cartagena RH 15</v>
      </c>
      <c r="E60" s="41">
        <f>Despiece!G58</f>
        <v>2</v>
      </c>
      <c r="F60" s="45">
        <f>IF($Q$2="NO",ROUND(Despiece!L58,2),Despiece!E58)</f>
        <v>700</v>
      </c>
      <c r="G60" s="45">
        <f>IF($Q$2="NO",ROUND(Despiece!M58,2),Despiece!F58)</f>
        <v>320</v>
      </c>
      <c r="H60" s="42" t="str">
        <f>IF(Despiece!H58="2","R",IF(Despiece!H58="0.45","F","—"))</f>
        <v>R</v>
      </c>
      <c r="I60" s="42" t="str">
        <f>IF(Despiece!I58="2","R",IF(Despiece!I58="0.45","F","—"))</f>
        <v>—</v>
      </c>
      <c r="J60" s="42" t="str">
        <f>IF(Despiece!J58="2","R",IF(Despiece!J58="0.45","F","—"))</f>
        <v>R</v>
      </c>
      <c r="K60" s="42" t="str">
        <f>IF(Despiece!K58="2","R",IF(Despiece!K58="0.45","F","—"))</f>
        <v>F</v>
      </c>
      <c r="L60" s="42" t="str">
        <f>IF(SUMPRODUCT((Despiece!H58:K58="2")+(Despiece!H58:K58="0.45"))=0,"Sin canto",IF(OR(MIN(Despiece!L58,Despiece!M58)&lt;$Q$3,MAX(Despiece!L58,Despiece!M58)&lt;$Q$4),"Pequeña","Normal"))</f>
        <v>Normal</v>
      </c>
      <c r="M60" s="40" t="str">
        <f>Despiece!E58&amp;" × "&amp;Despiece!F58</f>
        <v>700 × 320</v>
      </c>
      <c r="N60" s="43" t="str">
        <f>IF(LEN(TRIM(IF($L60="Pequeña","Si no la cantean: cortar a "&amp;ROUND(Despiece!L58,2)&amp;" × "&amp;ROUND(Despiece!M58,2)&amp;" y cantear en el armado.","")&amp;" "&amp;IFERROR(VLOOKUP(Despiece!A58,$S$2:$T$40,2,FALSE),"")))=0,"—",TRIM(IF($L60="Pequeña","Si no la cantean: cortar a "&amp;ROUND(Despiece!L58,2)&amp;" × "&amp;ROUND(Despiece!M58,2)&amp;" y cantear en el armado.","")&amp;" "&amp;IFERROR(VLOOKUP(Despiece!A58,$S$2:$T$40,2,FALSE),"")))</f>
        <v>—</v>
      </c>
    </row>
    <row r="61" spans="1:14" x14ac:dyDescent="0.3">
      <c r="A61" s="40" t="str">
        <f>Despiece!A59</f>
        <v>P051</v>
      </c>
      <c r="B61" s="40" t="str">
        <f>Despiece!B59</f>
        <v>S3 Alacena 65,5</v>
      </c>
      <c r="C61" s="40" t="str">
        <f>Despiece!C59</f>
        <v>Techo</v>
      </c>
      <c r="D61" s="40" t="str">
        <f>Despiece!D59</f>
        <v>Melamina Cartagena RH 15</v>
      </c>
      <c r="E61" s="41">
        <f>Despiece!G59</f>
        <v>1</v>
      </c>
      <c r="F61" s="45">
        <f>IF($Q$2="NO",ROUND(Despiece!L59,2),Despiece!E59)</f>
        <v>625</v>
      </c>
      <c r="G61" s="45">
        <f>IF($Q$2="NO",ROUND(Despiece!M59,2),Despiece!F59)</f>
        <v>320</v>
      </c>
      <c r="H61" s="42" t="str">
        <f>IF(Despiece!H59="2","R",IF(Despiece!H59="0.45","F","—"))</f>
        <v>R</v>
      </c>
      <c r="I61" s="42" t="str">
        <f>IF(Despiece!I59="2","R",IF(Despiece!I59="0.45","F","—"))</f>
        <v>—</v>
      </c>
      <c r="J61" s="42" t="str">
        <f>IF(Despiece!J59="2","R",IF(Despiece!J59="0.45","F","—"))</f>
        <v>—</v>
      </c>
      <c r="K61" s="42" t="str">
        <f>IF(Despiece!K59="2","R",IF(Despiece!K59="0.45","F","—"))</f>
        <v>—</v>
      </c>
      <c r="L61" s="42" t="str">
        <f>IF(SUMPRODUCT((Despiece!H59:K59="2")+(Despiece!H59:K59="0.45"))=0,"Sin canto",IF(OR(MIN(Despiece!L59,Despiece!M59)&lt;$Q$3,MAX(Despiece!L59,Despiece!M59)&lt;$Q$4),"Pequeña","Normal"))</f>
        <v>Normal</v>
      </c>
      <c r="M61" s="40" t="str">
        <f>Despiece!E59&amp;" × "&amp;Despiece!F59</f>
        <v>625 × 320</v>
      </c>
      <c r="N61" s="43" t="str">
        <f>IF(LEN(TRIM(IF($L61="Pequeña","Si no la cantean: cortar a "&amp;ROUND(Despiece!L59,2)&amp;" × "&amp;ROUND(Despiece!M59,2)&amp;" y cantear en el armado.","")&amp;" "&amp;IFERROR(VLOOKUP(Despiece!A59,$S$2:$T$40,2,FALSE),"")))=0,"—",TRIM(IF($L61="Pequeña","Si no la cantean: cortar a "&amp;ROUND(Despiece!L59,2)&amp;" × "&amp;ROUND(Despiece!M59,2)&amp;" y cantear en el armado.","")&amp;" "&amp;IFERROR(VLOOKUP(Despiece!A59,$S$2:$T$40,2,FALSE),"")))</f>
        <v>—</v>
      </c>
    </row>
    <row r="62" spans="1:14" x14ac:dyDescent="0.3">
      <c r="A62" s="40" t="str">
        <f>Despiece!A60</f>
        <v>P052</v>
      </c>
      <c r="B62" s="40" t="str">
        <f>Despiece!B60</f>
        <v>S3 Alacena 65,5</v>
      </c>
      <c r="C62" s="40" t="str">
        <f>Despiece!C60</f>
        <v>Piso</v>
      </c>
      <c r="D62" s="40" t="str">
        <f>Despiece!D60</f>
        <v>Melamina Cartagena RH 15</v>
      </c>
      <c r="E62" s="41">
        <f>Despiece!G60</f>
        <v>1</v>
      </c>
      <c r="F62" s="45">
        <f>IF($Q$2="NO",ROUND(Despiece!L60,2),Despiece!E60)</f>
        <v>625</v>
      </c>
      <c r="G62" s="45">
        <f>IF($Q$2="NO",ROUND(Despiece!M60,2),Despiece!F60)</f>
        <v>320</v>
      </c>
      <c r="H62" s="42" t="str">
        <f>IF(Despiece!H60="2","R",IF(Despiece!H60="0.45","F","—"))</f>
        <v>R</v>
      </c>
      <c r="I62" s="42" t="str">
        <f>IF(Despiece!I60="2","R",IF(Despiece!I60="0.45","F","—"))</f>
        <v>—</v>
      </c>
      <c r="J62" s="42" t="str">
        <f>IF(Despiece!J60="2","R",IF(Despiece!J60="0.45","F","—"))</f>
        <v>—</v>
      </c>
      <c r="K62" s="42" t="str">
        <f>IF(Despiece!K60="2","R",IF(Despiece!K60="0.45","F","—"))</f>
        <v>—</v>
      </c>
      <c r="L62" s="42" t="str">
        <f>IF(SUMPRODUCT((Despiece!H60:K60="2")+(Despiece!H60:K60="0.45"))=0,"Sin canto",IF(OR(MIN(Despiece!L60,Despiece!M60)&lt;$Q$3,MAX(Despiece!L60,Despiece!M60)&lt;$Q$4),"Pequeña","Normal"))</f>
        <v>Normal</v>
      </c>
      <c r="M62" s="40" t="str">
        <f>Despiece!E60&amp;" × "&amp;Despiece!F60</f>
        <v>625 × 320</v>
      </c>
      <c r="N62" s="43" t="str">
        <f>IF(LEN(TRIM(IF($L62="Pequeña","Si no la cantean: cortar a "&amp;ROUND(Despiece!L60,2)&amp;" × "&amp;ROUND(Despiece!M60,2)&amp;" y cantear en el armado.","")&amp;" "&amp;IFERROR(VLOOKUP(Despiece!A60,$S$2:$T$40,2,FALSE),"")))=0,"—",TRIM(IF($L62="Pequeña","Si no la cantean: cortar a "&amp;ROUND(Despiece!L60,2)&amp;" × "&amp;ROUND(Despiece!M60,2)&amp;" y cantear en el armado.","")&amp;" "&amp;IFERROR(VLOOKUP(Despiece!A60,$S$2:$T$40,2,FALSE),"")))</f>
        <v>—</v>
      </c>
    </row>
    <row r="63" spans="1:14" x14ac:dyDescent="0.3">
      <c r="A63" s="40" t="str">
        <f>Despiece!A61</f>
        <v>P053</v>
      </c>
      <c r="B63" s="40" t="str">
        <f>Despiece!B61</f>
        <v>S3 Alacena 65,5</v>
      </c>
      <c r="C63" s="40" t="str">
        <f>Despiece!C61</f>
        <v>Fondo</v>
      </c>
      <c r="D63" s="40" t="str">
        <f>Despiece!D61</f>
        <v>Fondo melamina 6</v>
      </c>
      <c r="E63" s="41">
        <f>Despiece!G61</f>
        <v>1</v>
      </c>
      <c r="F63" s="45">
        <f>IF($Q$2="NO",ROUND(Despiece!L61,2),Despiece!E61)</f>
        <v>651</v>
      </c>
      <c r="G63" s="45">
        <f>IF($Q$2="NO",ROUND(Despiece!M61,2),Despiece!F61)</f>
        <v>696</v>
      </c>
      <c r="H63" s="42" t="str">
        <f>IF(Despiece!H61="2","R",IF(Despiece!H61="0.45","F","—"))</f>
        <v>—</v>
      </c>
      <c r="I63" s="42" t="str">
        <f>IF(Despiece!I61="2","R",IF(Despiece!I61="0.45","F","—"))</f>
        <v>—</v>
      </c>
      <c r="J63" s="42" t="str">
        <f>IF(Despiece!J61="2","R",IF(Despiece!J61="0.45","F","—"))</f>
        <v>—</v>
      </c>
      <c r="K63" s="42" t="str">
        <f>IF(Despiece!K61="2","R",IF(Despiece!K61="0.45","F","—"))</f>
        <v>—</v>
      </c>
      <c r="L63" s="42" t="str">
        <f>IF(SUMPRODUCT((Despiece!H61:K61="2")+(Despiece!H61:K61="0.45"))=0,"Sin canto",IF(OR(MIN(Despiece!L61,Despiece!M61)&lt;$Q$3,MAX(Despiece!L61,Despiece!M61)&lt;$Q$4),"Pequeña","Normal"))</f>
        <v>Sin canto</v>
      </c>
      <c r="M63" s="40" t="str">
        <f>Despiece!E61&amp;" × "&amp;Despiece!F61</f>
        <v>651 × 696</v>
      </c>
      <c r="N63" s="43" t="str">
        <f>IF(LEN(TRIM(IF($L63="Pequeña","Si no la cantean: cortar a "&amp;ROUND(Despiece!L61,2)&amp;" × "&amp;ROUND(Despiece!M61,2)&amp;" y cantear en el armado.","")&amp;" "&amp;IFERROR(VLOOKUP(Despiece!A61,$S$2:$T$40,2,FALSE),"")))=0,"—",TRIM(IF($L63="Pequeña","Si no la cantean: cortar a "&amp;ROUND(Despiece!L61,2)&amp;" × "&amp;ROUND(Despiece!M61,2)&amp;" y cantear en el armado.","")&amp;" "&amp;IFERROR(VLOOKUP(Despiece!A61,$S$2:$T$40,2,FALSE),"")))</f>
        <v>—</v>
      </c>
    </row>
    <row r="64" spans="1:14" x14ac:dyDescent="0.3">
      <c r="A64" s="40" t="str">
        <f>Despiece!A62</f>
        <v>P054</v>
      </c>
      <c r="B64" s="40" t="str">
        <f>Despiece!B62</f>
        <v>S3 Alacena 65,5</v>
      </c>
      <c r="C64" s="40" t="str">
        <f>Despiece!C62</f>
        <v>División vertical</v>
      </c>
      <c r="D64" s="40" t="str">
        <f>Despiece!D62</f>
        <v>Melamina Cartagena RH 15</v>
      </c>
      <c r="E64" s="41">
        <f>Despiece!G62</f>
        <v>1</v>
      </c>
      <c r="F64" s="45">
        <f>IF($Q$2="NO",ROUND(Despiece!L62,2),Despiece!E62)</f>
        <v>670</v>
      </c>
      <c r="G64" s="45">
        <f>IF($Q$2="NO",ROUND(Despiece!M62,2),Despiece!F62)</f>
        <v>320</v>
      </c>
      <c r="H64" s="42" t="str">
        <f>IF(Despiece!H62="2","R",IF(Despiece!H62="0.45","F","—"))</f>
        <v>R</v>
      </c>
      <c r="I64" s="42" t="str">
        <f>IF(Despiece!I62="2","R",IF(Despiece!I62="0.45","F","—"))</f>
        <v>—</v>
      </c>
      <c r="J64" s="42" t="str">
        <f>IF(Despiece!J62="2","R",IF(Despiece!J62="0.45","F","—"))</f>
        <v>—</v>
      </c>
      <c r="K64" s="42" t="str">
        <f>IF(Despiece!K62="2","R",IF(Despiece!K62="0.45","F","—"))</f>
        <v>—</v>
      </c>
      <c r="L64" s="42" t="str">
        <f>IF(SUMPRODUCT((Despiece!H62:K62="2")+(Despiece!H62:K62="0.45"))=0,"Sin canto",IF(OR(MIN(Despiece!L62,Despiece!M62)&lt;$Q$3,MAX(Despiece!L62,Despiece!M62)&lt;$Q$4),"Pequeña","Normal"))</f>
        <v>Normal</v>
      </c>
      <c r="M64" s="40" t="str">
        <f>Despiece!E62&amp;" × "&amp;Despiece!F62</f>
        <v>670 × 320</v>
      </c>
      <c r="N64" s="43" t="str">
        <f>IF(LEN(TRIM(IF($L64="Pequeña","Si no la cantean: cortar a "&amp;ROUND(Despiece!L62,2)&amp;" × "&amp;ROUND(Despiece!M62,2)&amp;" y cantear en el armado.","")&amp;" "&amp;IFERROR(VLOOKUP(Despiece!A62,$S$2:$T$40,2,FALSE),"")))=0,"—",TRIM(IF($L64="Pequeña","Si no la cantean: cortar a "&amp;ROUND(Despiece!L62,2)&amp;" × "&amp;ROUND(Despiece!M62,2)&amp;" y cantear en el armado.","")&amp;" "&amp;IFERROR(VLOOKUP(Despiece!A62,$S$2:$T$40,2,FALSE),"")))</f>
        <v>—</v>
      </c>
    </row>
    <row r="65" spans="1:14" x14ac:dyDescent="0.3">
      <c r="A65" s="40" t="str">
        <f>Despiece!A63</f>
        <v>P055</v>
      </c>
      <c r="B65" s="40" t="str">
        <f>Despiece!B63</f>
        <v>S3 Alacena 65,5</v>
      </c>
      <c r="C65" s="40" t="str">
        <f>Despiece!C63</f>
        <v>Entrepaño regulable</v>
      </c>
      <c r="D65" s="40" t="str">
        <f>Despiece!D63</f>
        <v>Melamina Cartagena RH 15</v>
      </c>
      <c r="E65" s="41">
        <f>Despiece!G63</f>
        <v>2</v>
      </c>
      <c r="F65" s="45">
        <f>IF($Q$2="NO",ROUND(Despiece!L63,2),Despiece!E63)</f>
        <v>303</v>
      </c>
      <c r="G65" s="45">
        <f>IF($Q$2="NO",ROUND(Despiece!M63,2),Despiece!F63)</f>
        <v>300</v>
      </c>
      <c r="H65" s="42" t="str">
        <f>IF(Despiece!H63="2","R",IF(Despiece!H63="0.45","F","—"))</f>
        <v>R</v>
      </c>
      <c r="I65" s="42" t="str">
        <f>IF(Despiece!I63="2","R",IF(Despiece!I63="0.45","F","—"))</f>
        <v>—</v>
      </c>
      <c r="J65" s="42" t="str">
        <f>IF(Despiece!J63="2","R",IF(Despiece!J63="0.45","F","—"))</f>
        <v>—</v>
      </c>
      <c r="K65" s="42" t="str">
        <f>IF(Despiece!K63="2","R",IF(Despiece!K63="0.45","F","—"))</f>
        <v>—</v>
      </c>
      <c r="L65" s="42" t="str">
        <f>IF(SUMPRODUCT((Despiece!H63:K63="2")+(Despiece!H63:K63="0.45"))=0,"Sin canto",IF(OR(MIN(Despiece!L63,Despiece!M63)&lt;$Q$3,MAX(Despiece!L63,Despiece!M63)&lt;$Q$4),"Pequeña","Normal"))</f>
        <v>Normal</v>
      </c>
      <c r="M65" s="40" t="str">
        <f>Despiece!E63&amp;" × "&amp;Despiece!F63</f>
        <v>303 × 300</v>
      </c>
      <c r="N65" s="43" t="str">
        <f>IF(LEN(TRIM(IF($L65="Pequeña","Si no la cantean: cortar a "&amp;ROUND(Despiece!L63,2)&amp;" × "&amp;ROUND(Despiece!M63,2)&amp;" y cantear en el armado.","")&amp;" "&amp;IFERROR(VLOOKUP(Despiece!A63,$S$2:$T$40,2,FALSE),"")))=0,"—",TRIM(IF($L65="Pequeña","Si no la cantean: cortar a "&amp;ROUND(Despiece!L63,2)&amp;" × "&amp;ROUND(Despiece!M63,2)&amp;" y cantear en el armado.","")&amp;" "&amp;IFERROR(VLOOKUP(Despiece!A63,$S$2:$T$40,2,FALSE),"")))</f>
        <v>—</v>
      </c>
    </row>
    <row r="66" spans="1:14" x14ac:dyDescent="0.3">
      <c r="A66" s="40" t="str">
        <f>Despiece!A64</f>
        <v>P056</v>
      </c>
      <c r="B66" s="40" t="str">
        <f>Despiece!B64</f>
        <v>S3 Alacena 65,5</v>
      </c>
      <c r="C66" s="40" t="str">
        <f>Despiece!C64</f>
        <v>Puerta izquierda</v>
      </c>
      <c r="D66" s="40" t="str">
        <f>Despiece!D64</f>
        <v>Melamina Cartagena RH 15</v>
      </c>
      <c r="E66" s="41">
        <f>Despiece!G64</f>
        <v>1</v>
      </c>
      <c r="F66" s="45">
        <f>IF($Q$2="NO",ROUND(Despiece!L64,2),Despiece!E64)</f>
        <v>717</v>
      </c>
      <c r="G66" s="45">
        <f>IF($Q$2="NO",ROUND(Despiece!M64,2),Despiece!F64)</f>
        <v>324.5</v>
      </c>
      <c r="H66" s="42" t="str">
        <f>IF(Despiece!H64="2","R",IF(Despiece!H64="0.45","F","—"))</f>
        <v>R</v>
      </c>
      <c r="I66" s="42" t="str">
        <f>IF(Despiece!I64="2","R",IF(Despiece!I64="0.45","F","—"))</f>
        <v>R</v>
      </c>
      <c r="J66" s="42" t="str">
        <f>IF(Despiece!J64="2","R",IF(Despiece!J64="0.45","F","—"))</f>
        <v>R</v>
      </c>
      <c r="K66" s="42" t="str">
        <f>IF(Despiece!K64="2","R",IF(Despiece!K64="0.45","F","—"))</f>
        <v>R</v>
      </c>
      <c r="L66" s="42" t="str">
        <f>IF(SUMPRODUCT((Despiece!H64:K64="2")+(Despiece!H64:K64="0.45"))=0,"Sin canto",IF(OR(MIN(Despiece!L64,Despiece!M64)&lt;$Q$3,MAX(Despiece!L64,Despiece!M64)&lt;$Q$4),"Pequeña","Normal"))</f>
        <v>Normal</v>
      </c>
      <c r="M66" s="40" t="str">
        <f>Despiece!E64&amp;" × "&amp;Despiece!F64</f>
        <v>717 × 324,5</v>
      </c>
      <c r="N66" s="43" t="str">
        <f>IF(LEN(TRIM(IF($L66="Pequeña","Si no la cantean: cortar a "&amp;ROUND(Despiece!L64,2)&amp;" × "&amp;ROUND(Despiece!M64,2)&amp;" y cantear en el armado.","")&amp;" "&amp;IFERROR(VLOOKUP(Despiece!A64,$S$2:$T$40,2,FALSE),"")))=0,"—",TRIM(IF($L66="Pequeña","Si no la cantean: cortar a "&amp;ROUND(Despiece!L64,2)&amp;" × "&amp;ROUND(Despiece!M64,2)&amp;" y cantear en el armado.","")&amp;" "&amp;IFERROR(VLOOKUP(Despiece!A64,$S$2:$T$40,2,FALSE),"")))</f>
        <v>—</v>
      </c>
    </row>
    <row r="67" spans="1:14" x14ac:dyDescent="0.3">
      <c r="A67" s="40" t="str">
        <f>Despiece!A65</f>
        <v>P057</v>
      </c>
      <c r="B67" s="40" t="str">
        <f>Despiece!B65</f>
        <v>S3 Alacena 65,5</v>
      </c>
      <c r="C67" s="40" t="str">
        <f>Despiece!C65</f>
        <v>Puerta derecha</v>
      </c>
      <c r="D67" s="40" t="str">
        <f>Despiece!D65</f>
        <v>Melamina Cartagena RH 15</v>
      </c>
      <c r="E67" s="41">
        <f>Despiece!G65</f>
        <v>1</v>
      </c>
      <c r="F67" s="45">
        <f>IF($Q$2="NO",ROUND(Despiece!L65,2),Despiece!E65)</f>
        <v>717</v>
      </c>
      <c r="G67" s="45">
        <f>IF($Q$2="NO",ROUND(Despiece!M65,2),Despiece!F65)</f>
        <v>324.5</v>
      </c>
      <c r="H67" s="42" t="str">
        <f>IF(Despiece!H65="2","R",IF(Despiece!H65="0.45","F","—"))</f>
        <v>R</v>
      </c>
      <c r="I67" s="42" t="str">
        <f>IF(Despiece!I65="2","R",IF(Despiece!I65="0.45","F","—"))</f>
        <v>R</v>
      </c>
      <c r="J67" s="42" t="str">
        <f>IF(Despiece!J65="2","R",IF(Despiece!J65="0.45","F","—"))</f>
        <v>R</v>
      </c>
      <c r="K67" s="42" t="str">
        <f>IF(Despiece!K65="2","R",IF(Despiece!K65="0.45","F","—"))</f>
        <v>R</v>
      </c>
      <c r="L67" s="42" t="str">
        <f>IF(SUMPRODUCT((Despiece!H65:K65="2")+(Despiece!H65:K65="0.45"))=0,"Sin canto",IF(OR(MIN(Despiece!L65,Despiece!M65)&lt;$Q$3,MAX(Despiece!L65,Despiece!M65)&lt;$Q$4),"Pequeña","Normal"))</f>
        <v>Normal</v>
      </c>
      <c r="M67" s="40" t="str">
        <f>Despiece!E65&amp;" × "&amp;Despiece!F65</f>
        <v>717 × 324,5</v>
      </c>
      <c r="N67" s="43" t="str">
        <f>IF(LEN(TRIM(IF($L67="Pequeña","Si no la cantean: cortar a "&amp;ROUND(Despiece!L65,2)&amp;" × "&amp;ROUND(Despiece!M65,2)&amp;" y cantear en el armado.","")&amp;" "&amp;IFERROR(VLOOKUP(Despiece!A65,$S$2:$T$40,2,FALSE),"")))=0,"—",TRIM(IF($L67="Pequeña","Si no la cantean: cortar a "&amp;ROUND(Despiece!L65,2)&amp;" × "&amp;ROUND(Despiece!M65,2)&amp;" y cantear en el armado.","")&amp;" "&amp;IFERROR(VLOOKUP(Despiece!A65,$S$2:$T$40,2,FALSE),"")))</f>
        <v>—</v>
      </c>
    </row>
    <row r="68" spans="1:14" x14ac:dyDescent="0.3">
      <c r="A68" s="40" t="str">
        <f>Despiece!A66</f>
        <v>P058</v>
      </c>
      <c r="B68" s="40" t="str">
        <f>Despiece!B66</f>
        <v>S4 Platero 71,5</v>
      </c>
      <c r="C68" s="40" t="str">
        <f>Despiece!C66</f>
        <v>Lateral</v>
      </c>
      <c r="D68" s="40" t="str">
        <f>Despiece!D66</f>
        <v>Melamina Cartagena RH 15</v>
      </c>
      <c r="E68" s="41">
        <f>Despiece!G66</f>
        <v>2</v>
      </c>
      <c r="F68" s="45">
        <f>IF($Q$2="NO",ROUND(Despiece!L66,2),Despiece!E66)</f>
        <v>700</v>
      </c>
      <c r="G68" s="45">
        <f>IF($Q$2="NO",ROUND(Despiece!M66,2),Despiece!F66)</f>
        <v>320</v>
      </c>
      <c r="H68" s="42" t="str">
        <f>IF(Despiece!H66="2","R",IF(Despiece!H66="0.45","F","—"))</f>
        <v>R</v>
      </c>
      <c r="I68" s="42" t="str">
        <f>IF(Despiece!I66="2","R",IF(Despiece!I66="0.45","F","—"))</f>
        <v>—</v>
      </c>
      <c r="J68" s="42" t="str">
        <f>IF(Despiece!J66="2","R",IF(Despiece!J66="0.45","F","—"))</f>
        <v>R</v>
      </c>
      <c r="K68" s="42" t="str">
        <f>IF(Despiece!K66="2","R",IF(Despiece!K66="0.45","F","—"))</f>
        <v>F</v>
      </c>
      <c r="L68" s="42" t="str">
        <f>IF(SUMPRODUCT((Despiece!H66:K66="2")+(Despiece!H66:K66="0.45"))=0,"Sin canto",IF(OR(MIN(Despiece!L66,Despiece!M66)&lt;$Q$3,MAX(Despiece!L66,Despiece!M66)&lt;$Q$4),"Pequeña","Normal"))</f>
        <v>Normal</v>
      </c>
      <c r="M68" s="40" t="str">
        <f>Despiece!E66&amp;" × "&amp;Despiece!F66</f>
        <v>700 × 320</v>
      </c>
      <c r="N68" s="43" t="str">
        <f>IF(LEN(TRIM(IF($L68="Pequeña","Si no la cantean: cortar a "&amp;ROUND(Despiece!L66,2)&amp;" × "&amp;ROUND(Despiece!M66,2)&amp;" y cantear en el armado.","")&amp;" "&amp;IFERROR(VLOOKUP(Despiece!A66,$S$2:$T$40,2,FALSE),"")))=0,"—",TRIM(IF($L68="Pequeña","Si no la cantean: cortar a "&amp;ROUND(Despiece!L66,2)&amp;" × "&amp;ROUND(Despiece!M66,2)&amp;" y cantear en el armado.","")&amp;" "&amp;IFERROR(VLOOKUP(Despiece!A66,$S$2:$T$40,2,FALSE),"")))</f>
        <v>—</v>
      </c>
    </row>
    <row r="69" spans="1:14" x14ac:dyDescent="0.3">
      <c r="A69" s="40" t="str">
        <f>Despiece!A67</f>
        <v>P059</v>
      </c>
      <c r="B69" s="40" t="str">
        <f>Despiece!B67</f>
        <v>S4 Platero 71,5</v>
      </c>
      <c r="C69" s="40" t="str">
        <f>Despiece!C67</f>
        <v>Techo</v>
      </c>
      <c r="D69" s="40" t="str">
        <f>Despiece!D67</f>
        <v>Melamina Cartagena RH 15</v>
      </c>
      <c r="E69" s="41">
        <f>Despiece!G67</f>
        <v>1</v>
      </c>
      <c r="F69" s="45">
        <f>IF($Q$2="NO",ROUND(Despiece!L67,2),Despiece!E67)</f>
        <v>685</v>
      </c>
      <c r="G69" s="45">
        <f>IF($Q$2="NO",ROUND(Despiece!M67,2),Despiece!F67)</f>
        <v>320</v>
      </c>
      <c r="H69" s="42" t="str">
        <f>IF(Despiece!H67="2","R",IF(Despiece!H67="0.45","F","—"))</f>
        <v>R</v>
      </c>
      <c r="I69" s="42" t="str">
        <f>IF(Despiece!I67="2","R",IF(Despiece!I67="0.45","F","—"))</f>
        <v>—</v>
      </c>
      <c r="J69" s="42" t="str">
        <f>IF(Despiece!J67="2","R",IF(Despiece!J67="0.45","F","—"))</f>
        <v>—</v>
      </c>
      <c r="K69" s="42" t="str">
        <f>IF(Despiece!K67="2","R",IF(Despiece!K67="0.45","F","—"))</f>
        <v>—</v>
      </c>
      <c r="L69" s="42" t="str">
        <f>IF(SUMPRODUCT((Despiece!H67:K67="2")+(Despiece!H67:K67="0.45"))=0,"Sin canto",IF(OR(MIN(Despiece!L67,Despiece!M67)&lt;$Q$3,MAX(Despiece!L67,Despiece!M67)&lt;$Q$4),"Pequeña","Normal"))</f>
        <v>Normal</v>
      </c>
      <c r="M69" s="40" t="str">
        <f>Despiece!E67&amp;" × "&amp;Despiece!F67</f>
        <v>685 × 320</v>
      </c>
      <c r="N69" s="43" t="str">
        <f>IF(LEN(TRIM(IF($L69="Pequeña","Si no la cantean: cortar a "&amp;ROUND(Despiece!L67,2)&amp;" × "&amp;ROUND(Despiece!M67,2)&amp;" y cantear en el armado.","")&amp;" "&amp;IFERROR(VLOOKUP(Despiece!A67,$S$2:$T$40,2,FALSE),"")))=0,"—",TRIM(IF($L69="Pequeña","Si no la cantean: cortar a "&amp;ROUND(Despiece!L67,2)&amp;" × "&amp;ROUND(Despiece!M67,2)&amp;" y cantear en el armado.","")&amp;" "&amp;IFERROR(VLOOKUP(Despiece!A67,$S$2:$T$40,2,FALSE),"")))</f>
        <v>—</v>
      </c>
    </row>
    <row r="70" spans="1:14" ht="28.8" x14ac:dyDescent="0.3">
      <c r="A70" s="40" t="str">
        <f>Despiece!A68</f>
        <v>P060</v>
      </c>
      <c r="B70" s="40" t="str">
        <f>Despiece!B68</f>
        <v>S4 Platero 71,5</v>
      </c>
      <c r="C70" s="40" t="str">
        <f>Despiece!C68</f>
        <v>Listón inferior delantero</v>
      </c>
      <c r="D70" s="40" t="str">
        <f>Despiece!D68</f>
        <v>Melamina Cartagena RH 15</v>
      </c>
      <c r="E70" s="41">
        <f>Despiece!G68</f>
        <v>1</v>
      </c>
      <c r="F70" s="45">
        <f>IF($Q$2="NO",ROUND(Despiece!L68,2),Despiece!E68)</f>
        <v>685</v>
      </c>
      <c r="G70" s="45">
        <f>IF($Q$2="NO",ROUND(Despiece!M68,2),Despiece!F68)</f>
        <v>60</v>
      </c>
      <c r="H70" s="42" t="str">
        <f>IF(Despiece!H68="2","R",IF(Despiece!H68="0.45","F","—"))</f>
        <v>F</v>
      </c>
      <c r="I70" s="42" t="str">
        <f>IF(Despiece!I68="2","R",IF(Despiece!I68="0.45","F","—"))</f>
        <v>F</v>
      </c>
      <c r="J70" s="42" t="str">
        <f>IF(Despiece!J68="2","R",IF(Despiece!J68="0.45","F","—"))</f>
        <v>F</v>
      </c>
      <c r="K70" s="42" t="str">
        <f>IF(Despiece!K68="2","R",IF(Despiece!K68="0.45","F","—"))</f>
        <v>F</v>
      </c>
      <c r="L70" s="42" t="str">
        <f>IF(SUMPRODUCT((Despiece!H68:K68="2")+(Despiece!H68:K68="0.45"))=0,"Sin canto",IF(OR(MIN(Despiece!L68,Despiece!M68)&lt;$Q$3,MAX(Despiece!L68,Despiece!M68)&lt;$Q$4),"Pequeña","Normal"))</f>
        <v>Pequeña</v>
      </c>
      <c r="M70" s="40" t="str">
        <f>Despiece!E68&amp;" × "&amp;Despiece!F68</f>
        <v>685 × 60</v>
      </c>
      <c r="N70" s="43" t="str">
        <f>IF(LEN(TRIM(IF($L70="Pequeña","Si no la cantean: cortar a "&amp;ROUND(Despiece!L68,2)&amp;" × "&amp;ROUND(Despiece!M68,2)&amp;" y cantear en el armado.","")&amp;" "&amp;IFERROR(VLOOKUP(Despiece!A68,$S$2:$T$40,2,FALSE),"")))=0,"—",TRIM(IF($L70="Pequeña","Si no la cantean: cortar a "&amp;ROUND(Despiece!L68,2)&amp;" × "&amp;ROUND(Despiece!M68,2)&amp;" y cantear en el armado.","")&amp;" "&amp;IFERROR(VLOOKUP(Despiece!A68,$S$2:$T$40,2,FALSE),"")))</f>
        <v>Si no la cantean: cortar a 684,1 × 59,1 y cantear en el armado.</v>
      </c>
    </row>
    <row r="71" spans="1:14" ht="28.8" x14ac:dyDescent="0.3">
      <c r="A71" s="40" t="str">
        <f>Despiece!A69</f>
        <v>P061</v>
      </c>
      <c r="B71" s="40" t="str">
        <f>Despiece!B69</f>
        <v>S4 Platero 71,5</v>
      </c>
      <c r="C71" s="40" t="str">
        <f>Despiece!C69</f>
        <v>Listón inferior trasero</v>
      </c>
      <c r="D71" s="40" t="str">
        <f>Despiece!D69</f>
        <v>Melamina Cartagena RH 15</v>
      </c>
      <c r="E71" s="41">
        <f>Despiece!G69</f>
        <v>1</v>
      </c>
      <c r="F71" s="45">
        <f>IF($Q$2="NO",ROUND(Despiece!L69,2),Despiece!E69)</f>
        <v>685</v>
      </c>
      <c r="G71" s="45">
        <f>IF($Q$2="NO",ROUND(Despiece!M69,2),Despiece!F69)</f>
        <v>80</v>
      </c>
      <c r="H71" s="42" t="str">
        <f>IF(Despiece!H69="2","R",IF(Despiece!H69="0.45","F","—"))</f>
        <v>F</v>
      </c>
      <c r="I71" s="42" t="str">
        <f>IF(Despiece!I69="2","R",IF(Despiece!I69="0.45","F","—"))</f>
        <v>F</v>
      </c>
      <c r="J71" s="42" t="str">
        <f>IF(Despiece!J69="2","R",IF(Despiece!J69="0.45","F","—"))</f>
        <v>F</v>
      </c>
      <c r="K71" s="42" t="str">
        <f>IF(Despiece!K69="2","R",IF(Despiece!K69="0.45","F","—"))</f>
        <v>F</v>
      </c>
      <c r="L71" s="42" t="str">
        <f>IF(SUMPRODUCT((Despiece!H69:K69="2")+(Despiece!H69:K69="0.45"))=0,"Sin canto",IF(OR(MIN(Despiece!L69,Despiece!M69)&lt;$Q$3,MAX(Despiece!L69,Despiece!M69)&lt;$Q$4),"Pequeña","Normal"))</f>
        <v>Pequeña</v>
      </c>
      <c r="M71" s="40" t="str">
        <f>Despiece!E69&amp;" × "&amp;Despiece!F69</f>
        <v>685 × 80</v>
      </c>
      <c r="N71" s="43" t="str">
        <f>IF(LEN(TRIM(IF($L71="Pequeña","Si no la cantean: cortar a "&amp;ROUND(Despiece!L69,2)&amp;" × "&amp;ROUND(Despiece!M69,2)&amp;" y cantear en el armado.","")&amp;" "&amp;IFERROR(VLOOKUP(Despiece!A69,$S$2:$T$40,2,FALSE),"")))=0,"—",TRIM(IF($L71="Pequeña","Si no la cantean: cortar a "&amp;ROUND(Despiece!L69,2)&amp;" × "&amp;ROUND(Despiece!M69,2)&amp;" y cantear en el armado.","")&amp;" "&amp;IFERROR(VLOOKUP(Despiece!A69,$S$2:$T$40,2,FALSE),"")))</f>
        <v>Si no la cantean: cortar a 684,1 × 79,1 y cantear en el armado.</v>
      </c>
    </row>
    <row r="72" spans="1:14" x14ac:dyDescent="0.3">
      <c r="A72" s="40" t="str">
        <f>Despiece!A70</f>
        <v>P062</v>
      </c>
      <c r="B72" s="40" t="str">
        <f>Despiece!B70</f>
        <v>S4 Platero 71,5</v>
      </c>
      <c r="C72" s="40" t="str">
        <f>Despiece!C70</f>
        <v>Fondo</v>
      </c>
      <c r="D72" s="40" t="str">
        <f>Despiece!D70</f>
        <v>Fondo melamina 6</v>
      </c>
      <c r="E72" s="41">
        <f>Despiece!G70</f>
        <v>1</v>
      </c>
      <c r="F72" s="45">
        <f>IF($Q$2="NO",ROUND(Despiece!L70,2),Despiece!E70)</f>
        <v>711</v>
      </c>
      <c r="G72" s="45">
        <f>IF($Q$2="NO",ROUND(Despiece!M70,2),Despiece!F70)</f>
        <v>696</v>
      </c>
      <c r="H72" s="42" t="str">
        <f>IF(Despiece!H70="2","R",IF(Despiece!H70="0.45","F","—"))</f>
        <v>—</v>
      </c>
      <c r="I72" s="42" t="str">
        <f>IF(Despiece!I70="2","R",IF(Despiece!I70="0.45","F","—"))</f>
        <v>—</v>
      </c>
      <c r="J72" s="42" t="str">
        <f>IF(Despiece!J70="2","R",IF(Despiece!J70="0.45","F","—"))</f>
        <v>—</v>
      </c>
      <c r="K72" s="42" t="str">
        <f>IF(Despiece!K70="2","R",IF(Despiece!K70="0.45","F","—"))</f>
        <v>—</v>
      </c>
      <c r="L72" s="42" t="str">
        <f>IF(SUMPRODUCT((Despiece!H70:K70="2")+(Despiece!H70:K70="0.45"))=0,"Sin canto",IF(OR(MIN(Despiece!L70,Despiece!M70)&lt;$Q$3,MAX(Despiece!L70,Despiece!M70)&lt;$Q$4),"Pequeña","Normal"))</f>
        <v>Sin canto</v>
      </c>
      <c r="M72" s="40" t="str">
        <f>Despiece!E70&amp;" × "&amp;Despiece!F70</f>
        <v>711 × 696</v>
      </c>
      <c r="N72" s="43" t="str">
        <f>IF(LEN(TRIM(IF($L72="Pequeña","Si no la cantean: cortar a "&amp;ROUND(Despiece!L70,2)&amp;" × "&amp;ROUND(Despiece!M70,2)&amp;" y cantear en el armado.","")&amp;" "&amp;IFERROR(VLOOKUP(Despiece!A70,$S$2:$T$40,2,FALSE),"")))=0,"—",TRIM(IF($L72="Pequeña","Si no la cantean: cortar a "&amp;ROUND(Despiece!L70,2)&amp;" × "&amp;ROUND(Despiece!M70,2)&amp;" y cantear en el armado.","")&amp;" "&amp;IFERROR(VLOOKUP(Despiece!A70,$S$2:$T$40,2,FALSE),"")))</f>
        <v>—</v>
      </c>
    </row>
    <row r="73" spans="1:14" x14ac:dyDescent="0.3">
      <c r="A73" s="40" t="str">
        <f>Despiece!A71</f>
        <v>P063</v>
      </c>
      <c r="B73" s="40" t="str">
        <f>Despiece!B71</f>
        <v>S4 Platero 71,5</v>
      </c>
      <c r="C73" s="40" t="str">
        <f>Despiece!C71</f>
        <v>Puerta izquierda</v>
      </c>
      <c r="D73" s="40" t="str">
        <f>Despiece!D71</f>
        <v>Melamina Cartagena RH 15</v>
      </c>
      <c r="E73" s="41">
        <f>Despiece!G71</f>
        <v>1</v>
      </c>
      <c r="F73" s="45">
        <f>IF($Q$2="NO",ROUND(Despiece!L71,2),Despiece!E71)</f>
        <v>717</v>
      </c>
      <c r="G73" s="45">
        <f>IF($Q$2="NO",ROUND(Despiece!M71,2),Despiece!F71)</f>
        <v>354.5</v>
      </c>
      <c r="H73" s="42" t="str">
        <f>IF(Despiece!H71="2","R",IF(Despiece!H71="0.45","F","—"))</f>
        <v>R</v>
      </c>
      <c r="I73" s="42" t="str">
        <f>IF(Despiece!I71="2","R",IF(Despiece!I71="0.45","F","—"))</f>
        <v>R</v>
      </c>
      <c r="J73" s="42" t="str">
        <f>IF(Despiece!J71="2","R",IF(Despiece!J71="0.45","F","—"))</f>
        <v>R</v>
      </c>
      <c r="K73" s="42" t="str">
        <f>IF(Despiece!K71="2","R",IF(Despiece!K71="0.45","F","—"))</f>
        <v>R</v>
      </c>
      <c r="L73" s="42" t="str">
        <f>IF(SUMPRODUCT((Despiece!H71:K71="2")+(Despiece!H71:K71="0.45"))=0,"Sin canto",IF(OR(MIN(Despiece!L71,Despiece!M71)&lt;$Q$3,MAX(Despiece!L71,Despiece!M71)&lt;$Q$4),"Pequeña","Normal"))</f>
        <v>Normal</v>
      </c>
      <c r="M73" s="40" t="str">
        <f>Despiece!E71&amp;" × "&amp;Despiece!F71</f>
        <v>717 × 354,5</v>
      </c>
      <c r="N73" s="43" t="str">
        <f>IF(LEN(TRIM(IF($L73="Pequeña","Si no la cantean: cortar a "&amp;ROUND(Despiece!L71,2)&amp;" × "&amp;ROUND(Despiece!M71,2)&amp;" y cantear en el armado.","")&amp;" "&amp;IFERROR(VLOOKUP(Despiece!A71,$S$2:$T$40,2,FALSE),"")))=0,"—",TRIM(IF($L73="Pequeña","Si no la cantean: cortar a "&amp;ROUND(Despiece!L71,2)&amp;" × "&amp;ROUND(Despiece!M71,2)&amp;" y cantear en el armado.","")&amp;" "&amp;IFERROR(VLOOKUP(Despiece!A71,$S$2:$T$40,2,FALSE),"")))</f>
        <v>—</v>
      </c>
    </row>
    <row r="74" spans="1:14" x14ac:dyDescent="0.3">
      <c r="A74" s="40" t="str">
        <f>Despiece!A72</f>
        <v>P064</v>
      </c>
      <c r="B74" s="40" t="str">
        <f>Despiece!B72</f>
        <v>S4 Platero 71,5</v>
      </c>
      <c r="C74" s="40" t="str">
        <f>Despiece!C72</f>
        <v>Puerta derecha</v>
      </c>
      <c r="D74" s="40" t="str">
        <f>Despiece!D72</f>
        <v>Melamina Cartagena RH 15</v>
      </c>
      <c r="E74" s="41">
        <f>Despiece!G72</f>
        <v>1</v>
      </c>
      <c r="F74" s="45">
        <f>IF($Q$2="NO",ROUND(Despiece!L72,2),Despiece!E72)</f>
        <v>717</v>
      </c>
      <c r="G74" s="45">
        <f>IF($Q$2="NO",ROUND(Despiece!M72,2),Despiece!F72)</f>
        <v>354.5</v>
      </c>
      <c r="H74" s="42" t="str">
        <f>IF(Despiece!H72="2","R",IF(Despiece!H72="0.45","F","—"))</f>
        <v>R</v>
      </c>
      <c r="I74" s="42" t="str">
        <f>IF(Despiece!I72="2","R",IF(Despiece!I72="0.45","F","—"))</f>
        <v>R</v>
      </c>
      <c r="J74" s="42" t="str">
        <f>IF(Despiece!J72="2","R",IF(Despiece!J72="0.45","F","—"))</f>
        <v>R</v>
      </c>
      <c r="K74" s="42" t="str">
        <f>IF(Despiece!K72="2","R",IF(Despiece!K72="0.45","F","—"))</f>
        <v>R</v>
      </c>
      <c r="L74" s="42" t="str">
        <f>IF(SUMPRODUCT((Despiece!H72:K72="2")+(Despiece!H72:K72="0.45"))=0,"Sin canto",IF(OR(MIN(Despiece!L72,Despiece!M72)&lt;$Q$3,MAX(Despiece!L72,Despiece!M72)&lt;$Q$4),"Pequeña","Normal"))</f>
        <v>Normal</v>
      </c>
      <c r="M74" s="40" t="str">
        <f>Despiece!E72&amp;" × "&amp;Despiece!F72</f>
        <v>717 × 354,5</v>
      </c>
      <c r="N74" s="43" t="str">
        <f>IF(LEN(TRIM(IF($L74="Pequeña","Si no la cantean: cortar a "&amp;ROUND(Despiece!L72,2)&amp;" × "&amp;ROUND(Despiece!M72,2)&amp;" y cantear en el armado.","")&amp;" "&amp;IFERROR(VLOOKUP(Despiece!A72,$S$2:$T$40,2,FALSE),"")))=0,"—",TRIM(IF($L74="Pequeña","Si no la cantean: cortar a "&amp;ROUND(Despiece!L72,2)&amp;" × "&amp;ROUND(Despiece!M72,2)&amp;" y cantear en el armado.","")&amp;" "&amp;IFERROR(VLOOKUP(Despiece!A72,$S$2:$T$40,2,FALSE),"")))</f>
        <v>—</v>
      </c>
    </row>
    <row r="75" spans="1:14" x14ac:dyDescent="0.3">
      <c r="A75" s="40" t="str">
        <f>Despiece!A73</f>
        <v>P065</v>
      </c>
      <c r="B75" s="40" t="str">
        <f>Despiece!B73</f>
        <v>S5 Alacena 40</v>
      </c>
      <c r="C75" s="40" t="str">
        <f>Despiece!C73</f>
        <v>Lateral</v>
      </c>
      <c r="D75" s="40" t="str">
        <f>Despiece!D73</f>
        <v>Melamina Cartagena RH 15</v>
      </c>
      <c r="E75" s="41">
        <f>Despiece!G73</f>
        <v>2</v>
      </c>
      <c r="F75" s="45">
        <f>IF($Q$2="NO",ROUND(Despiece!L73,2),Despiece!E73)</f>
        <v>700</v>
      </c>
      <c r="G75" s="45">
        <f>IF($Q$2="NO",ROUND(Despiece!M73,2),Despiece!F73)</f>
        <v>320</v>
      </c>
      <c r="H75" s="42" t="str">
        <f>IF(Despiece!H73="2","R",IF(Despiece!H73="0.45","F","—"))</f>
        <v>R</v>
      </c>
      <c r="I75" s="42" t="str">
        <f>IF(Despiece!I73="2","R",IF(Despiece!I73="0.45","F","—"))</f>
        <v>—</v>
      </c>
      <c r="J75" s="42" t="str">
        <f>IF(Despiece!J73="2","R",IF(Despiece!J73="0.45","F","—"))</f>
        <v>R</v>
      </c>
      <c r="K75" s="42" t="str">
        <f>IF(Despiece!K73="2","R",IF(Despiece!K73="0.45","F","—"))</f>
        <v>F</v>
      </c>
      <c r="L75" s="42" t="str">
        <f>IF(SUMPRODUCT((Despiece!H73:K73="2")+(Despiece!H73:K73="0.45"))=0,"Sin canto",IF(OR(MIN(Despiece!L73,Despiece!M73)&lt;$Q$3,MAX(Despiece!L73,Despiece!M73)&lt;$Q$4),"Pequeña","Normal"))</f>
        <v>Normal</v>
      </c>
      <c r="M75" s="40" t="str">
        <f>Despiece!E73&amp;" × "&amp;Despiece!F73</f>
        <v>700 × 320</v>
      </c>
      <c r="N75" s="43" t="str">
        <f>IF(LEN(TRIM(IF($L75="Pequeña","Si no la cantean: cortar a "&amp;ROUND(Despiece!L73,2)&amp;" × "&amp;ROUND(Despiece!M73,2)&amp;" y cantear en el armado.","")&amp;" "&amp;IFERROR(VLOOKUP(Despiece!A73,$S$2:$T$40,2,FALSE),"")))=0,"—",TRIM(IF($L75="Pequeña","Si no la cantean: cortar a "&amp;ROUND(Despiece!L73,2)&amp;" × "&amp;ROUND(Despiece!M73,2)&amp;" y cantear en el armado.","")&amp;" "&amp;IFERROR(VLOOKUP(Despiece!A73,$S$2:$T$40,2,FALSE),"")))</f>
        <v>—</v>
      </c>
    </row>
    <row r="76" spans="1:14" x14ac:dyDescent="0.3">
      <c r="A76" s="40" t="str">
        <f>Despiece!A74</f>
        <v>P066</v>
      </c>
      <c r="B76" s="40" t="str">
        <f>Despiece!B74</f>
        <v>S5 Alacena 40</v>
      </c>
      <c r="C76" s="40" t="str">
        <f>Despiece!C74</f>
        <v>Techo</v>
      </c>
      <c r="D76" s="40" t="str">
        <f>Despiece!D74</f>
        <v>Melamina Cartagena RH 15</v>
      </c>
      <c r="E76" s="41">
        <f>Despiece!G74</f>
        <v>1</v>
      </c>
      <c r="F76" s="45">
        <f>IF($Q$2="NO",ROUND(Despiece!L74,2),Despiece!E74)</f>
        <v>370</v>
      </c>
      <c r="G76" s="45">
        <f>IF($Q$2="NO",ROUND(Despiece!M74,2),Despiece!F74)</f>
        <v>320</v>
      </c>
      <c r="H76" s="42" t="str">
        <f>IF(Despiece!H74="2","R",IF(Despiece!H74="0.45","F","—"))</f>
        <v>R</v>
      </c>
      <c r="I76" s="42" t="str">
        <f>IF(Despiece!I74="2","R",IF(Despiece!I74="0.45","F","—"))</f>
        <v>—</v>
      </c>
      <c r="J76" s="42" t="str">
        <f>IF(Despiece!J74="2","R",IF(Despiece!J74="0.45","F","—"))</f>
        <v>—</v>
      </c>
      <c r="K76" s="42" t="str">
        <f>IF(Despiece!K74="2","R",IF(Despiece!K74="0.45","F","—"))</f>
        <v>—</v>
      </c>
      <c r="L76" s="42" t="str">
        <f>IF(SUMPRODUCT((Despiece!H74:K74="2")+(Despiece!H74:K74="0.45"))=0,"Sin canto",IF(OR(MIN(Despiece!L74,Despiece!M74)&lt;$Q$3,MAX(Despiece!L74,Despiece!M74)&lt;$Q$4),"Pequeña","Normal"))</f>
        <v>Normal</v>
      </c>
      <c r="M76" s="40" t="str">
        <f>Despiece!E74&amp;" × "&amp;Despiece!F74</f>
        <v>370 × 320</v>
      </c>
      <c r="N76" s="43" t="str">
        <f>IF(LEN(TRIM(IF($L76="Pequeña","Si no la cantean: cortar a "&amp;ROUND(Despiece!L74,2)&amp;" × "&amp;ROUND(Despiece!M74,2)&amp;" y cantear en el armado.","")&amp;" "&amp;IFERROR(VLOOKUP(Despiece!A74,$S$2:$T$40,2,FALSE),"")))=0,"—",TRIM(IF($L76="Pequeña","Si no la cantean: cortar a "&amp;ROUND(Despiece!L74,2)&amp;" × "&amp;ROUND(Despiece!M74,2)&amp;" y cantear en el armado.","")&amp;" "&amp;IFERROR(VLOOKUP(Despiece!A74,$S$2:$T$40,2,FALSE),"")))</f>
        <v>—</v>
      </c>
    </row>
    <row r="77" spans="1:14" x14ac:dyDescent="0.3">
      <c r="A77" s="40" t="str">
        <f>Despiece!A75</f>
        <v>P067</v>
      </c>
      <c r="B77" s="40" t="str">
        <f>Despiece!B75</f>
        <v>S5 Alacena 40</v>
      </c>
      <c r="C77" s="40" t="str">
        <f>Despiece!C75</f>
        <v>Piso</v>
      </c>
      <c r="D77" s="40" t="str">
        <f>Despiece!D75</f>
        <v>Melamina Cartagena RH 15</v>
      </c>
      <c r="E77" s="41">
        <f>Despiece!G75</f>
        <v>1</v>
      </c>
      <c r="F77" s="45">
        <f>IF($Q$2="NO",ROUND(Despiece!L75,2),Despiece!E75)</f>
        <v>370</v>
      </c>
      <c r="G77" s="45">
        <f>IF($Q$2="NO",ROUND(Despiece!M75,2),Despiece!F75)</f>
        <v>320</v>
      </c>
      <c r="H77" s="42" t="str">
        <f>IF(Despiece!H75="2","R",IF(Despiece!H75="0.45","F","—"))</f>
        <v>R</v>
      </c>
      <c r="I77" s="42" t="str">
        <f>IF(Despiece!I75="2","R",IF(Despiece!I75="0.45","F","—"))</f>
        <v>—</v>
      </c>
      <c r="J77" s="42" t="str">
        <f>IF(Despiece!J75="2","R",IF(Despiece!J75="0.45","F","—"))</f>
        <v>—</v>
      </c>
      <c r="K77" s="42" t="str">
        <f>IF(Despiece!K75="2","R",IF(Despiece!K75="0.45","F","—"))</f>
        <v>—</v>
      </c>
      <c r="L77" s="42" t="str">
        <f>IF(SUMPRODUCT((Despiece!H75:K75="2")+(Despiece!H75:K75="0.45"))=0,"Sin canto",IF(OR(MIN(Despiece!L75,Despiece!M75)&lt;$Q$3,MAX(Despiece!L75,Despiece!M75)&lt;$Q$4),"Pequeña","Normal"))</f>
        <v>Normal</v>
      </c>
      <c r="M77" s="40" t="str">
        <f>Despiece!E75&amp;" × "&amp;Despiece!F75</f>
        <v>370 × 320</v>
      </c>
      <c r="N77" s="43" t="str">
        <f>IF(LEN(TRIM(IF($L77="Pequeña","Si no la cantean: cortar a "&amp;ROUND(Despiece!L75,2)&amp;" × "&amp;ROUND(Despiece!M75,2)&amp;" y cantear en el armado.","")&amp;" "&amp;IFERROR(VLOOKUP(Despiece!A75,$S$2:$T$40,2,FALSE),"")))=0,"—",TRIM(IF($L77="Pequeña","Si no la cantean: cortar a "&amp;ROUND(Despiece!L75,2)&amp;" × "&amp;ROUND(Despiece!M75,2)&amp;" y cantear en el armado.","")&amp;" "&amp;IFERROR(VLOOKUP(Despiece!A75,$S$2:$T$40,2,FALSE),"")))</f>
        <v>—</v>
      </c>
    </row>
    <row r="78" spans="1:14" x14ac:dyDescent="0.3">
      <c r="A78" s="40" t="str">
        <f>Despiece!A76</f>
        <v>P068</v>
      </c>
      <c r="B78" s="40" t="str">
        <f>Despiece!B76</f>
        <v>S5 Alacena 40</v>
      </c>
      <c r="C78" s="40" t="str">
        <f>Despiece!C76</f>
        <v>Fondo</v>
      </c>
      <c r="D78" s="40" t="str">
        <f>Despiece!D76</f>
        <v>Fondo melamina 6</v>
      </c>
      <c r="E78" s="41">
        <f>Despiece!G76</f>
        <v>1</v>
      </c>
      <c r="F78" s="45">
        <f>IF($Q$2="NO",ROUND(Despiece!L76,2),Despiece!E76)</f>
        <v>396</v>
      </c>
      <c r="G78" s="45">
        <f>IF($Q$2="NO",ROUND(Despiece!M76,2),Despiece!F76)</f>
        <v>696</v>
      </c>
      <c r="H78" s="42" t="str">
        <f>IF(Despiece!H76="2","R",IF(Despiece!H76="0.45","F","—"))</f>
        <v>—</v>
      </c>
      <c r="I78" s="42" t="str">
        <f>IF(Despiece!I76="2","R",IF(Despiece!I76="0.45","F","—"))</f>
        <v>—</v>
      </c>
      <c r="J78" s="42" t="str">
        <f>IF(Despiece!J76="2","R",IF(Despiece!J76="0.45","F","—"))</f>
        <v>—</v>
      </c>
      <c r="K78" s="42" t="str">
        <f>IF(Despiece!K76="2","R",IF(Despiece!K76="0.45","F","—"))</f>
        <v>—</v>
      </c>
      <c r="L78" s="42" t="str">
        <f>IF(SUMPRODUCT((Despiece!H76:K76="2")+(Despiece!H76:K76="0.45"))=0,"Sin canto",IF(OR(MIN(Despiece!L76,Despiece!M76)&lt;$Q$3,MAX(Despiece!L76,Despiece!M76)&lt;$Q$4),"Pequeña","Normal"))</f>
        <v>Sin canto</v>
      </c>
      <c r="M78" s="40" t="str">
        <f>Despiece!E76&amp;" × "&amp;Despiece!F76</f>
        <v>396 × 696</v>
      </c>
      <c r="N78" s="43" t="str">
        <f>IF(LEN(TRIM(IF($L78="Pequeña","Si no la cantean: cortar a "&amp;ROUND(Despiece!L76,2)&amp;" × "&amp;ROUND(Despiece!M76,2)&amp;" y cantear en el armado.","")&amp;" "&amp;IFERROR(VLOOKUP(Despiece!A76,$S$2:$T$40,2,FALSE),"")))=0,"—",TRIM(IF($L78="Pequeña","Si no la cantean: cortar a "&amp;ROUND(Despiece!L76,2)&amp;" × "&amp;ROUND(Despiece!M76,2)&amp;" y cantear en el armado.","")&amp;" "&amp;IFERROR(VLOOKUP(Despiece!A76,$S$2:$T$40,2,FALSE),"")))</f>
        <v>—</v>
      </c>
    </row>
    <row r="79" spans="1:14" x14ac:dyDescent="0.3">
      <c r="A79" s="40" t="str">
        <f>Despiece!A77</f>
        <v>P069</v>
      </c>
      <c r="B79" s="40" t="str">
        <f>Despiece!B77</f>
        <v>S5 Alacena 40</v>
      </c>
      <c r="C79" s="40" t="str">
        <f>Despiece!C77</f>
        <v>Entrepaño regulable</v>
      </c>
      <c r="D79" s="40" t="str">
        <f>Despiece!D77</f>
        <v>Melamina Cartagena RH 15</v>
      </c>
      <c r="E79" s="41">
        <f>Despiece!G77</f>
        <v>1</v>
      </c>
      <c r="F79" s="45">
        <f>IF($Q$2="NO",ROUND(Despiece!L77,2),Despiece!E77)</f>
        <v>368</v>
      </c>
      <c r="G79" s="45">
        <f>IF($Q$2="NO",ROUND(Despiece!M77,2),Despiece!F77)</f>
        <v>300</v>
      </c>
      <c r="H79" s="42" t="str">
        <f>IF(Despiece!H77="2","R",IF(Despiece!H77="0.45","F","—"))</f>
        <v>R</v>
      </c>
      <c r="I79" s="42" t="str">
        <f>IF(Despiece!I77="2","R",IF(Despiece!I77="0.45","F","—"))</f>
        <v>—</v>
      </c>
      <c r="J79" s="42" t="str">
        <f>IF(Despiece!J77="2","R",IF(Despiece!J77="0.45","F","—"))</f>
        <v>—</v>
      </c>
      <c r="K79" s="42" t="str">
        <f>IF(Despiece!K77="2","R",IF(Despiece!K77="0.45","F","—"))</f>
        <v>—</v>
      </c>
      <c r="L79" s="42" t="str">
        <f>IF(SUMPRODUCT((Despiece!H77:K77="2")+(Despiece!H77:K77="0.45"))=0,"Sin canto",IF(OR(MIN(Despiece!L77,Despiece!M77)&lt;$Q$3,MAX(Despiece!L77,Despiece!M77)&lt;$Q$4),"Pequeña","Normal"))</f>
        <v>Normal</v>
      </c>
      <c r="M79" s="40" t="str">
        <f>Despiece!E77&amp;" × "&amp;Despiece!F77</f>
        <v>368 × 300</v>
      </c>
      <c r="N79" s="43" t="str">
        <f>IF(LEN(TRIM(IF($L79="Pequeña","Si no la cantean: cortar a "&amp;ROUND(Despiece!L77,2)&amp;" × "&amp;ROUND(Despiece!M77,2)&amp;" y cantear en el armado.","")&amp;" "&amp;IFERROR(VLOOKUP(Despiece!A77,$S$2:$T$40,2,FALSE),"")))=0,"—",TRIM(IF($L79="Pequeña","Si no la cantean: cortar a "&amp;ROUND(Despiece!L77,2)&amp;" × "&amp;ROUND(Despiece!M77,2)&amp;" y cantear en el armado.","")&amp;" "&amp;IFERROR(VLOOKUP(Despiece!A77,$S$2:$T$40,2,FALSE),"")))</f>
        <v>—</v>
      </c>
    </row>
    <row r="80" spans="1:14" x14ac:dyDescent="0.3">
      <c r="A80" s="40" t="str">
        <f>Despiece!A78</f>
        <v>P070</v>
      </c>
      <c r="B80" s="40" t="str">
        <f>Despiece!B78</f>
        <v>S5 Alacena 40</v>
      </c>
      <c r="C80" s="40" t="str">
        <f>Despiece!C78</f>
        <v>Puerta</v>
      </c>
      <c r="D80" s="40" t="str">
        <f>Despiece!D78</f>
        <v>Melamina Cartagena RH 15</v>
      </c>
      <c r="E80" s="41">
        <f>Despiece!G78</f>
        <v>1</v>
      </c>
      <c r="F80" s="45">
        <f>IF($Q$2="NO",ROUND(Despiece!L78,2),Despiece!E78)</f>
        <v>717</v>
      </c>
      <c r="G80" s="45">
        <f>IF($Q$2="NO",ROUND(Despiece!M78,2),Despiece!F78)</f>
        <v>397</v>
      </c>
      <c r="H80" s="42" t="str">
        <f>IF(Despiece!H78="2","R",IF(Despiece!H78="0.45","F","—"))</f>
        <v>R</v>
      </c>
      <c r="I80" s="42" t="str">
        <f>IF(Despiece!I78="2","R",IF(Despiece!I78="0.45","F","—"))</f>
        <v>R</v>
      </c>
      <c r="J80" s="42" t="str">
        <f>IF(Despiece!J78="2","R",IF(Despiece!J78="0.45","F","—"))</f>
        <v>R</v>
      </c>
      <c r="K80" s="42" t="str">
        <f>IF(Despiece!K78="2","R",IF(Despiece!K78="0.45","F","—"))</f>
        <v>R</v>
      </c>
      <c r="L80" s="42" t="str">
        <f>IF(SUMPRODUCT((Despiece!H78:K78="2")+(Despiece!H78:K78="0.45"))=0,"Sin canto",IF(OR(MIN(Despiece!L78,Despiece!M78)&lt;$Q$3,MAX(Despiece!L78,Despiece!M78)&lt;$Q$4),"Pequeña","Normal"))</f>
        <v>Normal</v>
      </c>
      <c r="M80" s="40" t="str">
        <f>Despiece!E78&amp;" × "&amp;Despiece!F78</f>
        <v>717 × 397</v>
      </c>
      <c r="N80" s="43" t="str">
        <f>IF(LEN(TRIM(IF($L80="Pequeña","Si no la cantean: cortar a "&amp;ROUND(Despiece!L78,2)&amp;" × "&amp;ROUND(Despiece!M78,2)&amp;" y cantear en el armado.","")&amp;" "&amp;IFERROR(VLOOKUP(Despiece!A78,$S$2:$T$40,2,FALSE),"")))=0,"—",TRIM(IF($L80="Pequeña","Si no la cantean: cortar a "&amp;ROUND(Despiece!L78,2)&amp;" × "&amp;ROUND(Despiece!M78,2)&amp;" y cantear en el armado.","")&amp;" "&amp;IFERROR(VLOOKUP(Despiece!A78,$S$2:$T$40,2,FALSE),"")))</f>
        <v>—</v>
      </c>
    </row>
    <row r="82" spans="3:14" x14ac:dyDescent="0.3">
      <c r="C82" s="34" t="s">
        <v>164</v>
      </c>
      <c r="D82" s="35"/>
      <c r="E82" s="35"/>
      <c r="F82" s="34" t="s">
        <v>165</v>
      </c>
      <c r="G82" s="34" t="s">
        <v>166</v>
      </c>
    </row>
    <row r="83" spans="3:14" x14ac:dyDescent="0.3">
      <c r="C83" s="34" t="s">
        <v>167</v>
      </c>
      <c r="D83" s="35"/>
      <c r="E83" s="35"/>
      <c r="F83" s="44">
        <f>(SUMPRODUCT(Despiece!$G$5:$G$78,Despiece!$E$5:$E$78,(Despiece!$H$5:$H$78="2")+(Despiece!$I$5:$I$78="2"),--($L$7:$L$80="Normal"))+SUMPRODUCT(Despiece!$G$5:$G$78,Despiece!$F$5:$F$78,(Despiece!$J$5:$J$78="2")+(Despiece!$K$5:$K$78="2"),--($L$7:$L$80="Normal")))/1000</f>
        <v>58.377000000000002</v>
      </c>
      <c r="G83" s="44">
        <f>(SUMPRODUCT(Despiece!$G$5:$G$78,Despiece!$E$5:$E$78,(Despiece!$H$5:$H$78="2")+(Despiece!$I$5:$I$78="2"),--($L$7:$L$80="Pequeña"))+SUMPRODUCT(Despiece!$G$5:$G$78,Despiece!$F$5:$F$78,(Despiece!$J$5:$J$78="2")+(Despiece!$K$5:$K$78="2"),--($L$7:$L$80="Pequeña")))/1000</f>
        <v>0.56999999999999995</v>
      </c>
    </row>
    <row r="84" spans="3:14" x14ac:dyDescent="0.3">
      <c r="C84" s="34" t="s">
        <v>168</v>
      </c>
      <c r="D84" s="35"/>
      <c r="E84" s="35"/>
      <c r="F84" s="44">
        <f>(SUMPRODUCT(Despiece!$G$5:$G$78,Despiece!$E$5:$E$78,(Despiece!$H$5:$H$78="0.45")+(Despiece!$I$5:$I$78="0.45"),--($L$7:$L$80="Normal"))+SUMPRODUCT(Despiece!$G$5:$G$78,Despiece!$F$5:$F$78,(Despiece!$J$5:$J$78="0.45")+(Despiece!$K$5:$K$78="0.45"),--($L$7:$L$80="Normal")))/1000</f>
        <v>14.802</v>
      </c>
      <c r="G84" s="44">
        <f>(SUMPRODUCT(Despiece!$G$5:$G$78,Despiece!$E$5:$E$78,(Despiece!$H$5:$H$78="0.45")+(Despiece!$I$5:$I$78="0.45"),--($L$7:$L$80="Pequeña"))+SUMPRODUCT(Despiece!$G$5:$G$78,Despiece!$F$5:$F$78,(Despiece!$J$5:$J$78="0.45")+(Despiece!$K$5:$K$78="0.45"),--($L$7:$L$80="Pequeña")))/1000</f>
        <v>24.405999999999999</v>
      </c>
    </row>
    <row r="85" spans="3:14" x14ac:dyDescent="0.3">
      <c r="C85" s="34" t="s">
        <v>169</v>
      </c>
      <c r="D85" s="35"/>
      <c r="E85" s="35"/>
      <c r="F85" s="36">
        <f>SUMPRODUCT($E$7:$E$80,--($L$7:$L$80&lt;&gt;"Pequeña"))</f>
        <v>71</v>
      </c>
      <c r="G85" s="36">
        <f>SUMIF($L$7:$L$80,"Pequeña",$E$7:$E$80)</f>
        <v>23</v>
      </c>
    </row>
    <row r="87" spans="3:14" x14ac:dyDescent="0.3">
      <c r="C87" s="34" t="s">
        <v>324</v>
      </c>
      <c r="D87" s="35"/>
      <c r="E87" s="35"/>
      <c r="F87" s="34" t="s">
        <v>167</v>
      </c>
      <c r="G87" s="34" t="s">
        <v>168</v>
      </c>
    </row>
    <row r="88" spans="3:14" x14ac:dyDescent="0.3">
      <c r="C88" s="28" t="s">
        <v>170</v>
      </c>
      <c r="F88" s="32">
        <f>SUMPRODUCT(Despiece!$G$5:$G$78,(Despiece!$H$5:$H$78="2")+(Despiece!$I$5:$I$78="2")+(Despiece!$J$5:$J$78="2")+(Despiece!$K$5:$K$78="2"),--($L$7:$L$80="Pequeña"))</f>
        <v>1</v>
      </c>
      <c r="G88" s="32">
        <f>SUMPRODUCT(Despiece!$G$5:$G$78,(Despiece!$H$5:$H$78="0.45")+(Despiece!$I$5:$I$78="0.45")+(Despiece!$J$5:$J$78="0.45")+(Despiece!$K$5:$K$78="0.45"),--($L$7:$L$80="Pequeña"))</f>
        <v>63</v>
      </c>
    </row>
    <row r="89" spans="3:14" x14ac:dyDescent="0.3">
      <c r="C89" s="28" t="s">
        <v>171</v>
      </c>
      <c r="F89" s="2">
        <f>G83</f>
        <v>0.56999999999999995</v>
      </c>
      <c r="G89" s="2">
        <f>G84</f>
        <v>24.405999999999999</v>
      </c>
    </row>
    <row r="90" spans="3:14" x14ac:dyDescent="0.3">
      <c r="C90" s="28" t="s">
        <v>172</v>
      </c>
      <c r="F90" s="37">
        <v>0.1</v>
      </c>
      <c r="G90" s="37">
        <v>0.1</v>
      </c>
    </row>
    <row r="91" spans="3:14" x14ac:dyDescent="0.3">
      <c r="C91" s="28" t="s">
        <v>173</v>
      </c>
      <c r="F91" s="38">
        <v>0.2</v>
      </c>
      <c r="G91" s="38">
        <v>0.2</v>
      </c>
    </row>
    <row r="92" spans="3:14" x14ac:dyDescent="0.3">
      <c r="C92" s="34" t="s">
        <v>325</v>
      </c>
      <c r="D92" s="35"/>
      <c r="E92" s="35"/>
      <c r="F92" s="33">
        <f>IF(F88=0,0,ROUNDUP((F89+F88*F90)*(1+F91),0))</f>
        <v>1</v>
      </c>
      <c r="G92" s="33">
        <f>IF(G88=0,0,ROUNDUP((G89+G88*G90)*(1+G91),0))</f>
        <v>37</v>
      </c>
    </row>
    <row r="93" spans="3:14" ht="49.95" customHeight="1" x14ac:dyDescent="0.3">
      <c r="C93" s="56" t="s">
        <v>326</v>
      </c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</row>
    <row r="94" spans="3:14" ht="34.049999999999997" customHeight="1" x14ac:dyDescent="0.3">
      <c r="C94" t="s">
        <v>327</v>
      </c>
      <c r="F94" s="46"/>
      <c r="G94" s="46"/>
    </row>
    <row r="95" spans="3:14" ht="34.049999999999997" customHeight="1" x14ac:dyDescent="0.3">
      <c r="C95" t="s">
        <v>328</v>
      </c>
      <c r="F95" s="46">
        <v>0</v>
      </c>
      <c r="G95" s="46">
        <v>0</v>
      </c>
    </row>
    <row r="96" spans="3:14" ht="34.049999999999997" customHeight="1" x14ac:dyDescent="0.3">
      <c r="C96" s="47" t="s">
        <v>329</v>
      </c>
      <c r="D96" s="47"/>
      <c r="E96" s="47"/>
      <c r="F96" s="48">
        <f>ROUNDUP(MAX(IF(ISNUMBER(F94),F94,F92)-F95,0),0)</f>
        <v>1</v>
      </c>
      <c r="G96" s="48">
        <f>ROUNDUP(MAX(IF(ISNUMBER(G94),G94,G92)-G95,0),0)</f>
        <v>37</v>
      </c>
    </row>
    <row r="97" spans="3:14" ht="49.95" customHeight="1" x14ac:dyDescent="0.3">
      <c r="C97" s="57" t="s">
        <v>330</v>
      </c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</row>
  </sheetData>
  <mergeCells count="2">
    <mergeCell ref="C93:N93"/>
    <mergeCell ref="C97:N97"/>
  </mergeCells>
  <dataValidations count="1">
    <dataValidation type="list" allowBlank="1" showInputMessage="1" showErrorMessage="1" sqref="Q2" xr:uid="{00000000-0002-0000-0100-000000000000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0"/>
  <sheetViews>
    <sheetView showGridLines="0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2" customWidth="1"/>
    <col min="2" max="2" width="68" customWidth="1"/>
    <col min="3" max="3" width="10" customWidth="1"/>
    <col min="4" max="4" width="19" customWidth="1"/>
    <col min="5" max="5" width="20" customWidth="1"/>
    <col min="6" max="6" width="115" customWidth="1"/>
  </cols>
  <sheetData>
    <row r="1" spans="1:6" ht="42" customHeight="1" x14ac:dyDescent="0.3">
      <c r="A1" s="13" t="s">
        <v>176</v>
      </c>
      <c r="B1" s="13" t="s">
        <v>177</v>
      </c>
      <c r="C1" s="13" t="s">
        <v>8</v>
      </c>
      <c r="D1" s="13" t="s">
        <v>178</v>
      </c>
      <c r="E1" s="13" t="s">
        <v>179</v>
      </c>
      <c r="F1" s="13" t="s">
        <v>180</v>
      </c>
    </row>
    <row r="2" spans="1:6" ht="72" customHeight="1" x14ac:dyDescent="0.3">
      <c r="A2" s="5" t="s">
        <v>181</v>
      </c>
      <c r="B2" s="5" t="s">
        <v>182</v>
      </c>
      <c r="C2" s="19">
        <v>4</v>
      </c>
      <c r="D2" s="20">
        <v>365872</v>
      </c>
      <c r="E2" s="20">
        <f t="shared" ref="E2:E32" si="0">IF(AND(ISNUMBER(C2),ISNUMBER(D2)),C2*D2,"Por cotizar")</f>
        <v>1463488</v>
      </c>
      <c r="F2" s="27" t="s">
        <v>343</v>
      </c>
    </row>
    <row r="3" spans="1:6" ht="72" customHeight="1" x14ac:dyDescent="0.3">
      <c r="A3" s="5" t="s">
        <v>181</v>
      </c>
      <c r="B3" s="5" t="s">
        <v>183</v>
      </c>
      <c r="C3" s="19">
        <v>1</v>
      </c>
      <c r="D3" s="20">
        <v>212534</v>
      </c>
      <c r="E3" s="20">
        <f t="shared" si="0"/>
        <v>212534</v>
      </c>
      <c r="F3" s="27" t="s">
        <v>406</v>
      </c>
    </row>
    <row r="4" spans="1:6" ht="72" customHeight="1" x14ac:dyDescent="0.3">
      <c r="A4" s="5" t="s">
        <v>181</v>
      </c>
      <c r="B4" s="5" t="s">
        <v>184</v>
      </c>
      <c r="C4" s="19">
        <f>ROUNDUP(Cantos!F4/Cantos!H4,0)</f>
        <v>1</v>
      </c>
      <c r="D4" s="20">
        <v>531600</v>
      </c>
      <c r="E4" s="20">
        <f t="shared" si="0"/>
        <v>531600</v>
      </c>
      <c r="F4" s="27" t="s">
        <v>344</v>
      </c>
    </row>
    <row r="5" spans="1:6" ht="72" customHeight="1" x14ac:dyDescent="0.3">
      <c r="A5" s="5" t="s">
        <v>181</v>
      </c>
      <c r="B5" s="5" t="s">
        <v>185</v>
      </c>
      <c r="C5" s="19">
        <f>ROUNDUP(Cantos!F5/Cantos!H5,0)</f>
        <v>1</v>
      </c>
      <c r="D5" s="20">
        <v>285600</v>
      </c>
      <c r="E5" s="20">
        <f t="shared" si="0"/>
        <v>285600</v>
      </c>
      <c r="F5" s="27" t="s">
        <v>344</v>
      </c>
    </row>
    <row r="6" spans="1:6" ht="72" customHeight="1" x14ac:dyDescent="0.3">
      <c r="A6" s="5" t="s">
        <v>186</v>
      </c>
      <c r="B6" s="5" t="s">
        <v>174</v>
      </c>
      <c r="C6" s="19">
        <v>1</v>
      </c>
      <c r="D6" s="20">
        <v>41215</v>
      </c>
      <c r="E6" s="20">
        <f t="shared" si="0"/>
        <v>41215</v>
      </c>
      <c r="F6" s="27" t="s">
        <v>345</v>
      </c>
    </row>
    <row r="7" spans="1:6" ht="72" customHeight="1" x14ac:dyDescent="0.3">
      <c r="A7" s="5" t="s">
        <v>186</v>
      </c>
      <c r="B7" s="5" t="s">
        <v>175</v>
      </c>
      <c r="C7" s="19">
        <v>1</v>
      </c>
      <c r="D7" s="20">
        <v>51014</v>
      </c>
      <c r="E7" s="20">
        <f t="shared" si="0"/>
        <v>51014</v>
      </c>
      <c r="F7" s="27" t="s">
        <v>346</v>
      </c>
    </row>
    <row r="8" spans="1:6" ht="72" customHeight="1" x14ac:dyDescent="0.3">
      <c r="A8" s="5" t="s">
        <v>186</v>
      </c>
      <c r="B8" s="5" t="s">
        <v>187</v>
      </c>
      <c r="C8" s="19">
        <v>1</v>
      </c>
      <c r="D8" s="20">
        <v>47034</v>
      </c>
      <c r="E8" s="20">
        <f t="shared" si="0"/>
        <v>47034</v>
      </c>
      <c r="F8" s="5" t="s">
        <v>188</v>
      </c>
    </row>
    <row r="9" spans="1:6" ht="72" customHeight="1" x14ac:dyDescent="0.3">
      <c r="A9" s="5" t="s">
        <v>186</v>
      </c>
      <c r="B9" s="5" t="s">
        <v>189</v>
      </c>
      <c r="C9" s="19">
        <v>12</v>
      </c>
      <c r="D9" s="20">
        <v>17750</v>
      </c>
      <c r="E9" s="20">
        <f t="shared" si="0"/>
        <v>213000</v>
      </c>
      <c r="F9" s="27" t="s">
        <v>347</v>
      </c>
    </row>
    <row r="10" spans="1:6" ht="72" customHeight="1" x14ac:dyDescent="0.3">
      <c r="A10" s="5" t="s">
        <v>186</v>
      </c>
      <c r="B10" s="5" t="s">
        <v>190</v>
      </c>
      <c r="C10" s="19">
        <v>1</v>
      </c>
      <c r="D10" s="20">
        <v>63539</v>
      </c>
      <c r="E10" s="20">
        <f t="shared" si="0"/>
        <v>63539</v>
      </c>
      <c r="F10" s="5" t="s">
        <v>191</v>
      </c>
    </row>
    <row r="11" spans="1:6" ht="72" customHeight="1" x14ac:dyDescent="0.3">
      <c r="A11" s="5" t="s">
        <v>186</v>
      </c>
      <c r="B11" s="5" t="s">
        <v>192</v>
      </c>
      <c r="C11" s="19">
        <v>1</v>
      </c>
      <c r="D11" s="20">
        <v>38791</v>
      </c>
      <c r="E11" s="20">
        <f t="shared" si="0"/>
        <v>38791</v>
      </c>
      <c r="F11" s="5" t="s">
        <v>193</v>
      </c>
    </row>
    <row r="12" spans="1:6" ht="72" customHeight="1" x14ac:dyDescent="0.3">
      <c r="A12" s="5" t="s">
        <v>186</v>
      </c>
      <c r="B12" s="5" t="s">
        <v>194</v>
      </c>
      <c r="C12" s="19">
        <v>24</v>
      </c>
      <c r="D12" s="20">
        <v>2042</v>
      </c>
      <c r="E12" s="20">
        <f t="shared" si="0"/>
        <v>49008</v>
      </c>
      <c r="F12" s="27" t="s">
        <v>348</v>
      </c>
    </row>
    <row r="13" spans="1:6" ht="72" customHeight="1" x14ac:dyDescent="0.3">
      <c r="A13" s="5" t="s">
        <v>186</v>
      </c>
      <c r="B13" s="5" t="s">
        <v>195</v>
      </c>
      <c r="C13" s="19">
        <v>5</v>
      </c>
      <c r="D13" s="20" t="s">
        <v>196</v>
      </c>
      <c r="E13" s="20" t="str">
        <f t="shared" si="0"/>
        <v>Por cotizar</v>
      </c>
      <c r="F13" s="27" t="s">
        <v>349</v>
      </c>
    </row>
    <row r="14" spans="1:6" ht="72" customHeight="1" x14ac:dyDescent="0.3">
      <c r="A14" s="5" t="s">
        <v>186</v>
      </c>
      <c r="B14" s="5" t="s">
        <v>197</v>
      </c>
      <c r="C14" s="19">
        <v>1</v>
      </c>
      <c r="D14" s="20" t="s">
        <v>196</v>
      </c>
      <c r="E14" s="20" t="str">
        <f t="shared" si="0"/>
        <v>Por cotizar</v>
      </c>
      <c r="F14" s="27" t="s">
        <v>350</v>
      </c>
    </row>
    <row r="15" spans="1:6" ht="72" customHeight="1" x14ac:dyDescent="0.3">
      <c r="A15" s="5" t="s">
        <v>186</v>
      </c>
      <c r="B15" s="4" t="s">
        <v>220</v>
      </c>
      <c r="C15" s="19">
        <v>1</v>
      </c>
      <c r="D15" s="20">
        <v>122902</v>
      </c>
      <c r="E15" s="20">
        <f t="shared" si="0"/>
        <v>122902</v>
      </c>
      <c r="F15" s="5" t="s">
        <v>221</v>
      </c>
    </row>
    <row r="16" spans="1:6" ht="72" customHeight="1" x14ac:dyDescent="0.3">
      <c r="A16" s="5" t="s">
        <v>186</v>
      </c>
      <c r="B16" s="4" t="s">
        <v>222</v>
      </c>
      <c r="C16" s="19">
        <v>1</v>
      </c>
      <c r="D16" s="20">
        <v>109700</v>
      </c>
      <c r="E16" s="20">
        <f t="shared" si="0"/>
        <v>109700</v>
      </c>
      <c r="F16" s="5" t="s">
        <v>223</v>
      </c>
    </row>
    <row r="17" spans="1:6" ht="72" customHeight="1" x14ac:dyDescent="0.3">
      <c r="A17" s="5" t="s">
        <v>186</v>
      </c>
      <c r="B17" s="4" t="s">
        <v>224</v>
      </c>
      <c r="C17" s="19">
        <v>1</v>
      </c>
      <c r="D17" s="20">
        <v>12560</v>
      </c>
      <c r="E17" s="21">
        <f t="shared" si="0"/>
        <v>12560</v>
      </c>
      <c r="F17" s="5" t="s">
        <v>225</v>
      </c>
    </row>
    <row r="18" spans="1:6" ht="72" customHeight="1" x14ac:dyDescent="0.3">
      <c r="A18" s="5" t="s">
        <v>186</v>
      </c>
      <c r="B18" s="5" t="s">
        <v>226</v>
      </c>
      <c r="C18" s="19">
        <v>1</v>
      </c>
      <c r="D18" s="20" t="s">
        <v>196</v>
      </c>
      <c r="E18" s="20" t="str">
        <f t="shared" si="0"/>
        <v>Por cotizar</v>
      </c>
      <c r="F18" s="5" t="s">
        <v>227</v>
      </c>
    </row>
    <row r="19" spans="1:6" ht="72" customHeight="1" x14ac:dyDescent="0.3">
      <c r="A19" s="5" t="s">
        <v>186</v>
      </c>
      <c r="B19" s="5" t="s">
        <v>233</v>
      </c>
      <c r="C19" s="19">
        <v>2</v>
      </c>
      <c r="D19" s="20">
        <v>9126</v>
      </c>
      <c r="E19" s="20">
        <f t="shared" si="0"/>
        <v>18252</v>
      </c>
      <c r="F19" s="5" t="s">
        <v>234</v>
      </c>
    </row>
    <row r="20" spans="1:6" ht="72" customHeight="1" x14ac:dyDescent="0.3">
      <c r="A20" s="5" t="s">
        <v>186</v>
      </c>
      <c r="B20" s="5" t="s">
        <v>235</v>
      </c>
      <c r="C20" s="19">
        <v>10</v>
      </c>
      <c r="D20" s="20">
        <v>2998</v>
      </c>
      <c r="E20" s="20">
        <f t="shared" si="0"/>
        <v>29980</v>
      </c>
      <c r="F20" s="5" t="s">
        <v>236</v>
      </c>
    </row>
    <row r="21" spans="1:6" ht="72" customHeight="1" x14ac:dyDescent="0.3">
      <c r="A21" s="5" t="s">
        <v>198</v>
      </c>
      <c r="B21" s="5" t="s">
        <v>199</v>
      </c>
      <c r="C21" s="19">
        <v>1</v>
      </c>
      <c r="D21" s="20">
        <v>1486300</v>
      </c>
      <c r="E21" s="20">
        <f t="shared" si="0"/>
        <v>1486300</v>
      </c>
      <c r="F21" s="5" t="s">
        <v>200</v>
      </c>
    </row>
    <row r="22" spans="1:6" ht="72" customHeight="1" x14ac:dyDescent="0.3">
      <c r="A22" s="5" t="s">
        <v>198</v>
      </c>
      <c r="B22" s="5" t="s">
        <v>201</v>
      </c>
      <c r="C22" s="19">
        <v>1</v>
      </c>
      <c r="D22" s="20">
        <v>209900</v>
      </c>
      <c r="E22" s="20">
        <f t="shared" si="0"/>
        <v>209900</v>
      </c>
      <c r="F22" s="5" t="s">
        <v>202</v>
      </c>
    </row>
    <row r="23" spans="1:6" ht="72" customHeight="1" x14ac:dyDescent="0.3">
      <c r="A23" s="5" t="s">
        <v>198</v>
      </c>
      <c r="B23" s="5" t="s">
        <v>203</v>
      </c>
      <c r="C23" s="19">
        <v>1</v>
      </c>
      <c r="D23" s="20">
        <v>1864800</v>
      </c>
      <c r="E23" s="20">
        <f t="shared" si="0"/>
        <v>1864800</v>
      </c>
      <c r="F23" s="5" t="s">
        <v>204</v>
      </c>
    </row>
    <row r="24" spans="1:6" ht="72" customHeight="1" x14ac:dyDescent="0.3">
      <c r="A24" s="5" t="s">
        <v>198</v>
      </c>
      <c r="B24" s="5" t="s">
        <v>210</v>
      </c>
      <c r="C24" s="19">
        <v>1</v>
      </c>
      <c r="D24" s="20" t="s">
        <v>196</v>
      </c>
      <c r="E24" s="20" t="str">
        <f t="shared" si="0"/>
        <v>Por cotizar</v>
      </c>
      <c r="F24" s="5" t="s">
        <v>211</v>
      </c>
    </row>
    <row r="25" spans="1:6" ht="72" customHeight="1" x14ac:dyDescent="0.3">
      <c r="A25" s="5" t="s">
        <v>198</v>
      </c>
      <c r="B25" s="5" t="s">
        <v>212</v>
      </c>
      <c r="C25" s="19">
        <v>1</v>
      </c>
      <c r="D25" s="20" t="s">
        <v>196</v>
      </c>
      <c r="E25" s="20" t="str">
        <f t="shared" si="0"/>
        <v>Por cotizar</v>
      </c>
      <c r="F25" s="5" t="s">
        <v>213</v>
      </c>
    </row>
    <row r="26" spans="1:6" ht="72" customHeight="1" x14ac:dyDescent="0.3">
      <c r="A26" s="5" t="s">
        <v>198</v>
      </c>
      <c r="B26" s="5" t="s">
        <v>214</v>
      </c>
      <c r="C26" s="19">
        <v>1</v>
      </c>
      <c r="D26" s="20" t="s">
        <v>196</v>
      </c>
      <c r="E26" s="20" t="str">
        <f t="shared" si="0"/>
        <v>Por cotizar</v>
      </c>
      <c r="F26" s="5" t="s">
        <v>215</v>
      </c>
    </row>
    <row r="27" spans="1:6" ht="90" customHeight="1" x14ac:dyDescent="0.3">
      <c r="A27" s="5" t="s">
        <v>198</v>
      </c>
      <c r="B27" s="5" t="s">
        <v>228</v>
      </c>
      <c r="C27" s="19">
        <v>1</v>
      </c>
      <c r="D27" s="20" t="s">
        <v>196</v>
      </c>
      <c r="E27" s="20" t="str">
        <f t="shared" si="0"/>
        <v>Por cotizar</v>
      </c>
      <c r="F27" s="5" t="s">
        <v>229</v>
      </c>
    </row>
    <row r="28" spans="1:6" ht="72" customHeight="1" x14ac:dyDescent="0.3">
      <c r="A28" s="5" t="s">
        <v>230</v>
      </c>
      <c r="B28" s="5" t="s">
        <v>231</v>
      </c>
      <c r="C28" s="19">
        <v>1</v>
      </c>
      <c r="D28" s="20" t="s">
        <v>196</v>
      </c>
      <c r="E28" s="20" t="str">
        <f t="shared" si="0"/>
        <v>Por cotizar</v>
      </c>
      <c r="F28" s="5" t="s">
        <v>232</v>
      </c>
    </row>
    <row r="29" spans="1:6" ht="72" customHeight="1" x14ac:dyDescent="0.3">
      <c r="A29" s="5" t="s">
        <v>205</v>
      </c>
      <c r="B29" s="5" t="s">
        <v>206</v>
      </c>
      <c r="C29" s="19">
        <v>1</v>
      </c>
      <c r="D29" s="20" t="s">
        <v>196</v>
      </c>
      <c r="E29" s="20" t="str">
        <f t="shared" si="0"/>
        <v>Por cotizar</v>
      </c>
      <c r="F29" s="5" t="s">
        <v>207</v>
      </c>
    </row>
    <row r="30" spans="1:6" ht="72" customHeight="1" x14ac:dyDescent="0.3">
      <c r="A30" s="5" t="s">
        <v>205</v>
      </c>
      <c r="B30" s="5" t="s">
        <v>208</v>
      </c>
      <c r="C30" s="19">
        <v>1</v>
      </c>
      <c r="D30" s="20" t="s">
        <v>196</v>
      </c>
      <c r="E30" s="20" t="str">
        <f t="shared" si="0"/>
        <v>Por cotizar</v>
      </c>
      <c r="F30" s="5" t="s">
        <v>209</v>
      </c>
    </row>
    <row r="31" spans="1:6" ht="85.05" customHeight="1" x14ac:dyDescent="0.3">
      <c r="A31" s="5" t="s">
        <v>205</v>
      </c>
      <c r="B31" s="4" t="s">
        <v>216</v>
      </c>
      <c r="C31" s="19">
        <v>1</v>
      </c>
      <c r="D31" s="20" t="s">
        <v>196</v>
      </c>
      <c r="E31" s="20" t="str">
        <f t="shared" si="0"/>
        <v>Por cotizar</v>
      </c>
      <c r="F31" s="5" t="s">
        <v>217</v>
      </c>
    </row>
    <row r="32" spans="1:6" ht="90" customHeight="1" x14ac:dyDescent="0.3">
      <c r="A32" s="5" t="s">
        <v>205</v>
      </c>
      <c r="B32" s="4" t="s">
        <v>218</v>
      </c>
      <c r="C32" s="19">
        <v>1</v>
      </c>
      <c r="D32" s="20" t="s">
        <v>196</v>
      </c>
      <c r="E32" s="20" t="str">
        <f t="shared" si="0"/>
        <v>Por cotizar</v>
      </c>
      <c r="F32" s="5" t="s">
        <v>219</v>
      </c>
    </row>
    <row r="33" spans="1:6" ht="30" customHeight="1" x14ac:dyDescent="0.3">
      <c r="A33" s="5"/>
      <c r="B33" s="5" t="s">
        <v>237</v>
      </c>
      <c r="C33" s="5"/>
      <c r="D33" s="18"/>
      <c r="E33" s="20">
        <f>SUMIF(A2:A32,"Tableros y cantos",E2:E32)</f>
        <v>2493222</v>
      </c>
      <c r="F33" s="5"/>
    </row>
    <row r="34" spans="1:6" ht="30" customHeight="1" x14ac:dyDescent="0.3">
      <c r="A34" s="5"/>
      <c r="B34" s="5" t="s">
        <v>238</v>
      </c>
      <c r="C34" s="5"/>
      <c r="D34" s="18"/>
      <c r="E34" s="20">
        <f>SUMIF(A2:A32,"Herrajes",E2:E32)</f>
        <v>796995</v>
      </c>
      <c r="F34" s="5"/>
    </row>
    <row r="35" spans="1:6" ht="30" customHeight="1" x14ac:dyDescent="0.3">
      <c r="A35" s="5"/>
      <c r="B35" s="5" t="s">
        <v>239</v>
      </c>
      <c r="C35" s="5"/>
      <c r="D35" s="18"/>
      <c r="E35" s="20">
        <f>SUMIF(A2:A32,"Mesón y equipos",E2:E32)</f>
        <v>3561000</v>
      </c>
      <c r="F35" s="5"/>
    </row>
    <row r="36" spans="1:6" ht="30" customHeight="1" x14ac:dyDescent="0.3">
      <c r="A36" s="5"/>
      <c r="B36" s="5" t="s">
        <v>240</v>
      </c>
      <c r="C36" s="5"/>
      <c r="D36" s="5"/>
      <c r="E36" s="20">
        <f>SUMIF(A2:A32,"Servicios",E2:E32)</f>
        <v>0</v>
      </c>
      <c r="F36" s="5"/>
    </row>
    <row r="37" spans="1:6" ht="30" customHeight="1" x14ac:dyDescent="0.3">
      <c r="A37" s="5"/>
      <c r="B37" s="5" t="s">
        <v>241</v>
      </c>
      <c r="C37" s="5"/>
      <c r="D37" s="5"/>
      <c r="E37" s="20">
        <f>SUMIF(A2:A32,"Accesorios",E2:E32)</f>
        <v>0</v>
      </c>
      <c r="F37" s="5"/>
    </row>
    <row r="38" spans="1:6" ht="30" customHeight="1" x14ac:dyDescent="0.3">
      <c r="A38" s="22"/>
      <c r="B38" s="22" t="s">
        <v>242</v>
      </c>
      <c r="C38" s="22"/>
      <c r="D38" s="22"/>
      <c r="E38" s="23">
        <f>SUM(E2:E32)</f>
        <v>6851217</v>
      </c>
      <c r="F38" s="22" t="s">
        <v>243</v>
      </c>
    </row>
    <row r="39" spans="1:6" ht="30" customHeight="1" x14ac:dyDescent="0.3">
      <c r="A39" s="5"/>
      <c r="B39" s="5" t="s">
        <v>244</v>
      </c>
      <c r="C39" s="5"/>
      <c r="D39" s="5"/>
      <c r="E39" s="15">
        <f>ROWS(D2:D32)-COUNT(D2:D32)</f>
        <v>12</v>
      </c>
      <c r="F39" s="5" t="s">
        <v>245</v>
      </c>
    </row>
    <row r="40" spans="1:6" ht="27.6" x14ac:dyDescent="0.3">
      <c r="A40" s="5"/>
      <c r="B40" s="5" t="s">
        <v>246</v>
      </c>
      <c r="C40" s="5"/>
      <c r="D40" s="5"/>
      <c r="E40" s="20" t="str">
        <f>IF(E39=0,E38,"Pendiente de cotizaciones")</f>
        <v>Pendiente de cotizaciones</v>
      </c>
      <c r="F40" s="5" t="s">
        <v>247</v>
      </c>
    </row>
  </sheetData>
  <sortState xmlns:xlrd2="http://schemas.microsoft.com/office/spreadsheetml/2017/richdata2" ref="A2:G32">
    <sortCondition ref="G2"/>
  </sortState>
  <conditionalFormatting sqref="D2:D26">
    <cfRule type="containsText" dxfId="0" priority="1" operator="containsText" text="cotizar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7"/>
  <sheetViews>
    <sheetView showGridLines="0" workbookViewId="0">
      <pane ySplit="3" topLeftCell="A4" activePane="bottomLeft" state="frozen"/>
      <selection pane="bottomLeft"/>
    </sheetView>
  </sheetViews>
  <sheetFormatPr baseColWidth="10" defaultColWidth="8.88671875" defaultRowHeight="14.4" x14ac:dyDescent="0.3"/>
  <cols>
    <col min="1" max="1" width="23" customWidth="1"/>
    <col min="2" max="2" width="55" customWidth="1"/>
    <col min="3" max="3" width="17" customWidth="1"/>
    <col min="4" max="4" width="18" customWidth="1"/>
    <col min="5" max="5" width="22" customWidth="1"/>
    <col min="6" max="6" width="18" customWidth="1"/>
    <col min="7" max="7" width="3" customWidth="1"/>
    <col min="8" max="8" width="22" customWidth="1"/>
    <col min="9" max="9" width="12" customWidth="1"/>
  </cols>
  <sheetData>
    <row r="1" spans="1:9" ht="30" customHeight="1" x14ac:dyDescent="0.3">
      <c r="A1" s="4" t="s">
        <v>248</v>
      </c>
      <c r="B1" s="5"/>
      <c r="C1" s="5"/>
      <c r="D1" s="5"/>
      <c r="E1" s="5"/>
      <c r="F1" s="5"/>
      <c r="G1" s="5"/>
      <c r="H1" s="5"/>
      <c r="I1" s="5"/>
    </row>
    <row r="2" spans="1:9" ht="30" customHeight="1" x14ac:dyDescent="0.3">
      <c r="A2" s="5"/>
      <c r="B2" s="5"/>
      <c r="C2" s="5"/>
      <c r="D2" s="5"/>
      <c r="E2" s="5"/>
      <c r="F2" s="5"/>
      <c r="G2" s="5"/>
      <c r="H2" s="5" t="s">
        <v>249</v>
      </c>
      <c r="I2" s="14">
        <v>0.05</v>
      </c>
    </row>
    <row r="3" spans="1:9" ht="42" customHeight="1" x14ac:dyDescent="0.3">
      <c r="A3" s="13" t="s">
        <v>250</v>
      </c>
      <c r="B3" s="13" t="s">
        <v>251</v>
      </c>
      <c r="C3" s="13" t="s">
        <v>171</v>
      </c>
      <c r="D3" s="13" t="s">
        <v>252</v>
      </c>
      <c r="E3" s="13" t="s">
        <v>253</v>
      </c>
      <c r="F3" s="13" t="s">
        <v>254</v>
      </c>
      <c r="G3" s="17"/>
      <c r="H3" s="17" t="s">
        <v>255</v>
      </c>
      <c r="I3" s="17"/>
    </row>
    <row r="4" spans="1:9" ht="30" customHeight="1" x14ac:dyDescent="0.3">
      <c r="A4" s="5" t="s">
        <v>167</v>
      </c>
      <c r="B4" s="5" t="s">
        <v>256</v>
      </c>
      <c r="C4" s="7">
        <f>SUMPRODUCT(Despiece!$G$5:$G$78,Despiece!$E$5:$E$78,(Despiece!$H$5:$H$78="2")+(Despiece!$I$5:$I$78="2"))/1000+SUMPRODUCT(Despiece!$G$5:$G$78,Despiece!$F$5:$F$78,(Despiece!$J$5:$J$78="2")+(Despiece!$K$5:$K$78="2"))/1000</f>
        <v>58.947000000000003</v>
      </c>
      <c r="D4" s="15">
        <f>SUMPRODUCT(Despiece!$G$5:$G$78,(Despiece!$H$5:$H$78="2")+(Despiece!$I$5:$I$78="2")+(Despiece!$J$5:$J$78="2")+(Despiece!$K$5:$K$78="2"))</f>
        <v>118</v>
      </c>
      <c r="E4" s="7">
        <f>D4*$I$2</f>
        <v>5.9</v>
      </c>
      <c r="F4" s="7">
        <f>ROUNDUP((C4+E4)/5,0)*5</f>
        <v>65</v>
      </c>
      <c r="G4" s="5"/>
      <c r="H4" s="16">
        <v>100</v>
      </c>
      <c r="I4" s="5"/>
    </row>
    <row r="5" spans="1:9" ht="30" customHeight="1" x14ac:dyDescent="0.3">
      <c r="A5" s="5" t="s">
        <v>168</v>
      </c>
      <c r="B5" s="27" t="s">
        <v>257</v>
      </c>
      <c r="C5" s="7">
        <f>SUMPRODUCT(Despiece!$G$5:$G$78,Despiece!$E$5:$E$78,(Despiece!$H$5:$H$78="0.45")+(Despiece!$I$5:$I$78="0.45"))/1000+SUMPRODUCT(Despiece!$G$5:$G$78,Despiece!$F$5:$F$78,(Despiece!$J$5:$J$78="0.45")+(Despiece!$K$5:$K$78="0.45"))/1000</f>
        <v>39.207999999999998</v>
      </c>
      <c r="D5" s="15">
        <f>SUMPRODUCT(Despiece!$G$5:$G$78,(Despiece!$H$5:$H$78="0.45")+(Despiece!$I$5:$I$78="0.45")+(Despiece!$J$5:$J$78="0.45")+(Despiece!$K$5:$K$78="0.45"))</f>
        <v>94</v>
      </c>
      <c r="E5" s="7">
        <f>D5*$I$2</f>
        <v>4.7</v>
      </c>
      <c r="F5" s="7">
        <f>ROUNDUP((C5+E5)/5,0)*5</f>
        <v>45</v>
      </c>
      <c r="G5" s="5"/>
      <c r="H5" s="16">
        <v>200</v>
      </c>
      <c r="I5" s="5"/>
    </row>
    <row r="6" spans="1:9" ht="30" customHeight="1" x14ac:dyDescent="0.3">
      <c r="A6" s="5"/>
      <c r="B6" s="5"/>
      <c r="C6" s="5"/>
      <c r="D6" s="5"/>
      <c r="E6" s="5"/>
      <c r="F6" s="5"/>
      <c r="G6" s="5"/>
      <c r="H6" s="5"/>
      <c r="I6" s="5"/>
    </row>
    <row r="7" spans="1:9" ht="30" customHeight="1" x14ac:dyDescent="0.3">
      <c r="A7" s="58" t="s">
        <v>258</v>
      </c>
      <c r="B7" s="53"/>
      <c r="C7" s="53"/>
      <c r="D7" s="53"/>
      <c r="E7" s="53"/>
      <c r="F7" s="53"/>
      <c r="G7" s="53"/>
      <c r="H7" s="53"/>
      <c r="I7" s="53"/>
    </row>
  </sheetData>
  <mergeCells count="1">
    <mergeCell ref="A7:I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42AB0-EEBD-463C-8609-849041AE17E7}">
  <dimension ref="A2:E17"/>
  <sheetViews>
    <sheetView workbookViewId="0"/>
  </sheetViews>
  <sheetFormatPr baseColWidth="10" defaultRowHeight="14.4" x14ac:dyDescent="0.3"/>
  <cols>
    <col min="1" max="1" width="5.77734375" customWidth="1"/>
    <col min="2" max="2" width="24.77734375" customWidth="1"/>
    <col min="3" max="3" width="80.77734375" customWidth="1"/>
    <col min="4" max="5" width="26.77734375" customWidth="1"/>
  </cols>
  <sheetData>
    <row r="2" spans="1:5" ht="18" x14ac:dyDescent="0.35">
      <c r="A2" s="29" t="s">
        <v>352</v>
      </c>
    </row>
    <row r="3" spans="1:5" x14ac:dyDescent="0.3">
      <c r="A3" s="30" t="s">
        <v>353</v>
      </c>
    </row>
    <row r="6" spans="1:5" x14ac:dyDescent="0.3">
      <c r="A6" s="49" t="s">
        <v>2</v>
      </c>
      <c r="B6" s="49" t="s">
        <v>259</v>
      </c>
      <c r="C6" s="49" t="s">
        <v>354</v>
      </c>
      <c r="D6" s="49" t="s">
        <v>355</v>
      </c>
      <c r="E6" s="49" t="s">
        <v>356</v>
      </c>
    </row>
    <row r="7" spans="1:5" ht="28.8" x14ac:dyDescent="0.3">
      <c r="A7" s="50">
        <v>1</v>
      </c>
      <c r="B7" s="51" t="s">
        <v>357</v>
      </c>
      <c r="C7" s="51" t="s">
        <v>358</v>
      </c>
      <c r="D7" s="51" t="s">
        <v>359</v>
      </c>
      <c r="E7" s="51" t="s">
        <v>360</v>
      </c>
    </row>
    <row r="8" spans="1:5" ht="28.8" x14ac:dyDescent="0.3">
      <c r="A8" s="50">
        <v>2</v>
      </c>
      <c r="B8" s="51" t="s">
        <v>361</v>
      </c>
      <c r="C8" s="51" t="s">
        <v>362</v>
      </c>
      <c r="D8" s="51" t="s">
        <v>411</v>
      </c>
      <c r="E8" s="51" t="s">
        <v>363</v>
      </c>
    </row>
    <row r="9" spans="1:5" ht="43.2" x14ac:dyDescent="0.3">
      <c r="A9" s="50">
        <v>3</v>
      </c>
      <c r="B9" s="51" t="s">
        <v>364</v>
      </c>
      <c r="C9" s="51" t="s">
        <v>365</v>
      </c>
      <c r="D9" s="51" t="s">
        <v>412</v>
      </c>
      <c r="E9" s="51" t="s">
        <v>366</v>
      </c>
    </row>
    <row r="10" spans="1:5" ht="28.8" x14ac:dyDescent="0.3">
      <c r="A10" s="50">
        <v>4</v>
      </c>
      <c r="B10" s="51" t="s">
        <v>367</v>
      </c>
      <c r="C10" s="51" t="s">
        <v>368</v>
      </c>
      <c r="D10" s="51" t="s">
        <v>369</v>
      </c>
      <c r="E10" s="51" t="s">
        <v>370</v>
      </c>
    </row>
    <row r="11" spans="1:5" ht="57.6" x14ac:dyDescent="0.3">
      <c r="A11" s="50">
        <v>5</v>
      </c>
      <c r="B11" s="51" t="s">
        <v>371</v>
      </c>
      <c r="C11" s="51" t="s">
        <v>372</v>
      </c>
      <c r="D11" s="51" t="s">
        <v>373</v>
      </c>
      <c r="E11" s="51" t="s">
        <v>374</v>
      </c>
    </row>
    <row r="12" spans="1:5" ht="43.2" x14ac:dyDescent="0.3">
      <c r="A12" s="50">
        <v>6</v>
      </c>
      <c r="B12" s="51" t="s">
        <v>375</v>
      </c>
      <c r="C12" s="51" t="s">
        <v>376</v>
      </c>
      <c r="D12" s="51" t="s">
        <v>377</v>
      </c>
      <c r="E12" s="51" t="s">
        <v>378</v>
      </c>
    </row>
    <row r="13" spans="1:5" ht="28.8" x14ac:dyDescent="0.3">
      <c r="A13" s="50">
        <v>7</v>
      </c>
      <c r="B13" s="51" t="s">
        <v>379</v>
      </c>
      <c r="C13" s="51" t="s">
        <v>380</v>
      </c>
      <c r="D13" s="51" t="s">
        <v>381</v>
      </c>
      <c r="E13" s="51" t="s">
        <v>382</v>
      </c>
    </row>
    <row r="14" spans="1:5" ht="28.8" x14ac:dyDescent="0.3">
      <c r="A14" s="50">
        <v>8</v>
      </c>
      <c r="B14" s="51" t="s">
        <v>383</v>
      </c>
      <c r="C14" s="51" t="s">
        <v>384</v>
      </c>
      <c r="D14" s="51" t="s">
        <v>385</v>
      </c>
      <c r="E14" s="51" t="s">
        <v>386</v>
      </c>
    </row>
    <row r="15" spans="1:5" x14ac:dyDescent="0.3">
      <c r="A15" s="50">
        <v>9</v>
      </c>
      <c r="B15" s="51" t="s">
        <v>387</v>
      </c>
      <c r="C15" s="51" t="s">
        <v>388</v>
      </c>
      <c r="D15" s="51" t="s">
        <v>385</v>
      </c>
      <c r="E15" s="51" t="s">
        <v>389</v>
      </c>
    </row>
    <row r="16" spans="1:5" ht="28.8" x14ac:dyDescent="0.3">
      <c r="A16" s="50">
        <v>10</v>
      </c>
      <c r="B16" s="51" t="s">
        <v>390</v>
      </c>
      <c r="C16" s="51" t="s">
        <v>391</v>
      </c>
      <c r="D16" s="51" t="s">
        <v>385</v>
      </c>
      <c r="E16" s="51" t="s">
        <v>392</v>
      </c>
    </row>
    <row r="17" spans="1:5" x14ac:dyDescent="0.3">
      <c r="A17" s="50">
        <v>11</v>
      </c>
      <c r="B17" s="51" t="s">
        <v>393</v>
      </c>
      <c r="C17" s="51" t="s">
        <v>394</v>
      </c>
      <c r="D17" s="51" t="s">
        <v>395</v>
      </c>
      <c r="E17" s="51" t="s">
        <v>396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35FAE-E2A1-4C9F-A08B-6BCDCAA7F1FA}">
  <dimension ref="A2:D16"/>
  <sheetViews>
    <sheetView workbookViewId="0">
      <selection activeCell="A16" sqref="A16:XFD16"/>
    </sheetView>
  </sheetViews>
  <sheetFormatPr baseColWidth="10" defaultRowHeight="14.4" x14ac:dyDescent="0.3"/>
  <cols>
    <col min="1" max="1" width="24.77734375" customWidth="1"/>
    <col min="2" max="2" width="80.77734375" customWidth="1"/>
    <col min="3" max="3" width="24.77734375" customWidth="1"/>
    <col min="4" max="4" width="36.77734375" customWidth="1"/>
  </cols>
  <sheetData>
    <row r="2" spans="1:4" ht="18" x14ac:dyDescent="0.35">
      <c r="A2" s="29" t="s">
        <v>397</v>
      </c>
    </row>
    <row r="3" spans="1:4" x14ac:dyDescent="0.3">
      <c r="A3" s="30" t="s">
        <v>398</v>
      </c>
    </row>
    <row r="6" spans="1:4" x14ac:dyDescent="0.3">
      <c r="A6" s="49" t="s">
        <v>259</v>
      </c>
      <c r="B6" s="49" t="s">
        <v>399</v>
      </c>
      <c r="C6" s="49" t="s">
        <v>400</v>
      </c>
      <c r="D6" s="49" t="s">
        <v>401</v>
      </c>
    </row>
    <row r="7" spans="1:4" ht="28.8" x14ac:dyDescent="0.3">
      <c r="A7" s="51" t="s">
        <v>260</v>
      </c>
      <c r="B7" s="51" t="s">
        <v>261</v>
      </c>
      <c r="C7" s="51" t="s">
        <v>262</v>
      </c>
      <c r="D7" s="51" t="s">
        <v>263</v>
      </c>
    </row>
    <row r="8" spans="1:4" ht="28.8" x14ac:dyDescent="0.3">
      <c r="A8" s="51" t="s">
        <v>264</v>
      </c>
      <c r="B8" s="51" t="s">
        <v>265</v>
      </c>
      <c r="C8" s="51" t="s">
        <v>266</v>
      </c>
      <c r="D8" s="51" t="s">
        <v>267</v>
      </c>
    </row>
    <row r="9" spans="1:4" ht="28.8" x14ac:dyDescent="0.3">
      <c r="A9" s="51" t="s">
        <v>268</v>
      </c>
      <c r="B9" s="51" t="s">
        <v>269</v>
      </c>
      <c r="C9" s="51" t="s">
        <v>270</v>
      </c>
      <c r="D9" s="51" t="s">
        <v>271</v>
      </c>
    </row>
    <row r="10" spans="1:4" ht="28.8" x14ac:dyDescent="0.3">
      <c r="A10" s="51" t="s">
        <v>272</v>
      </c>
      <c r="B10" s="51" t="s">
        <v>273</v>
      </c>
      <c r="C10" s="51" t="s">
        <v>274</v>
      </c>
      <c r="D10" s="51" t="s">
        <v>275</v>
      </c>
    </row>
    <row r="11" spans="1:4" x14ac:dyDescent="0.3">
      <c r="A11" s="51" t="s">
        <v>276</v>
      </c>
      <c r="B11" s="51" t="s">
        <v>277</v>
      </c>
      <c r="C11" s="51" t="s">
        <v>278</v>
      </c>
      <c r="D11" s="51" t="s">
        <v>279</v>
      </c>
    </row>
    <row r="12" spans="1:4" ht="43.2" x14ac:dyDescent="0.3">
      <c r="A12" s="51" t="s">
        <v>280</v>
      </c>
      <c r="B12" s="51" t="s">
        <v>281</v>
      </c>
      <c r="C12" s="51" t="s">
        <v>282</v>
      </c>
      <c r="D12" s="51" t="s">
        <v>283</v>
      </c>
    </row>
    <row r="13" spans="1:4" ht="57.6" x14ac:dyDescent="0.3">
      <c r="A13" s="51" t="s">
        <v>284</v>
      </c>
      <c r="B13" s="51" t="s">
        <v>285</v>
      </c>
      <c r="C13" s="51" t="s">
        <v>286</v>
      </c>
      <c r="D13" s="51" t="s">
        <v>287</v>
      </c>
    </row>
    <row r="14" spans="1:4" ht="57.6" x14ac:dyDescent="0.3">
      <c r="A14" s="51" t="s">
        <v>288</v>
      </c>
      <c r="B14" s="51" t="s">
        <v>331</v>
      </c>
      <c r="C14" s="51" t="s">
        <v>289</v>
      </c>
      <c r="D14" s="51" t="s">
        <v>290</v>
      </c>
    </row>
    <row r="15" spans="1:4" ht="28.8" x14ac:dyDescent="0.3">
      <c r="A15" s="51" t="s">
        <v>402</v>
      </c>
      <c r="B15" s="51" t="s">
        <v>403</v>
      </c>
      <c r="C15" s="51" t="s">
        <v>404</v>
      </c>
      <c r="D15" s="51" t="s">
        <v>405</v>
      </c>
    </row>
    <row r="16" spans="1:4" ht="57.6" x14ac:dyDescent="0.3">
      <c r="A16" s="51" t="s">
        <v>413</v>
      </c>
      <c r="B16" s="51" t="s">
        <v>414</v>
      </c>
      <c r="C16" s="51" t="s">
        <v>359</v>
      </c>
      <c r="D16" s="51" t="s">
        <v>405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3"/>
  <sheetViews>
    <sheetView showGridLines="0" workbookViewId="0">
      <pane ySplit="11" topLeftCell="A12" activePane="bottomLeft" state="frozen"/>
      <selection pane="bottomLeft"/>
    </sheetView>
  </sheetViews>
  <sheetFormatPr baseColWidth="10" defaultColWidth="8.88671875" defaultRowHeight="14.4" x14ac:dyDescent="0.3"/>
  <cols>
    <col min="1" max="1" width="44" customWidth="1"/>
    <col min="2" max="3" width="16" customWidth="1"/>
    <col min="4" max="6" width="14" customWidth="1"/>
    <col min="7" max="7" width="120" customWidth="1"/>
    <col min="8" max="8" width="35" customWidth="1"/>
  </cols>
  <sheetData>
    <row r="1" spans="1:8" ht="30" customHeight="1" x14ac:dyDescent="0.3">
      <c r="A1" s="5"/>
      <c r="B1" s="5"/>
      <c r="C1" s="5"/>
      <c r="D1" s="5"/>
      <c r="E1" s="5"/>
      <c r="F1" s="5"/>
      <c r="G1" s="5"/>
      <c r="H1" s="5"/>
    </row>
    <row r="2" spans="1:8" ht="30" customHeight="1" x14ac:dyDescent="0.3">
      <c r="A2" s="5" t="s">
        <v>291</v>
      </c>
      <c r="B2" s="5"/>
      <c r="C2" s="5"/>
      <c r="D2" s="5"/>
      <c r="E2" s="5"/>
      <c r="F2" s="5"/>
      <c r="G2" s="5"/>
      <c r="H2" s="5"/>
    </row>
    <row r="3" spans="1:8" ht="30" customHeight="1" x14ac:dyDescent="0.3">
      <c r="A3" s="5" t="s">
        <v>292</v>
      </c>
      <c r="B3" s="24">
        <v>3000</v>
      </c>
      <c r="C3" s="5"/>
      <c r="D3" s="5"/>
      <c r="E3" s="5"/>
      <c r="F3" s="5"/>
      <c r="G3" s="5"/>
      <c r="H3" s="5"/>
    </row>
    <row r="4" spans="1:8" ht="30" customHeight="1" x14ac:dyDescent="0.3">
      <c r="A4" s="5" t="s">
        <v>293</v>
      </c>
      <c r="B4" s="24">
        <v>2600</v>
      </c>
      <c r="C4" s="5"/>
      <c r="D4" s="5"/>
      <c r="E4" s="5"/>
      <c r="F4" s="5"/>
      <c r="G4" s="5"/>
      <c r="H4" s="5"/>
    </row>
    <row r="5" spans="1:8" ht="30" customHeight="1" x14ac:dyDescent="0.3">
      <c r="A5" s="5" t="s">
        <v>294</v>
      </c>
      <c r="B5" s="24">
        <v>200</v>
      </c>
      <c r="C5" s="5"/>
      <c r="D5" s="5"/>
      <c r="E5" s="5"/>
      <c r="F5" s="5"/>
      <c r="G5" s="5"/>
      <c r="H5" s="5"/>
    </row>
    <row r="6" spans="1:8" ht="30" customHeight="1" x14ac:dyDescent="0.3">
      <c r="A6" s="5" t="s">
        <v>295</v>
      </c>
      <c r="B6" s="5">
        <f>B3-B5-B4</f>
        <v>200</v>
      </c>
      <c r="C6" s="5"/>
      <c r="D6" s="5"/>
      <c r="E6" s="5"/>
      <c r="F6" s="5"/>
      <c r="G6" s="5"/>
      <c r="H6" s="5"/>
    </row>
    <row r="7" spans="1:8" ht="30" customHeight="1" x14ac:dyDescent="0.3">
      <c r="A7" s="5" t="s">
        <v>296</v>
      </c>
      <c r="B7" s="5">
        <f>B3-B5</f>
        <v>2800</v>
      </c>
      <c r="C7" s="5"/>
      <c r="D7" s="5"/>
      <c r="E7" s="5"/>
      <c r="F7" s="5"/>
      <c r="G7" s="5"/>
      <c r="H7" s="5"/>
    </row>
    <row r="8" spans="1:8" ht="30" customHeight="1" x14ac:dyDescent="0.3">
      <c r="A8" s="5" t="s">
        <v>297</v>
      </c>
      <c r="B8" s="24">
        <v>15</v>
      </c>
      <c r="C8" s="5"/>
      <c r="D8" s="5"/>
      <c r="E8" s="5"/>
      <c r="F8" s="5"/>
      <c r="G8" s="5"/>
      <c r="H8" s="5"/>
    </row>
    <row r="9" spans="1:8" ht="30" customHeight="1" x14ac:dyDescent="0.3">
      <c r="A9" s="5"/>
      <c r="B9" s="5"/>
      <c r="C9" s="5"/>
      <c r="D9" s="5"/>
      <c r="E9" s="5"/>
      <c r="F9" s="5"/>
      <c r="G9" s="5"/>
      <c r="H9" s="5"/>
    </row>
    <row r="10" spans="1:8" ht="30" customHeight="1" x14ac:dyDescent="0.3">
      <c r="A10" s="5"/>
      <c r="B10" s="5"/>
      <c r="C10" s="5"/>
      <c r="D10" s="5"/>
      <c r="E10" s="5"/>
      <c r="F10" s="5"/>
      <c r="G10" s="5"/>
      <c r="H10" s="5"/>
    </row>
    <row r="11" spans="1:8" ht="42" customHeight="1" x14ac:dyDescent="0.3">
      <c r="A11" s="17" t="s">
        <v>298</v>
      </c>
      <c r="B11" s="17" t="s">
        <v>299</v>
      </c>
      <c r="C11" s="17" t="s">
        <v>300</v>
      </c>
      <c r="D11" s="17" t="s">
        <v>301</v>
      </c>
      <c r="E11" s="17" t="s">
        <v>302</v>
      </c>
      <c r="F11" s="17" t="s">
        <v>303</v>
      </c>
      <c r="G11" s="17" t="s">
        <v>304</v>
      </c>
      <c r="H11" s="17" t="s">
        <v>305</v>
      </c>
    </row>
    <row r="12" spans="1:8" ht="61.95" customHeight="1" x14ac:dyDescent="0.3">
      <c r="A12" s="5" t="s">
        <v>306</v>
      </c>
      <c r="B12" s="10">
        <f>B6</f>
        <v>200</v>
      </c>
      <c r="C12" s="10">
        <f>B7</f>
        <v>2800</v>
      </c>
      <c r="D12" s="10">
        <f>B4</f>
        <v>2600</v>
      </c>
      <c r="E12" s="10">
        <v>15</v>
      </c>
      <c r="F12" s="10">
        <v>620</v>
      </c>
      <c r="G12" s="5" t="s">
        <v>307</v>
      </c>
      <c r="H12" s="5" t="s">
        <v>308</v>
      </c>
    </row>
    <row r="13" spans="1:8" ht="61.95" customHeight="1" x14ac:dyDescent="0.3">
      <c r="A13" s="5" t="s">
        <v>309</v>
      </c>
      <c r="B13" s="10">
        <f>B6+B8</f>
        <v>215</v>
      </c>
      <c r="C13" s="10">
        <f t="shared" ref="C13:C23" si="0">B13+D13</f>
        <v>230</v>
      </c>
      <c r="D13" s="10">
        <v>15</v>
      </c>
      <c r="E13" s="10">
        <f>Despiece!E44</f>
        <v>882</v>
      </c>
      <c r="F13" s="10">
        <f>Despiece!F44</f>
        <v>595</v>
      </c>
      <c r="G13" s="5" t="s">
        <v>310</v>
      </c>
      <c r="H13" s="5" t="s">
        <v>311</v>
      </c>
    </row>
    <row r="14" spans="1:8" ht="61.95" customHeight="1" x14ac:dyDescent="0.3">
      <c r="A14" s="5" t="s">
        <v>16</v>
      </c>
      <c r="B14" s="10">
        <f>C13</f>
        <v>230</v>
      </c>
      <c r="C14" s="10">
        <f t="shared" si="0"/>
        <v>410</v>
      </c>
      <c r="D14" s="10">
        <f>Despiece!E6+30</f>
        <v>180</v>
      </c>
      <c r="E14" s="10">
        <f>Despiece!E5</f>
        <v>785</v>
      </c>
      <c r="F14" s="10">
        <f>Despiece!F5</f>
        <v>580</v>
      </c>
      <c r="G14" s="27" t="s">
        <v>333</v>
      </c>
      <c r="H14" s="27" t="s">
        <v>311</v>
      </c>
    </row>
    <row r="15" spans="1:8" ht="61.95" customHeight="1" x14ac:dyDescent="0.3">
      <c r="A15" s="5" t="s">
        <v>32</v>
      </c>
      <c r="B15" s="10">
        <f>C14</f>
        <v>410</v>
      </c>
      <c r="C15" s="10">
        <f t="shared" si="0"/>
        <v>1010</v>
      </c>
      <c r="D15" s="10">
        <f>Despiece!E11+30</f>
        <v>600</v>
      </c>
      <c r="E15" s="10">
        <f>Despiece!E10</f>
        <v>785</v>
      </c>
      <c r="F15" s="10">
        <f>Despiece!F10</f>
        <v>580</v>
      </c>
      <c r="G15" s="27" t="s">
        <v>334</v>
      </c>
      <c r="H15" s="27" t="s">
        <v>311</v>
      </c>
    </row>
    <row r="16" spans="1:8" ht="61.95" customHeight="1" x14ac:dyDescent="0.3">
      <c r="A16" s="5" t="s">
        <v>44</v>
      </c>
      <c r="B16" s="10">
        <f>C15</f>
        <v>1010</v>
      </c>
      <c r="C16" s="10">
        <f t="shared" si="0"/>
        <v>1680</v>
      </c>
      <c r="D16" s="10">
        <f>Despiece!E17+30</f>
        <v>670</v>
      </c>
      <c r="E16" s="10">
        <f>Despiece!E16</f>
        <v>785</v>
      </c>
      <c r="F16" s="10">
        <f>Despiece!F16</f>
        <v>580</v>
      </c>
      <c r="G16" s="27" t="s">
        <v>335</v>
      </c>
      <c r="H16" s="27" t="s">
        <v>311</v>
      </c>
    </row>
    <row r="17" spans="1:8" ht="61.95" customHeight="1" x14ac:dyDescent="0.3">
      <c r="A17" s="5" t="s">
        <v>63</v>
      </c>
      <c r="B17" s="10">
        <f>C16</f>
        <v>1680</v>
      </c>
      <c r="C17" s="10">
        <f t="shared" si="0"/>
        <v>2380</v>
      </c>
      <c r="D17" s="10">
        <f>Despiece!E28+30</f>
        <v>700</v>
      </c>
      <c r="E17" s="10">
        <f>Despiece!E27</f>
        <v>785</v>
      </c>
      <c r="F17" s="10">
        <f>Despiece!F27</f>
        <v>580</v>
      </c>
      <c r="G17" s="27" t="s">
        <v>336</v>
      </c>
      <c r="H17" s="27" t="s">
        <v>311</v>
      </c>
    </row>
    <row r="18" spans="1:8" ht="109.95" customHeight="1" x14ac:dyDescent="0.3">
      <c r="A18" s="5" t="s">
        <v>75</v>
      </c>
      <c r="B18" s="10">
        <f>C17</f>
        <v>2380</v>
      </c>
      <c r="C18" s="10">
        <f t="shared" si="0"/>
        <v>2780</v>
      </c>
      <c r="D18" s="10">
        <f>Despiece!E35+30</f>
        <v>400</v>
      </c>
      <c r="E18" s="10">
        <f>Despiece!E34</f>
        <v>785</v>
      </c>
      <c r="F18" s="10">
        <f>Despiece!F34</f>
        <v>580</v>
      </c>
      <c r="G18" s="27" t="s">
        <v>337</v>
      </c>
      <c r="H18" s="27" t="s">
        <v>311</v>
      </c>
    </row>
    <row r="19" spans="1:8" ht="61.95" customHeight="1" x14ac:dyDescent="0.3">
      <c r="A19" s="5" t="s">
        <v>97</v>
      </c>
      <c r="B19" s="10">
        <f>B13</f>
        <v>215</v>
      </c>
      <c r="C19" s="10">
        <f t="shared" si="0"/>
        <v>410</v>
      </c>
      <c r="D19" s="10">
        <f>Despiece!E47+30</f>
        <v>195</v>
      </c>
      <c r="E19" s="10">
        <f>Despiece!E46</f>
        <v>700</v>
      </c>
      <c r="F19" s="10">
        <f>Despiece!F46</f>
        <v>320</v>
      </c>
      <c r="G19" s="27" t="s">
        <v>338</v>
      </c>
      <c r="H19" s="27" t="s">
        <v>311</v>
      </c>
    </row>
    <row r="20" spans="1:8" ht="61.95" customHeight="1" x14ac:dyDescent="0.3">
      <c r="A20" s="5" t="s">
        <v>108</v>
      </c>
      <c r="B20" s="10">
        <f>B15</f>
        <v>410</v>
      </c>
      <c r="C20" s="10">
        <f t="shared" si="0"/>
        <v>1010</v>
      </c>
      <c r="D20" s="10">
        <f>Despiece!E53+30</f>
        <v>600</v>
      </c>
      <c r="E20" s="10">
        <f>Despiece!E52</f>
        <v>350</v>
      </c>
      <c r="F20" s="10">
        <f>Despiece!F52</f>
        <v>320</v>
      </c>
      <c r="G20" s="27" t="s">
        <v>339</v>
      </c>
      <c r="H20" s="27" t="s">
        <v>311</v>
      </c>
    </row>
    <row r="21" spans="1:8" ht="61.95" customHeight="1" x14ac:dyDescent="0.3">
      <c r="A21" s="5" t="s">
        <v>119</v>
      </c>
      <c r="B21" s="10">
        <f>C20</f>
        <v>1010</v>
      </c>
      <c r="C21" s="10">
        <f t="shared" si="0"/>
        <v>1665</v>
      </c>
      <c r="D21" s="10">
        <f>Despiece!E59+30</f>
        <v>655</v>
      </c>
      <c r="E21" s="10">
        <f>Despiece!E58</f>
        <v>700</v>
      </c>
      <c r="F21" s="10">
        <f>Despiece!F58</f>
        <v>320</v>
      </c>
      <c r="G21" s="27" t="s">
        <v>340</v>
      </c>
      <c r="H21" s="27" t="s">
        <v>311</v>
      </c>
    </row>
    <row r="22" spans="1:8" ht="61.95" customHeight="1" x14ac:dyDescent="0.3">
      <c r="A22" s="5" t="s">
        <v>129</v>
      </c>
      <c r="B22" s="10">
        <f>C21</f>
        <v>1665</v>
      </c>
      <c r="C22" s="10">
        <f t="shared" si="0"/>
        <v>2380</v>
      </c>
      <c r="D22" s="10">
        <f>Despiece!E67+30</f>
        <v>715</v>
      </c>
      <c r="E22" s="10">
        <f>Despiece!E66</f>
        <v>700</v>
      </c>
      <c r="F22" s="10">
        <f>Despiece!F66</f>
        <v>320</v>
      </c>
      <c r="G22" s="27" t="s">
        <v>341</v>
      </c>
      <c r="H22" s="27" t="s">
        <v>311</v>
      </c>
    </row>
    <row r="23" spans="1:8" ht="61.95" customHeight="1" x14ac:dyDescent="0.3">
      <c r="A23" s="5" t="s">
        <v>139</v>
      </c>
      <c r="B23" s="10">
        <f>C22</f>
        <v>2380</v>
      </c>
      <c r="C23" s="10">
        <f t="shared" si="0"/>
        <v>2780</v>
      </c>
      <c r="D23" s="10">
        <f>Despiece!E74+30</f>
        <v>400</v>
      </c>
      <c r="E23" s="10">
        <f>Despiece!E73</f>
        <v>700</v>
      </c>
      <c r="F23" s="10">
        <f>Despiece!F73</f>
        <v>320</v>
      </c>
      <c r="G23" s="27" t="s">
        <v>342</v>
      </c>
      <c r="H23" s="27" t="s">
        <v>311</v>
      </c>
    </row>
    <row r="24" spans="1:8" ht="30" customHeight="1" x14ac:dyDescent="0.3">
      <c r="A24" s="5"/>
      <c r="B24" s="10"/>
      <c r="C24" s="10"/>
      <c r="D24" s="10"/>
      <c r="E24" s="10"/>
      <c r="F24" s="10"/>
      <c r="G24" s="5"/>
      <c r="H24" s="5"/>
    </row>
    <row r="25" spans="1:8" ht="30" customHeight="1" x14ac:dyDescent="0.3">
      <c r="A25" s="5" t="s">
        <v>312</v>
      </c>
      <c r="B25" s="10">
        <f>SUM(D14:D18)</f>
        <v>2550</v>
      </c>
      <c r="C25" s="10"/>
      <c r="D25" s="10"/>
      <c r="E25" s="10"/>
      <c r="F25" s="10"/>
      <c r="G25" s="5"/>
      <c r="H25" s="5"/>
    </row>
    <row r="26" spans="1:8" ht="30" customHeight="1" x14ac:dyDescent="0.3">
      <c r="A26" s="5" t="s">
        <v>313</v>
      </c>
      <c r="B26" s="10">
        <f>D13+(B13-B6)+(B7-C18)</f>
        <v>50</v>
      </c>
      <c r="C26" s="10"/>
      <c r="D26" s="10"/>
      <c r="E26" s="10"/>
      <c r="F26" s="10"/>
      <c r="G26" s="5"/>
      <c r="H26" s="5"/>
    </row>
    <row r="27" spans="1:8" ht="30" customHeight="1" x14ac:dyDescent="0.3">
      <c r="A27" s="5" t="s">
        <v>314</v>
      </c>
      <c r="B27" s="10">
        <f>B25+B26</f>
        <v>2600</v>
      </c>
      <c r="C27" s="10"/>
      <c r="D27" s="10"/>
      <c r="E27" s="10"/>
      <c r="F27" s="10"/>
      <c r="G27" s="5"/>
      <c r="H27" s="5"/>
    </row>
    <row r="28" spans="1:8" ht="30" customHeight="1" x14ac:dyDescent="0.3">
      <c r="A28" s="5" t="s">
        <v>315</v>
      </c>
      <c r="B28" s="10">
        <f>SUMIF(Despiece!D5:D78,"Melamina Cartagena RH 15",Despiece!G5:G78)</f>
        <v>85</v>
      </c>
      <c r="C28" s="10"/>
      <c r="D28" s="10"/>
      <c r="E28" s="10"/>
      <c r="F28" s="10"/>
      <c r="G28" s="5"/>
      <c r="H28" s="5"/>
    </row>
    <row r="29" spans="1:8" ht="30" customHeight="1" x14ac:dyDescent="0.3">
      <c r="A29" s="5" t="s">
        <v>316</v>
      </c>
      <c r="B29" s="5">
        <f>SUMIF(Despiece!D5:D78,"Fondo melamina 6",Despiece!G5:G78)</f>
        <v>9</v>
      </c>
      <c r="C29" s="5"/>
      <c r="D29" s="5"/>
      <c r="E29" s="5"/>
      <c r="F29" s="5"/>
      <c r="G29" s="5"/>
      <c r="H29" s="5"/>
    </row>
    <row r="30" spans="1:8" ht="30" customHeight="1" x14ac:dyDescent="0.3">
      <c r="A30" s="5" t="s">
        <v>317</v>
      </c>
      <c r="B30" s="5"/>
      <c r="C30" s="5"/>
      <c r="D30" s="5"/>
      <c r="E30" s="5"/>
      <c r="F30" s="5"/>
      <c r="G30" s="5"/>
      <c r="H30" s="5"/>
    </row>
    <row r="31" spans="1:8" x14ac:dyDescent="0.3">
      <c r="A31" s="3"/>
      <c r="B31" s="3"/>
      <c r="C31" s="3"/>
      <c r="D31" s="3"/>
      <c r="E31" s="3"/>
      <c r="F31" s="3"/>
      <c r="G31" s="3"/>
      <c r="H31" s="3"/>
    </row>
    <row r="32" spans="1:8" x14ac:dyDescent="0.3">
      <c r="A32" s="3"/>
      <c r="B32" s="3"/>
      <c r="C32" s="3"/>
      <c r="D32" s="3"/>
      <c r="E32" s="3"/>
      <c r="F32" s="3"/>
      <c r="G32" s="3"/>
      <c r="H32" s="3"/>
    </row>
    <row r="33" spans="1:8" x14ac:dyDescent="0.3">
      <c r="A33" s="3"/>
      <c r="B33" s="3"/>
      <c r="C33" s="3"/>
      <c r="D33" s="3"/>
      <c r="E33" s="3"/>
      <c r="F33" s="3"/>
      <c r="G33" s="3"/>
      <c r="H3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Despiece</vt:lpstr>
      <vt:lpstr>Pedido de corte</vt:lpstr>
      <vt:lpstr>Compras</vt:lpstr>
      <vt:lpstr>Cantos</vt:lpstr>
      <vt:lpstr>Pendientes</vt:lpstr>
      <vt:lpstr>Decisiones</vt:lpstr>
      <vt:lpstr>Distribución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Perez Muñoz</cp:lastModifiedBy>
  <dcterms:modified xsi:type="dcterms:W3CDTF">2026-10-28T03:14:26Z</dcterms:modified>
</cp:coreProperties>
</file>