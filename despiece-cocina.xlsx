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3d707456c894b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spiece" sheetId="1" r:id="Ra00afd2426d74c81"/>
    <x:sheet xmlns:r="http://schemas.openxmlformats.org/officeDocument/2006/relationships" name="Pedido de corte" sheetId="9" r:id="Rb9923d062e79431f"/>
    <x:sheet xmlns:r="http://schemas.openxmlformats.org/officeDocument/2006/relationships" name="Compras" sheetId="3" r:id="Raf2d52516d504733"/>
    <x:sheet xmlns:r="http://schemas.openxmlformats.org/officeDocument/2006/relationships" name="Cantos" sheetId="4" r:id="Rcadcb59720054292"/>
    <x:sheet xmlns:r="http://schemas.openxmlformats.org/officeDocument/2006/relationships" name="Pendientes" sheetId="10" r:id="Rd984216937f748bd"/>
    <x:sheet xmlns:r="http://schemas.openxmlformats.org/officeDocument/2006/relationships" name="Decisiones" sheetId="11" r:id="Rb4d4b8bb39044edc"/>
    <x:sheet xmlns:r="http://schemas.openxmlformats.org/officeDocument/2006/relationships" name="Distribución" sheetId="6" r:id="Rc81cada2790d4bac"/>
  </x:sheets>
</x:workbook>
</file>

<file path=xl/sharedStrings.xml><?xml version="1.0" encoding="utf-8"?>
<x:sst xmlns:x="http://schemas.openxmlformats.org/spreadsheetml/2006/main">
  <x:si>
    <x:t xml:space="preserve">Diseño final 260 · condimentero, puertas y basurero · tablero RH 15 mm / fondos 6 mm</x:t>
  </x:si>
  <x:si>
    <x:t xml:space="preserve">Módulos exteriores 180 + 600 + 670 + 700 + 400 = 2550; terminal 15 y vuelos 15/20 completan mesón 2600. L = sentido de veta.</x:t>
  </x:si>
  <x:si>
    <x:t xml:space="preserve">Dimensiones TERMINADAS; corte teórico descuenta cantos. Diseño final: antes de cortar, revisar la hoja Pendientes (horno, basurero y proveedor de corte).</x:t>
  </x:si>
  <x:si>
    <x:t xml:space="preserve">N°</x:t>
  </x:si>
  <x:si>
    <x:t xml:space="preserve">Módulo</x:t>
  </x:si>
  <x:si>
    <x:t xml:space="preserve">Pieza</x:t>
  </x:si>
  <x:si>
    <x:t xml:space="preserve">Material</x:t>
  </x:si>
  <x:si>
    <x:t xml:space="preserve">Largo veta terminado (mm)</x:t>
  </x:si>
  <x:si>
    <x:t xml:space="preserve">Ancho terminado (mm)</x:t>
  </x:si>
  <x:si>
    <x:t xml:space="preserve">Cant.</x:t>
  </x:si>
  <x:si>
    <x:t xml:space="preserve">Canto L1</x:t>
  </x:si>
  <x:si>
    <x:t xml:space="preserve">Canto L2</x:t>
  </x:si>
  <x:si>
    <x:t xml:space="preserve">Canto A1</x:t>
  </x:si>
  <x:si>
    <x:t xml:space="preserve">Canto A2</x:t>
  </x:si>
  <x:si>
    <x:t xml:space="preserve">Largo corte teórico (mm)</x:t>
  </x:si>
  <x:si>
    <x:t xml:space="preserve">Ancho corte teórico (mm)</x:t>
  </x:si>
  <x:si>
    <x:t xml:space="preserve">P001</x:t>
  </x:si>
  <x:si>
    <x:t xml:space="preserve">B1 Condimentero 18</x:t>
  </x:si>
  <x:si>
    <x:t xml:space="preserve">Lateral</x:t>
  </x:si>
  <x:si>
    <x:t xml:space="preserve">Melamina Cartagena RH 15</x:t>
  </x:si>
  <x:si>
    <x:t xml:space="preserve">P002</x:t>
  </x:si>
  <x:si>
    <x:t xml:space="preserve">Piso</x:t>
  </x:si>
  <x:si>
    <x:t xml:space="preserve">P003</x:t>
  </x:si>
  <x:si>
    <x:t xml:space="preserve">Travesaño horizontal</x:t>
  </x:si>
  <x:si>
    <x:t xml:space="preserve">P004</x:t>
  </x:si>
  <x:si>
    <x:t xml:space="preserve">Fondo clavado atrás</x:t>
  </x:si>
  <x:si>
    <x:t xml:space="preserve">Fondo melamina 6</x:t>
  </x:si>
  <x:si>
    <x:t xml:space="preserve">P005</x:t>
  </x:si>
  <x:si>
    <x:t xml:space="preserve">Frente condimentero</x:t>
  </x:si>
  <x:si>
    <x:t xml:space="preserve">P006</x:t>
  </x:si>
  <x:si>
    <x:t xml:space="preserve">B2 Horno y estufa 60</x:t>
  </x:si>
  <x:si>
    <x:t xml:space="preserve">P007</x:t>
  </x:si>
  <x:si>
    <x:t xml:space="preserve">Piso de apoyo horno (validar montaje)</x:t>
  </x:si>
  <x:si>
    <x:t xml:space="preserve">P008</x:t>
  </x:si>
  <x:si>
    <x:t xml:space="preserve">Travesaño trasero</x:t>
  </x:si>
  <x:si>
    <x:t xml:space="preserve">P009</x:t>
  </x:si>
  <x:si>
    <x:t xml:space="preserve">Repisa sobre horno (posición por manual)</x:t>
  </x:si>
  <x:si>
    <x:t xml:space="preserve">P010</x:t>
  </x:si>
  <x:si>
    <x:t xml:space="preserve">Listón frontal de apoyo del mesón (de canto)</x:t>
  </x:si>
  <x:si>
    <x:t xml:space="preserve">P011</x:t>
  </x:si>
  <x:si>
    <x:t xml:space="preserve">Panel fijo bajo estufa (ajustar con equipo)</x:t>
  </x:si>
  <x:si>
    <x:t xml:space="preserve">P012</x:t>
  </x:si>
  <x:si>
    <x:t xml:space="preserve">B3 Cubiertero y puertas 67</x:t>
  </x:si>
  <x:si>
    <x:t xml:space="preserve">P013</x:t>
  </x:si>
  <x:si>
    <x:t xml:space="preserve">P014</x:t>
  </x:si>
  <x:si>
    <x:t xml:space="preserve">P015</x:t>
  </x:si>
  <x:si>
    <x:t xml:space="preserve">P016</x:t>
  </x:si>
  <x:si>
    <x:t xml:space="preserve">Frente cajón superior cubiertero</x:t>
  </x:si>
  <x:si>
    <x:t xml:space="preserve">P017</x:t>
  </x:si>
  <x:si>
    <x:t xml:space="preserve">Cajón: base aplicada inferior</x:t>
  </x:si>
  <x:si>
    <x:t xml:space="preserve">P018</x:t>
  </x:si>
  <x:si>
    <x:t xml:space="preserve">Cajón: costado</x:t>
  </x:si>
  <x:si>
    <x:t xml:space="preserve">P019</x:t>
  </x:si>
  <x:si>
    <x:t xml:space="preserve">Cajón: frente y trasero interiores</x:t>
  </x:si>
  <x:si>
    <x:t xml:space="preserve">P020</x:t>
  </x:si>
  <x:si>
    <x:t xml:space="preserve">Puerta inferior izquierda</x:t>
  </x:si>
  <x:si>
    <x:t xml:space="preserve">P021</x:t>
  </x:si>
  <x:si>
    <x:t xml:space="preserve">Puerta inferior derecha</x:t>
  </x:si>
  <x:si>
    <x:t xml:space="preserve">P022</x:t>
  </x:si>
  <x:si>
    <x:t xml:space="preserve">Entrepaño regulable inferior</x:t>
  </x:si>
  <x:si>
    <x:t xml:space="preserve">P023</x:t>
  </x:si>
  <x:si>
    <x:t xml:space="preserve">B5 Lavaplatos 70</x:t>
  </x:si>
  <x:si>
    <x:t xml:space="preserve">P024</x:t>
  </x:si>
  <x:si>
    <x:t xml:space="preserve">P025</x:t>
  </x:si>
  <x:si>
    <x:t xml:space="preserve">Travesaño de canto</x:t>
  </x:si>
  <x:si>
    <x:t xml:space="preserve">P026</x:t>
  </x:si>
  <x:si>
    <x:t xml:space="preserve">P027</x:t>
  </x:si>
  <x:si>
    <x:t xml:space="preserve">Puerta izquierda</x:t>
  </x:si>
  <x:si>
    <x:t xml:space="preserve">P028</x:t>
  </x:si>
  <x:si>
    <x:t xml:space="preserve">Puerta derecha</x:t>
  </x:si>
  <x:si>
    <x:t xml:space="preserve">P029</x:t>
  </x:si>
  <x:si>
    <x:t xml:space="preserve">Entrepaño desmontable; recortar sifón en obra</x:t>
  </x:si>
  <x:si>
    <x:t xml:space="preserve">P030</x:t>
  </x:si>
  <x:si>
    <x:t xml:space="preserve">B4 Basurero y puerta 40</x:t>
  </x:si>
  <x:si>
    <x:t xml:space="preserve">P031</x:t>
  </x:si>
  <x:si>
    <x:t xml:space="preserve">P032</x:t>
  </x:si>
  <x:si>
    <x:t xml:space="preserve">P033</x:t>
  </x:si>
  <x:si>
    <x:t xml:space="preserve">P034</x:t>
  </x:si>
  <x:si>
    <x:t xml:space="preserve">Entrepaño FIJO separador superior/basurero</x:t>
  </x:si>
  <x:si>
    <x:t xml:space="preserve">P035</x:t>
  </x:si>
  <x:si>
    <x:t xml:space="preserve">Puerta superior</x:t>
  </x:si>
  <x:si>
    <x:t xml:space="preserve">P036</x:t>
  </x:si>
  <x:si>
    <x:t xml:space="preserve">Frente inferior extraíble basurero</x:t>
  </x:si>
  <x:si>
    <x:t xml:space="preserve">P072</x:t>
  </x:si>
  <x:si>
    <x:t xml:space="preserve">PROVISIONAL plataforma basurero; confirmar ancho por riel</x:t>
  </x:si>
  <x:si>
    <x:t xml:space="preserve">P073</x:t>
  </x:si>
  <x:si>
    <x:t xml:space="preserve">PROVISIONAL larguero bajo plataforma basurero</x:t>
  </x:si>
  <x:si>
    <x:t xml:space="preserve">P074</x:t>
  </x:si>
  <x:si>
    <x:t xml:space="preserve">PROVISIONAL travesaño bajo plataforma basurero</x:t>
  </x:si>
  <x:si>
    <x:t xml:space="preserve">P037</x:t>
  </x:si>
  <x:si>
    <x:t xml:space="preserve">B6 Terminación</x:t>
  </x:si>
  <x:si>
    <x:t xml:space="preserve">Costado de terminación</x:t>
  </x:si>
  <x:si>
    <x:t xml:space="preserve">P038</x:t>
  </x:si>
  <x:si>
    <x:t xml:space="preserve">Zócalo retranqueado (dos tramos)</x:t>
  </x:si>
  <x:si>
    <x:t xml:space="preserve">P039</x:t>
  </x:si>
  <x:si>
    <x:t xml:space="preserve">S1 Alacena 19,5</x:t>
  </x:si>
  <x:si>
    <x:t xml:space="preserve">P040</x:t>
  </x:si>
  <x:si>
    <x:t xml:space="preserve">Techo</x:t>
  </x:si>
  <x:si>
    <x:t xml:space="preserve">P041</x:t>
  </x:si>
  <x:si>
    <x:t xml:space="preserve">P042</x:t>
  </x:si>
  <x:si>
    <x:t xml:space="preserve">Fondo</x:t>
  </x:si>
  <x:si>
    <x:t xml:space="preserve">P043</x:t>
  </x:si>
  <x:si>
    <x:t xml:space="preserve">Entrepaño regulable</x:t>
  </x:si>
  <x:si>
    <x:t xml:space="preserve">P044</x:t>
  </x:si>
  <x:si>
    <x:t xml:space="preserve">Puerta</x:t>
  </x:si>
  <x:si>
    <x:t xml:space="preserve">P045</x:t>
  </x:si>
  <x:si>
    <x:t xml:space="preserve">S2 Gabinete ducto 60</x:t>
  </x:si>
  <x:si>
    <x:t xml:space="preserve">P046</x:t>
  </x:si>
  <x:si>
    <x:t xml:space="preserve">Techo (perforar solo si el ducto sale hacia arriba; definir con manual)</x:t>
  </x:si>
  <x:si>
    <x:t xml:space="preserve">P047</x:t>
  </x:si>
  <x:si>
    <x:t xml:space="preserve">Piso elevado 40 mm para agarre inferior; perforar para ducto (diámetro y posición según manual de campana)</x:t>
  </x:si>
  <x:si>
    <x:t xml:space="preserve">P048</x:t>
  </x:si>
  <x:si>
    <x:t xml:space="preserve">P049</x:t>
  </x:si>
  <x:si>
    <x:t xml:space="preserve">Puerta abatible superior</x:t>
  </x:si>
  <x:si>
    <x:t xml:space="preserve">P071</x:t>
  </x:si>
  <x:si>
    <x:t xml:space="preserve">Faja retranqueada de agarre sobre campana</x:t>
  </x:si>
  <x:si>
    <x:t xml:space="preserve">P050</x:t>
  </x:si>
  <x:si>
    <x:t xml:space="preserve">S3 Alacena 65,5</x:t>
  </x:si>
  <x:si>
    <x:t xml:space="preserve">P051</x:t>
  </x:si>
  <x:si>
    <x:t xml:space="preserve">P052</x:t>
  </x:si>
  <x:si>
    <x:t xml:space="preserve">P053</x:t>
  </x:si>
  <x:si>
    <x:t xml:space="preserve">P054</x:t>
  </x:si>
  <x:si>
    <x:t xml:space="preserve">División vertical</x:t>
  </x:si>
  <x:si>
    <x:t xml:space="preserve">P055</x:t>
  </x:si>
  <x:si>
    <x:t xml:space="preserve">P056</x:t>
  </x:si>
  <x:si>
    <x:t xml:space="preserve">P057</x:t>
  </x:si>
  <x:si>
    <x:t xml:space="preserve">P058</x:t>
  </x:si>
  <x:si>
    <x:t xml:space="preserve">S4 Platero 71,5</x:t>
  </x:si>
  <x:si>
    <x:t xml:space="preserve">P059</x:t>
  </x:si>
  <x:si>
    <x:t xml:space="preserve">P060</x:t>
  </x:si>
  <x:si>
    <x:t xml:space="preserve">Listón inferior delantero</x:t>
  </x:si>
  <x:si>
    <x:t xml:space="preserve">P061</x:t>
  </x:si>
  <x:si>
    <x:t xml:space="preserve">Listón inferior trasero</x:t>
  </x:si>
  <x:si>
    <x:t xml:space="preserve">P062</x:t>
  </x:si>
  <x:si>
    <x:t xml:space="preserve">P063</x:t>
  </x:si>
  <x:si>
    <x:t xml:space="preserve">P064</x:t>
  </x:si>
  <x:si>
    <x:t xml:space="preserve">P065</x:t>
  </x:si>
  <x:si>
    <x:t xml:space="preserve">S5 Alacena 40</x:t>
  </x:si>
  <x:si>
    <x:t xml:space="preserve">P066</x:t>
  </x:si>
  <x:si>
    <x:t xml:space="preserve">P067</x:t>
  </x:si>
  <x:si>
    <x:t xml:space="preserve">P068</x:t>
  </x:si>
  <x:si>
    <x:t xml:space="preserve">P069</x:t>
  </x:si>
  <x:si>
    <x:t xml:space="preserve">P070</x:t>
  </x:si>
  <x:si>
    <x:t xml:space="preserve">Total piezas melamina</x:t>
  </x:si>
  <x:si>
    <x:t xml:space="preserve">Total piezas de fondo 6 mm</x:t>
  </x:si>
  <x:si>
    <x:t xml:space="preserve">Observaciones fijas por pieza</x:t>
  </x:si>
  <x:si>
    <x:t xml:space="preserve">Pedido de corte y canteado · cocina final 260</x:t>
  </x:si>
  <x:si>
    <x:t xml:space="preserve">¿El proveedor pide medida terminada y descuenta el canto? (SÍ/NO)</x:t>
  </x:si>
  <x:si>
    <x:t xml:space="preserve">SÍ</x:t>
  </x:si>
  <x:si>
    <x:t xml:space="preserve">Ranura de ventilación o paso de cable en obra, si el manual del horno lo pide.</x:t>
  </x:si>
  <x:si>
    <x:t xml:space="preserve">Dimensión menor mínima de tablero que admite la canteadora (mm)</x:t>
  </x:si>
  <x:si>
    <x:t xml:space="preserve">Su altura se fija en el armado según el manual del horno; si pide más ventilación atrás, recortar el borde trasero (sin canto).</x:t>
  </x:si>
  <x:si>
    <x:t xml:space="preserve">Piezas pequeñas: clasificación según el tamaño del tablero antes de cantear. Si la máquina las rechaza, usar el corte indicado en Observaciones y cantear en el armado. Medidas de corte a 0,01 mm; el proveedor confirma tolerancias y límites Q2–Q4.</x:t>
  </x:si>
  <x:si>
    <x:t xml:space="preserve">Dimensión mayor mínima de tablero que admite la canteadora (mm)</x:t>
  </x:si>
  <x:si>
    <x:t xml:space="preserve">Pedida 15 mm más alta (160 en vez de 145): en el armado, recortar el borde superior —oculto bajo el mesón y sin canto— según el horno instalado.</x:t>
  </x:si>
  <x:si>
    <x:t xml:space="preserve">Supuestos por confirmar en la sucursal: Q2 cambia la medida que se pide; Q3 y Q4 marcan qué piezas pueden rechazar.</x:t>
  </x:si>
  <x:si>
    <x:t xml:space="preserve">ID</x:t>
  </x:si>
  <x:si>
    <x:t xml:space="preserve">Módulo / grupo</x:t>
  </x:si>
  <x:si>
    <x:t xml:space="preserve">Largo a pedir (veta)</x:t>
  </x:si>
  <x:si>
    <x:t xml:space="preserve">Ancho a pedir</x:t>
  </x:si>
  <x:si>
    <x:t xml:space="preserve">Largo 1</x:t>
  </x:si>
  <x:si>
    <x:t xml:space="preserve">Largo 2</x:t>
  </x:si>
  <x:si>
    <x:t xml:space="preserve">Corto 1</x:t>
  </x:si>
  <x:si>
    <x:t xml:space="preserve">Corto 2</x:t>
  </x:si>
  <x:si>
    <x:t xml:space="preserve">Canteo</x:t>
  </x:si>
  <x:si>
    <x:t xml:space="preserve">Medida terminada</x:t>
  </x:si>
  <x:si>
    <x:t xml:space="preserve">Observaciones</x:t>
  </x:si>
  <x:si>
    <x:t xml:space="preserve">Perforación del ducto en obra, según manual de la campana.</x:t>
  </x:si>
  <x:si>
    <x:t xml:space="preserve">NO PEDIR: se corta en el armado de un sobrante, con el riel HRE126-55 y la bandeja en mano. Pedir a la sucursal que entregue los sobrantes.</x:t>
  </x:si>
  <x:si>
    <x:t xml:space="preserve">Rebaje para la gola en el armado, cuando se defina el borde del granito; no lo hace el proveedor.</x:t>
  </x:si>
  <x:si>
    <x:t xml:space="preserve">Metros netos de canto</x:t>
  </x:si>
  <x:si>
    <x:t xml:space="preserve">Normal</x:t>
  </x:si>
  <x:si>
    <x:t xml:space="preserve">Pequeña</x:t>
  </x:si>
  <x:si>
    <x:t xml:space="preserve">Rígido 2 mm</x:t>
  </x:si>
  <x:si>
    <x:t xml:space="preserve">Flexible 0,45 mm</x:t>
  </x:si>
  <x:si>
    <x:t xml:space="preserve">Piezas (unidades)</x:t>
  </x:si>
  <x:si>
    <x:t xml:space="preserve">Canto para acabado manual · previsión sujeta a la entrega</x:t>
  </x:si>
  <x:si>
    <x:t xml:space="preserve">Bordes a cantear a mano</x:t>
  </x:si>
  <x:si>
    <x:t xml:space="preserve">Metros netos</x:t>
  </x:si>
  <x:si>
    <x:t xml:space="preserve">Desperdicio por borde a mano (m)</x:t>
  </x:si>
  <x:si>
    <x:t xml:space="preserve">Margen de seguridad</x:t>
  </x:si>
  <x:si>
    <x:t xml:space="preserve">Estimado con desperdicio y reserva (m)</x:t>
  </x:si>
  <x:si>
    <x:t xml:space="preserve">Previsión para las piezas pequeñas, no garantía de cuáles canteará Madecentro. Incluye 10 cm extra por borde y 20 % de reserva; ambos valores son editables. Al recibir las piezas, ajustar el objetivo si faltan otros bordes o si el proveedor canteó parte de ellos.</x:t>
  </x:si>
  <x:si>
    <x:t xml:space="preserve">Objetivo revisado con reserva (m; opcional)</x:t>
  </x:si>
  <x:si>
    <x:t xml:space="preserve">Metros ya disponibles para cantear en casa</x:t>
  </x:si>
  <x:si>
    <x:t xml:space="preserve">Metros faltantes por comprar</x:t>
  </x:si>
  <x:si>
    <x:t xml:space="preserve">Dejar el objetivo revisado vacío para usar el estimado. Si ya hay canto comprado o sobrante de rollos, anotarlo en metros disponibles. No sumar este material dos veces al presupuesto. Precio por metro suelto y pegante por cotizar con el proveedor.</x:t>
  </x:si>
  <x:si>
    <x:t xml:space="preserve">Grupo</x:t>
  </x:si>
  <x:si>
    <x:t xml:space="preserve">Ítem</x:t>
  </x:si>
  <x:si>
    <x:t xml:space="preserve">Precio unitario (COP)</x:t>
  </x:si>
  <x:si>
    <x:t xml:space="preserve">Subtotal (COP)</x:t>
  </x:si>
  <x:si>
    <x:t xml:space="preserve">Fuente / nota</x:t>
  </x:si>
  <x:si>
    <x:t xml:space="preserve">Tableros y cantos</x:t>
  </x:si>
  <x:si>
    <x:t xml:space="preserve">Tablero melamina Cartagena RH 15 mm, 2,15 × 2,44</x:t>
  </x:si>
  <x:si>
    <x:t xml:space="preserve">Previsión de 4 láminas: las 85 piezas RH15 caben en 4 láminas de 2440 × 2150 con cortes pasantes, sin rotar (veta fija), refilado 10 mm por lado y sierra 4 mm. Ocupación 92 %, 93 %, 94 % y 34 % (auditoría del 27/10/2026). El proveedor define el plano de corte y la continuidad de veta; P072–P074 provisionales pueden cambiarlo.</x:t>
  </x:si>
  <x:si>
    <x:t xml:space="preserve">Fondo melamina blanco nevado RH 6 mm, 2,15 × 2,44</x:t>
  </x:si>
  <x:si>
    <x:t xml:space="preserve">Previsión de 1 lámina: los 9 fondos de la cocina caben en una (60 % de ocupación). Confirmar formato del suministro.</x:t>
  </x:si>
  <x:si>
    <x:t xml:space="preserve">Canto rígido Cartagena 19 × 2 mm · rollo 100 m</x:t>
  </x:si>
  <x:si>
    <x:t xml:space="preserve">Metros y rollos vinculados a la hoja Cantos; validar SKU. Para el acabado manual de piezas pequeñas: ver «Metros faltantes por comprar» al final de Pedido de corte y descontar material ya disponible. Precio por metro suelto y pegante por cotizar.</x:t>
  </x:si>
  <x:si>
    <x:t xml:space="preserve">Canto flexible Cartagena 19 × 0,45 mm · rollo 200 m</x:t>
  </x:si>
  <x:si>
    <x:t xml:space="preserve">Herrajes</x:t>
  </x:si>
  <x:si>
    <x:t xml:space="preserve">Perfil gola superior × 3 m</x:t>
  </x:si>
  <x:si>
    <x:t xml:space="preserve">Tramos B1 180 + B3/B5/B4 1770 = 1950 mm; interrumpido en el horno. Los rebajes en laterales y travesaños se hacen en el armado, según el borde del mesón (ver Pendientes).</x:t>
  </x:si>
  <x:si>
    <x:t xml:space="preserve">Perfil gola media × 3 m</x:t>
  </x:si>
  <x:si>
    <x:t xml:space="preserve">Tramos B3 670 + B4 400 = 1070 mm. Una barra de 3 m; remates y mecanizados por validar.</x:t>
  </x:si>
  <x:si>
    <x:t xml:space="preserve">Riel Bonuit HRE550-55N · negro · 550 mm · cierre lento 30 kg · par</x:t>
  </x:si>
  <x:si>
    <x:t xml:space="preserve">Solo cajón cubiertero B3. Vano 640 − 27 = caja 613; interior 583 × 520. Precio previo 47.034 COP/par. B4 lleva plataforma RH sin paredes encima y otro par HRE126-55.</x:t>
  </x:si>
  <x:si>
    <x:t xml:space="preserve">Bisagra parche HBM897-01 · par</x:t>
  </x:si>
  <x:si>
    <x:t xml:space="preserve">24 bisagras físicas: 2 por puerta en las 11 puertas laterales (B3, B5, B4, S1, S3, S4, S5) y 2 en el techo de S2 para la abatible; 14 en muebles altos y 10 en bajos. Comprobar compatibilidad con brazo, peso y ángulo; validar S1 estrecho. No comprar un par extra para S2.</x:t>
  </x:si>
  <x:si>
    <x:t xml:space="preserve">Platero HSO566-03G · nominal 700 mm · herraje 680 × 245</x:t>
  </x:si>
  <x:si>
    <x:t xml:space="preserve">HSO566-03G gris antracita: precio conservado $63.539. Ficha transcrita por usuario: 680 × 245, carga máxima 7 kg, acero 201 pintado, cuatro fijaciones Ø10; cotas y profundidad de taladro a verificar con pieza real. Marcar en obra.</x:t>
  </x:si>
  <x:si>
    <x:t xml:space="preserve">Cubiertero HSC910-40 · 360 × 480 × 50 mm</x:t>
  </x:si>
  <x:si>
    <x:t xml:space="preserve">360 × 480 × 50 en interior B3 de 583 × 520; removible a un lado, sin divisor fijo.</x:t>
  </x:si>
  <x:si>
    <x:t xml:space="preserve">Pata niveladora para zócalo 100 mm</x:t>
  </x:si>
  <x:si>
    <x:t xml:space="preserve">Cinco módulos bajos: 20 apoyos básicos + 4 refuerzos por distribuir según cargas. Madecentro.</x:t>
  </x:si>
  <x:si>
    <x:t xml:space="preserve">Colgador regulable para gabinete superior (par)</x:t>
  </x:si>
  <x:si>
    <x:t xml:space="preserve">cotizar</x:t>
  </x:si>
  <x:si>
    <x:t xml:space="preserve">Uno por gabinete superior (S1–S5). Verificar cabida en S1 (luz 165) y riel mural compatible; sin listones a 45° definidos.</x:t>
  </x:si>
  <x:si>
    <x:t xml:space="preserve">Soportes de entrepaño y tornillería</x:t>
  </x:si>
  <x:si>
    <x:t xml:space="preserve">24 soportes de entrepaño (6 entrepaños × 4: S1, dos en S3, S5, B3 y B5). Tornillos de armado 4 × 50 (≈150) y de herrajes 4 × 16 (≈150), cantidad preliminar; no duplicar los 12 que trae cada par de rieles. Fijaciones de fondos y anclajes según muro real.</x:t>
  </x:si>
  <x:si>
    <x:t xml:space="preserve">Condimentero Bonuit HSO317-15R · tres niveles · cierre lento</x:t>
  </x:si>
  <x:si>
    <x:t xml:space="preserve">Precio aportado por usuario 26/10/2026. Módulo nominal 150 × 500 × 600, herraje 100 × 446 × 470; con rieles laterales el conjunto mide 135 mm (medido por el usuario), por eso B1 es de 180 exterior (150 libres). Incluye rieles y enganches; no comprar otro par. https://madecentro.com/products/canasta-condimentero-tres-niveles-gris-antracita-cierre-lento-copia</x:t>
  </x:si>
  <x:si>
    <x:t xml:space="preserve">Basurero Bonuit HSO688-00 · bandeja y 2 recipientes · 12 L</x:t>
  </x:si>
  <x:si>
    <x:t xml:space="preserve">Precio aportado por usuario 26/10/2026. Herraje 485 × 330 × 215, módulo nominal 400. NO incluye sistema extraíble. https://madecentro.com/collections/herrajes-para-cocina/products/hso688-00-basureras-y-estructura-plastica-gris-de-12l-2-basureas-330x485x215mm-para-modulo-de-400</x:t>
  </x:si>
  <x:si>
    <x:t xml:space="preserve">Riel Mobile HRE126-55 · 550 mm · extensión total 38 kg · cierre normal · par</x:t>
  </x:si>
  <x:si>
    <x:t xml:space="preserve">Precio consultado 26/10/2026 para variante 55 cm. Incluye par y 12 tornillos. Montaje lateral VERTICAL en largueros inferiores, no acostado. Descuento de ancho, altura y perforación pendientes de ficha HRE126. https://madecentro.com/products/riel-corredera-para-cajon-de-extension-total-carga-media-38-kg?variant=45720301699302</x:t>
  </x:si>
  <x:si>
    <x:t xml:space="preserve">Riel mural y fijaciones compatibles con colgadores superiores</x:t>
  </x:si>
  <x:si>
    <x:t xml:space="preserve">Sistema para 5 gabinetes; S1 luz 165. Dimensionar anclajes según farol/muro real, carga y fabricante. No hay suspensión de bajos a 45°.</x:t>
  </x:si>
  <x:si>
    <x:t xml:space="preserve">Brazo neumático Bonuit HEC060-03 · 60 N · gris (unidad)</x:t>
  </x:si>
  <x:si>
    <x:t xml:space="preserve">2 por módulo de 600; 9.126 COP/unidad aportados por usuario 26/10/2026. Incluye platinas y tornillos; requiere bisagras (dos superiores ya previstas, sin duplicarlas). Fuerza y montaje a validar con peso real de puerta; 2,07 kg es aproximación del usuario. https://madecentro.com/products/hec060-03-brazo-neumatico-cierre-lento-60n</x:t>
  </x:si>
  <x:si>
    <x:t xml:space="preserve">Fijaciones de gola con tornillo · previsión compatible</x:t>
  </x:si>
  <x:si>
    <x:t xml:space="preserve">8 extremos de cuatro tramos + 2 apoyos intermedios en superior de 1770 mm. Previsión de diseño, no separación certificada. Precio de referencia Mobile: confirmar compatibilidad con gola comprada antes de comprar/mecanizar. https://madecentro.com/products/escuadra-para-perfil-gola-peralm63-64</x:t>
  </x:si>
  <x:si>
    <x:t xml:space="preserve">Mesón y equipos</x:t>
  </x:si>
  <x:si>
    <x:t xml:space="preserve">Mesón Crema Marfil 260 × 62 cm · código 519014</x:t>
  </x:si>
  <x:si>
    <x:t xml:space="preserve">Placa de 15 mm confirmada por usuario y ficha Homecenter. Precio $1.486.300 conservado. Recortes, material final, apoyos y posible borde engrosado por definir. La ficha mezcla 260/150 cm y granito/cuarzo: confirmar suministro concreto. https://www.homecenter.com.co/homecenter-co/product/519014/meson-granito-natural-crema-marfil-260-cm-x-62-cm/519014/</x:t>
  </x:si>
  <x:si>
    <x:t xml:space="preserve">Lavaplatos Socoda AS350 satinado · submontar 1 poceta 55 × 43 cm · código 87730</x:t>
  </x:si>
  <x:si>
    <x:t xml:space="preserve">Socoda AS350 satinado, código 87730: $209.900 conservados. 550 × 430 EXTERIORES, profundidad 165 mm. Abertura interior 490 × 370 según ficha descrita por usuario. Submontar: pestaña bajo placa, con anclaje/soporte compatibles. Hueco de corte lo define plantilla Socoda y acabado del borde; 490 × 370 solo referencia 3D. https://www.homecenter.com.co/homecenter-co/product/87730/lavaplatos-de-submontar-1-poceta-55x43-cm-acero-inoxidable-socoda/87730/</x:t>
  </x:si>
  <x:si>
    <x:t xml:space="preserve">Combo CA3057: campana Tofu negro 60 cm + horno H60EEVAL005 + estufa CCR60-F4P-SBF031</x:t>
  </x:si>
  <x:si>
    <x:t xml:space="preserve">Precio aportado por el usuario el 25/10/2026 por el combo completo. Horno mixto 110 V/gas natural; estufa cristal gas natural 60 × 51 cm.</x:t>
  </x:si>
  <x:si>
    <x:t xml:space="preserve">Grifería de cocina</x:t>
  </x:si>
  <x:si>
    <x:t xml:space="preserve">Seleccionar modelo y conexiones.</x:t>
  </x:si>
  <x:si>
    <x:t xml:space="preserve">Desagüe, canastilla, sifón y acoples</x:t>
  </x:si>
  <x:si>
    <x:t xml:space="preserve">Sifón y llaves deben permitir retirar el entrepaño del B5. No incluye canasta bajo fregadero.</x:t>
  </x:si>
  <x:si>
    <x:t xml:space="preserve">Ducto y accesorios de campana</x:t>
  </x:si>
  <x:si>
    <x:t xml:space="preserve">Definir según modelo Haceb, diámetro y salida. Perforar el piso P047 (y el techo P046 si sale hacia arriba) según manual.</x:t>
  </x:si>
  <x:si>
    <x:t xml:space="preserve">Soporte mecánico compatible para lavaplatos de submontar</x:t>
  </x:si>
  <x:si>
    <x:t xml:space="preserve">Definir con Socoda/marmolero para placa 15 mm. Travesaños no sustituyen la validación del soporte de cubeta y agua.</x:t>
  </x:si>
  <x:si>
    <x:t xml:space="preserve">Accesorios</x:t>
  </x:si>
  <x:si>
    <x:t xml:space="preserve">Escurridor sobre mesón (opcional)</x:t>
  </x:si>
  <x:si>
    <x:t xml:space="preserve">Zona derecha de 40 cm; dibujo ilustrativo 375 × 400, confirmar modelo. Escribir 0 solo si ya se tiene y se reutiliza.</x:t>
  </x:si>
  <x:si>
    <x:t xml:space="preserve">Servicios</x:t>
  </x:si>
  <x:si>
    <x:t xml:space="preserve">Corte y canteado de piezas</x:t>
  </x:si>
  <x:si>
    <x:t xml:space="preserve">P072–P074 son cortes PROVISIONALES internos: confirmar herraje y bandeja reales antes de cortar. Canto en bordes vistos y en piezas expuestas a humedad (hoja Cantos); los bordes ocultos contra otra pieza van sin canto; sin taladros de platero de fábrica. Incluye armado rígido del frente a bastidor, sin depender solo del canto de 15 mm.</x:t>
  </x:si>
  <x:si>
    <x:t xml:space="preserve">Cortes y pulido del mesón (lavaplatos y estufa)</x:t>
  </x:si>
  <x:si>
    <x:t xml:space="preserve">Plantillas y recortes en placa 15 mm. Lavaplatos 550 × 430 exterior NO es medida de hueco; referencia 3D 490 × 370, plantilla Socoda y tipo de borde mandan. Profundidad 165. Marmolero define radios, tolerancias, apoyos y anclajes; recorte estufa sigue por manual. Borde engrosado opcional por cotizar.</x:t>
  </x:si>
  <x:si>
    <x:t xml:space="preserve">Armado e instalación de muebles y mesón</x:t>
  </x:si>
  <x:si>
    <x:t xml:space="preserve">24 patas: 20 apoyos básicos de cinco módulos + cuatro refuerzos por definir. Anclajes contra desplazamiento, colgadores y soporte del fregadero según muro/cargas.</x:t>
  </x:si>
  <x:si>
    <x:t xml:space="preserve">Transporte y subida de materiales</x:t>
  </x:si>
  <x:si>
    <x:t xml:space="preserve">Ingresar 0 únicamente si se confirma incluido.</x:t>
  </x:si>
  <x:si>
    <x:t xml:space="preserve">Subtotal Tableros y cantos</x:t>
  </x:si>
  <x:si>
    <x:t xml:space="preserve">Subtotal Herrajes</x:t>
  </x:si>
  <x:si>
    <x:t xml:space="preserve">Subtotal Mesón y equipos</x:t>
  </x:si>
  <x:si>
    <x:t xml:space="preserve">Subtotal Servicios</x:t>
  </x:si>
  <x:si>
    <x:t xml:space="preserve">Subtotal Accesorios</x:t>
  </x:si>
  <x:si>
    <x:t xml:space="preserve">TOTAL CONOCIDO</x:t>
  </x:si>
  <x:si>
    <x:t xml:space="preserve">Parcial: excluye partidas pendientes. Tableros: 4 láminas RH15 + 1 de fondo con encaje verificado; el proveedor confirma el plano de corte.</x:t>
  </x:si>
  <x:si>
    <x:t xml:space="preserve">Partidas sin precio</x:t>
  </x:si>
  <x:si>
    <x:t xml:space="preserve">No equivalen a cero ni están incluidas en el total conocido.</x:t>
  </x:si>
  <x:si>
    <x:t xml:space="preserve">TOTAL DEL ALCANCE LISTADO</x:t>
  </x:si>
  <x:si>
    <x:t xml:space="preserve">Anclajes, servicios y otros accesorios por cotizar. Compatibilidad de riel y fijaciones gola por confirmar.</x:t>
  </x:si>
  <x:si>
    <x:t xml:space="preserve">Resumen de cantos · diseño final 260</x:t>
  </x:si>
  <x:si>
    <x:t xml:space="preserve">Reserva por borde (m)</x:t>
  </x:si>
  <x:si>
    <x:t xml:space="preserve">Tipo</x:t>
  </x:si>
  <x:si>
    <x:t xml:space="preserve">Dónde va</x:t>
  </x:si>
  <x:si>
    <x:t xml:space="preserve">Bordes</x:t>
  </x:si>
  <x:si>
    <x:t xml:space="preserve">Reserva de máquina</x:t>
  </x:si>
  <x:si>
    <x:t xml:space="preserve">Metros a pedir</x:t>
  </x:si>
  <x:si>
    <x:t xml:space="preserve">m por rollo</x:t>
  </x:si>
  <x:si>
    <x:t xml:space="preserve">Pendientes antes de cortar y armar · cocina final 260</x:t>
  </x:si>
  <x:si>
    <x:t xml:space="preserve">Solo lo que falta resolver. Lo ya decidido está en la hoja Decisiones; el despiece y el 3D ya lo reflejan.</x:t>
  </x:si>
  <x:si>
    <x:t xml:space="preserve">Tema</x:t>
  </x:si>
  <x:si>
    <x:t xml:space="preserve">Qué falta</x:t>
  </x:si>
  <x:si>
    <x:t xml:space="preserve">Qué bloquea</x:t>
  </x:si>
  <x:si>
    <x:t xml:space="preserve">Quién lo define</x:t>
  </x:si>
  <x:si>
    <x:t xml:space="preserve">Proveedor de corte</x:t>
  </x:si>
  <x:si>
    <x:t xml:space="preserve">Confirmar si pide medida terminada y descuenta el canto, y el tamaño mínimo que cantea (Pedido de corte, Q2–Q4). Plano previsto: 4 láminas RH15 y 1 de fondo.</x:t>
  </x:si>
  <x:si>
    <x:t xml:space="preserve">Pedido de corte</x:t>
  </x:si>
  <x:si>
    <x:t xml:space="preserve">Sucursal Madecentro</x:t>
  </x:si>
  <x:si>
    <x:t xml:space="preserve">Basurero B4</x:t>
  </x:si>
  <x:si>
    <x:t xml:space="preserve">Confirmar el descuento real del riel HRE126-55 (27 mm es un supuesto), la bandeja HSO688-00, las holguras y la fijación rígida del frente. Riel montado vertical en los largueros, no acostado.</x:t>
  </x:si>
  <x:si>
    <x:t xml:space="preserve">Corte de P072–P074 en el armado, de un sobrante</x:t>
  </x:si>
  <x:si>
    <x:t xml:space="preserve">Ficha HRE126 y piezas reales</x:t>
  </x:si>
  <x:si>
    <x:t xml:space="preserve">Horno y estufa</x:t>
  </x:si>
  <x:si>
    <x:t xml:space="preserve">Nicho, tapetas, apoyos y ventilación según el manual del horno H60EEVAL005 (Haceb publica ruteo 540 × 540 × 605); panel bajo la estufa según la estufa real. No ensanchar el hueco por el frente.</x:t>
  </x:si>
  <x:si>
    <x:t xml:space="preserve">Altura de P009 y recorte de P011 en el armado</x:t>
  </x:si>
  <x:si>
    <x:t xml:space="preserve">Manuales del horno y la estufa</x:t>
  </x:si>
  <x:si>
    <x:t xml:space="preserve">Mesón de granito</x:t>
  </x:si>
  <x:si>
    <x:t xml:space="preserve">Definir el borde (plano o con pestaña), los recortes del lavaplatos (plantilla Socoda) y de la estufa, y el soporte del lavaplatos de submontar. Placa de 15 mm.</x:t>
  </x:si>
  <x:si>
    <x:t xml:space="preserve">Rebajes de gola y corte del mesón</x:t>
  </x:si>
  <x:si>
    <x:t xml:space="preserve">Vendedor del granito / marmolero</x:t>
  </x:si>
  <x:si>
    <x:t xml:space="preserve">Rebajes de gola</x:t>
  </x:si>
  <x:si>
    <x:t xml:space="preserve">Se hacen en el armado cuando se conozca el borde del mesón: laterales P001, P012, P023 y P030 (≈30 × 75 arriba; P012 y P030 además ≈30 × 50 para la gola media), travesaños P003, P014 y P032 (≈30 × 15), P025 (≈15 × 75) y P034 (≈20 × 5). Confirmar las 10 fijaciones compatibles y los remates.</x:t>
  </x:si>
  <x:si>
    <x:t xml:space="preserve">Armado (no el corte)</x:t>
  </x:si>
  <x:si>
    <x:t xml:space="preserve">Taller y proveedor del perfil</x:t>
  </x:si>
  <x:si>
    <x:t xml:space="preserve">S2 sobre la campana</x:t>
  </x:si>
  <x:si>
    <x:t xml:space="preserve">Distancia estufa–campana según manual (referencia 650 mm). Fuerza de los brazos HEC060-03 con el peso real de la puerta (~2,07 kg). Perforación del ducto en P047 (y en P046 si sale hacia arriba).</x:t>
  </x:si>
  <x:si>
    <x:t xml:space="preserve">Compra de brazos y perforación en obra</x:t>
  </x:si>
  <x:si>
    <x:t xml:space="preserve">Manuales de campana y brazos</x:t>
  </x:si>
  <x:si>
    <x:t xml:space="preserve">Anclaje de muebles altos</x:t>
  </x:si>
  <x:si>
    <x:t xml:space="preserve">Elegir riel mural y fijaciones para los 5 pares de colgadores según el muro real; comprobar la cabida en S1 (luz 165).</x:t>
  </x:si>
  <x:si>
    <x:t xml:space="preserve">Instalación de S1–S5</x:t>
  </x:si>
  <x:si>
    <x:t xml:space="preserve">Instalador</x:t>
  </x:si>
  <x:si>
    <x:t xml:space="preserve">Lavaplatos B5</x:t>
  </x:si>
  <x:si>
    <x:t xml:space="preserve">Recortar el sifón y las tuberías en el entrepaño P029 en obra y sellar el corte. Sifón y llaves deben permitir retirarlo.</x:t>
  </x:si>
  <x:si>
    <x:t xml:space="preserve">Armado</x:t>
  </x:si>
  <x:si>
    <x:t xml:space="preserve">Taller / plomero</x:t>
  </x:si>
  <x:si>
    <x:t xml:space="preserve">Platero S4</x:t>
  </x:si>
  <x:si>
    <x:t xml:space="preserve">Marcar los 4 pines Ø10 con el herraje real en obra (7 kg máximo).</x:t>
  </x:si>
  <x:si>
    <x:t xml:space="preserve">Taller</x:t>
  </x:si>
  <x:si>
    <x:t xml:space="preserve">Uniones y armado</x:t>
  </x:si>
  <x:si>
    <x:t xml:space="preserve">Base del cajón de B3 aplicada por debajo: pretaladro, uniones y refuerzos según carga. Distribuir las 4 patas de refuerzo. Fijación al muro contra desplazamiento.</x:t>
  </x:si>
  <x:si>
    <x:t xml:space="preserve">Carpintero</x:t>
  </x:si>
  <x:si>
    <x:t xml:space="preserve">Escurridor (opcional)</x:t>
  </x:si>
  <x:si>
    <x:t xml:space="preserve">Elegir el modelo real para la zona derecha de 40 cm y la bandeja antigoteo.</x:t>
  </x:si>
  <x:si>
    <x:t xml:space="preserve">Compra</x:t>
  </x:si>
  <x:si>
    <x:t xml:space="preserve">Usuario</x:t>
  </x:si>
  <x:si>
    <x:t xml:space="preserve">Decisiones aplicadas · cocina final 260</x:t>
  </x:si>
  <x:si>
    <x:t xml:space="preserve">Registro de lo ya resuelto; el despiece y el 3D ya lo reflejan.</x:t>
  </x:si>
  <x:si>
    <x:t xml:space="preserve">Decisión</x:t>
  </x:si>
  <x:si>
    <x:t xml:space="preserve">Dónde</x:t>
  </x:si>
  <x:si>
    <x:t xml:space="preserve">Fecha / fuente</x:t>
  </x:si>
  <x:si>
    <x:t xml:space="preserve">Distribución</x:t>
  </x:si>
  <x:si>
    <x:t xml:space="preserve">180 + 600 + 670 + 700 + 400 = 2550. Terminal 15 y vuelos 15/20: mesón 2600; 200 libres a ambos extremos del muro.</x:t>
  </x:si>
  <x:si>
    <x:t xml:space="preserve">B1/B2/B3/B5/B4</x:t>
  </x:si>
  <x:si>
    <x:t xml:space="preserve">Dibujo y decisiones del usuario 26/10/2026</x:t>
  </x:si>
  <x:si>
    <x:t xml:space="preserve">Puertas y cubiertero</x:t>
  </x:si>
  <x:si>
    <x:t xml:space="preserve">B3 conserva solo un cajón arriba y dos puertas abajo con entrepaño. Caja 613 × 550; base inferior de 15, paredes 75, interior 583 × 520.</x:t>
  </x:si>
  <x:si>
    <x:t xml:space="preserve">B3</x:t>
  </x:si>
  <x:si>
    <x:t xml:space="preserve">Medidas calculadas con vano 640 y descuento de riel 27</x:t>
  </x:si>
  <x:si>
    <x:t xml:space="preserve">Basurero separado</x:t>
  </x:si>
  <x:si>
    <x:t xml:space="preserve">Puerta superior 402 × 397 con bisagras; frente inferior 302 × 397 extraíble. Entrepaño fijo y=425–440; los 215 mm del recipiente no incluyen mecanismo ni holgura.</x:t>
  </x:si>
  <x:si>
    <x:t xml:space="preserve">B4</x:t>
  </x:si>
  <x:si>
    <x:t xml:space="preserve">HSO688-00 · usuario</x:t>
  </x:si>
  <x:si>
    <x:t xml:space="preserve">Apoyo inferior</x:t>
  </x:si>
  <x:si>
    <x:t xml:space="preserve">24 patas previstas: 20 básicas en cinco módulos y cuatro refuerzos. Fijación al muro contra desplazamiento por definir; no son muebles suspendidos.</x:t>
  </x:si>
  <x:si>
    <x:t xml:space="preserve">Bajos</x:t>
  </x:si>
  <x:si>
    <x:t xml:space="preserve">Alcance de patas conservado</x:t>
  </x:si>
  <x:si>
    <x:t xml:space="preserve">Campana alineada</x:t>
  </x:si>
  <x:si>
    <x:t xml:space="preserve">S2 y B2 x410–1010. Centro x710. S1 195; S3 655, S4 715, S5 400.</x:t>
  </x:si>
  <x:si>
    <x:t xml:space="preserve">Superiores</x:t>
  </x:si>
  <x:si>
    <x:t xml:space="preserve">Nueva distribución</x:t>
  </x:si>
  <x:si>
    <x:t xml:space="preserve">Abatible sobre campana</x:t>
  </x:si>
  <x:si>
    <x:t xml:space="preserve">Puerta S2 347 × 597, bisagras en borde superior; abre hacia arriba a 90°. Faja fija 570 × 60, x425–995/z286–301/y1770–1830. Reverso puerta z326: retranqueo 25. Piso sube a y1840–1855 para acceso de dedos.</x:t>
  </x:si>
  <x:si>
    <x:t xml:space="preserve">S2; P047/P049/P071</x:t>
  </x:si>
  <x:si>
    <x:t xml:space="preserve">Fotos del usuario 26/10/2026; geometría propuesta</x:t>
  </x:si>
  <x:si>
    <x:t xml:space="preserve">Ancho libre del condimentero</x:t>
  </x:si>
  <x:si>
    <x:t xml:space="preserve">B1 pasa de 150 a 180 exterior (150 mm libres entre laterales) porque el herraje HSO317-15R real, con sus dos rieles laterales izquierdos, suma 135 mm. B3 baja de 700 a 670 (vano 640, caja 613 × 550, interior 583 × 520) para conservar los 2550 mm. B2 y S2 se desplazan +30 mm (x410–1010); S1 pasa a 195 y S3 a 655. B5, B4, S4 y S5 no cambian de posición ni de medida.</x:t>
  </x:si>
  <x:si>
    <x:t xml:space="preserve">B1/B2/B3; S1/S2/S3</x:t>
  </x:si>
  <x:si>
    <x:t xml:space="preserve">Medición del usuario en su cocina 26/10/2026; verificado con herramientas/auditar_despiece.py</x:t>
  </x:si>
  <x:si>
    <x:t xml:space="preserve">Cantos</x:t>
  </x:si>
  <x:si>
    <x:t xml:space="preserve">Despiece H–K; Cantos</x:t>
  </x:si>
  <x:si>
    <x:t xml:space="preserve">Análisis geométrico del modelo 3D y decisión del usuario 27/10/2026</x:t>
  </x:si>
  <x:si>
    <x:t xml:space="preserve">Gola</x:t>
  </x:si>
  <x:si>
    <x:t xml:space="preserve">Sin rebajes de fábrica: se hacen en el armado según el borde del granito (plano o con pestaña), aún por acordar con el vendedor.</x:t>
  </x:si>
  <x:si>
    <x:t xml:space="preserve">P001, P003, P012, P014, P023, P025, P030, P032, P034</x:t>
  </x:si>
  <x:si>
    <x:t xml:space="preserve">Decisión del usuario 27/10/2026</x:t>
  </x:si>
  <x:si>
    <x:t xml:space="preserve">Piezas que se ajustan en el armado</x:t>
  </x:si>
  <x:si>
    <x:t xml:space="preserve">P011 se pide 15 mm más alta (160) y se recorta arriba, oculta bajo el mesón, según el horno instalado. P007 y P009 se cortan con la medida del módulo; ranuras y altura de la repisa se resuelven en obra. P072–P074 no se piden: se cortan en el armado de un sobrante, con el riel y la bandeja en mano.</x:t>
  </x:si>
  <x:si>
    <x:t xml:space="preserve">Diseño final 260 · condimentero, puertas y basurero</x:t>
  </x:si>
  <x:si>
    <x:t xml:space="preserve">Muro (mm)</x:t>
  </x:si>
  <x:si>
    <x:t xml:space="preserve">Mesón (mm)</x:t>
  </x:si>
  <x:si>
    <x:t xml:space="preserve">Separación a esquina (mm)</x:t>
  </x:si>
  <x:si>
    <x:t xml:space="preserve">Inicio mesón (mm)</x:t>
  </x:si>
  <x:si>
    <x:t xml:space="preserve">Final mesón (mm)</x:t>
  </x:si>
  <x:si>
    <x:t xml:space="preserve">Vuelo lado libre (mm)</x:t>
  </x:si>
  <x:si>
    <x:t xml:space="preserve">Elemento</x:t>
  </x:si>
  <x:si>
    <x:t xml:space="preserve">Inicio x (mm)</x:t>
  </x:si>
  <x:si>
    <x:t xml:space="preserve">Final x (mm)</x:t>
  </x:si>
  <x:si>
    <x:t xml:space="preserve">Ancho (mm)</x:t>
  </x:si>
  <x:si>
    <x:t xml:space="preserve">Alto (mm)</x:t>
  </x:si>
  <x:si>
    <x:t xml:space="preserve">Fondo (mm)</x:t>
  </x:si>
  <x:si>
    <x:t xml:space="preserve">Colocación</x:t>
  </x:si>
  <x:si>
    <x:t xml:space="preserve">Origen</x:t>
  </x:si>
  <x:si>
    <x:t xml:space="preserve">Mesón</x:t>
  </x:si>
  <x:si>
    <x:t xml:space="preserve">Cara inferior 885; superior 900.</x:t>
  </x:si>
  <x:si>
    <x:t xml:space="preserve">Mesón seleccionado</x:t>
  </x:si>
  <x:si>
    <x:t xml:space="preserve">B6 Costado</x:t>
  </x:si>
  <x:si>
    <x:t xml:space="preserve">Elevado 3 mm del piso.</x:t>
  </x:si>
  <x:si>
    <x:t xml:space="preserve">Despiece</x:t>
  </x:si>
  <x:si>
    <x:t xml:space="preserve">Condimentero HSO317-15R; 150 mm libres entre laterales.</x:t>
  </x:si>
  <x:si>
    <x:t xml:space="preserve">Horno H60EEVAL005 en vano de 570; nicho y ventilación según manual.</x:t>
  </x:si>
  <x:si>
    <x:t xml:space="preserve">Cajón cubiertero arriba; dos puertas y entrepaño abajo.</x:t>
  </x:si>
  <x:si>
    <x:t xml:space="preserve">Lavaplatos Socoda AS350; entrepaño desmontable.</x:t>
  </x:si>
  <x:si>
    <x:t xml:space="preserve">Puerta arriba; basurero extraíble abajo (bastidor provisional).</x:t>
  </x:si>
  <x:si>
    <x:t xml:space="preserve">Luz 165; alineada con el costado libre.</x:t>
  </x:si>
  <x:si>
    <x:t xml:space="preserve">Puerta abatible hacia arriba sobre la campana.</x:t>
  </x:si>
  <x:si>
    <x:t xml:space="preserve">División central y dos entrepaños.</x:t>
  </x:si>
  <x:si>
    <x:t xml:space="preserve">Platero HSO566-03G.</x:t>
  </x:si>
  <x:si>
    <x:t xml:space="preserve">Un entrepaño; sobre el escurridor.</x:t>
  </x:si>
  <x:si>
    <x:t xml:space="preserve">Suma módulos inferiores (mm)</x:t>
  </x:si>
  <x:si>
    <x:t xml:space="preserve">Terminal y vuelos (mm)</x:t>
  </x:si>
  <x:si>
    <x:t xml:space="preserve">Comprobación mesón (mm)</x:t>
  </x:si>
  <x:si>
    <x:t xml:space="preserve">Piezas RH15</x:t>
  </x:si>
  <x:si>
    <x:t xml:space="preserve">Fondos 6 mm</x:t>
  </x:si>
  <x:si>
    <x:t xml:space="preserve">Las cotas x parten del extremo izquierdo del muro de 3000. Medidas del mesón incluyen los vuelos; anchuras de módulos incluyen ambos costados.</x:t>
  </x:si>
</x:sst>
</file>

<file path=xl/styles.xml><?xml version="1.0" encoding="utf-8"?>
<x:styleSheet xmlns:x="http://schemas.openxmlformats.org/spreadsheetml/2006/main">
  <x:numFmts count="3">
    <x:numFmt numFmtId="164" formatCode="&quot;$&quot;#,##0;\(&quot;$&quot;#,##0\);&quot;—&quot;"/>
    <x:numFmt numFmtId="165" formatCode="0.0"/>
    <x:numFmt numFmtId="166" formatCode="&quot;$&quot;#,##0"/>
  </x:numFmts>
  <x:fonts count="14">
    <x:font>
      <x:sz val="11"/>
      <x:color theme="1"/>
      <x:name val="Calibri"/>
      <x:family val="2"/>
      <x:scheme val="minor"/>
    </x:font>
    <x:font>
      <x:sz val="11"/>
      <x:color theme="1"/>
      <x:name val="Calibri"/>
      <x:family val="2"/>
      <x:scheme val="minor"/>
    </x:font>
    <x:font>
      <x:sz val="10"/>
      <x:color rgb="FF253B35"/>
      <x:name val="Arial"/>
    </x:font>
    <x:font>
      <x:sz val="10"/>
      <x:color rgb="FF253B35"/>
      <x:name val="Calibri"/>
      <x:family val="2"/>
      <x:scheme val="minor"/>
    </x:font>
    <x:font>
      <x:b/>
      <x:sz val="10"/>
      <x:color rgb="FFFFFFFF"/>
      <x:name val="Arial"/>
    </x:font>
    <x:font>
      <x:b/>
      <x:sz val="14"/>
      <x:color rgb="FF253B35"/>
      <x:name val="Arial"/>
    </x:font>
    <x:font>
      <x:b/>
      <x:sz val="10"/>
      <x:color rgb="FFFFFFFF"/>
      <x:name val="Calibri"/>
      <x:family val="2"/>
      <x:scheme val="minor"/>
    </x:font>
    <x:font>
      <x:b/>
      <x:sz val="10"/>
      <x:color rgb="FF253B35"/>
      <x:name val="Calibri"/>
      <x:family val="2"/>
      <x:scheme val="minor"/>
    </x:font>
    <x:font>
      <x:b/>
      <x:sz val="11"/>
      <x:name val="Calibri"/>
    </x:font>
    <x:font>
      <x:b/>
      <x:sz val="11"/>
      <x:color theme="1"/>
      <x:name val="Calibri"/>
      <x:family val="2"/>
      <x:scheme val="minor"/>
    </x:font>
    <x:font>
      <x:b/>
      <x:sz val="14"/>
      <x:color theme="1"/>
      <x:name val="Calibri"/>
      <x:family val="2"/>
      <x:scheme val="minor"/>
    </x:font>
    <x:font>
      <x:b/>
      <x:sz val="11"/>
      <x:color rgb="FFFFFFFF"/>
      <x:name val="Calibri"/>
      <x:family val="2"/>
      <x:scheme val="minor"/>
    </x:font>
    <x:font>
      <x:i/>
      <x:sz val="11"/>
      <x:color theme="1"/>
      <x:name val="Calibri"/>
      <x:family val="2"/>
      <x:scheme val="minor"/>
    </x:font>
    <x:font>
      <x:sz val="11"/>
      <x:color rgb="FF0000FF"/>
      <x:name val="Calibri"/>
      <x:family val="2"/>
      <x:scheme val="minor"/>
    </x:font>
  </x:fonts>
  <x:fills count="12">
    <x:fill>
      <x:patternFill patternType="none"/>
    </x:fill>
    <x:fill>
      <x:patternFill patternType="gray125"/>
    </x:fill>
    <x:fill>
      <x:patternFill patternType="solid">
        <x:fgColor rgb="FFFFF5D6"/>
      </x:patternFill>
    </x:fill>
    <x:fill>
      <x:patternFill patternType="solid">
        <x:fgColor rgb="FFFFF0CC"/>
      </x:patternFill>
    </x:fill>
    <x:fill>
      <x:patternFill patternType="solid">
        <x:fgColor rgb="FF253B35"/>
      </x:patternFill>
    </x:fill>
    <x:fill>
      <x:patternFill patternType="solid">
        <x:fgColor rgb="FFE8EFDF"/>
      </x:patternFill>
    </x:fill>
    <x:fill>
      <x:patternFill patternType="solid">
        <x:fgColor rgb="FFFFF2CC"/>
      </x:patternFill>
    </x:fill>
    <x:fill>
      <x:patternFill patternType="solid">
        <x:fgColor rgb="FF253B35"/>
      </x:patternFill>
    </x:fill>
    <x:fill>
      <x:patternFill patternType="solid">
        <x:fgColor rgb="FFFFF2CC"/>
      </x:patternFill>
    </x:fill>
    <x:fill>
      <x:patternFill patternType="solid">
        <x:fgColor rgb="FFFFF2CC"/>
      </x:patternFill>
    </x:fill>
    <x:fill>
      <x:patternFill patternType="solid">
        <x:fgColor rgb="FFEAF0E3"/>
      </x:patternFill>
    </x:fill>
    <x:fill>
      <x:patternFill patternType="solid">
        <x:fgColor rgb="FF253B35"/>
      </x:patternFill>
    </x:fill>
  </x:fills>
  <x:borders count="3">
    <x:border>
      <x:left/>
      <x:right/>
      <x:top/>
      <x:bottom/>
      <x:diagonal/>
    </x:border>
    <x:border>
      <x:left style="thin">
        <x:color rgb="FFBBBBBB"/>
      </x:left>
      <x:right style="thin">
        <x:color rgb="FFBBBBBB"/>
      </x:right>
      <x:top style="thin">
        <x:color rgb="FFBBBBBB"/>
      </x:top>
      <x:bottom style="thin">
        <x:color rgb="FFBBBBBB"/>
      </x:bottom>
      <x:diagonal/>
    </x:border>
    <x:border>
      <x:left style="thin">
        <x:color rgb="FFD3DCD9"/>
      </x:left>
      <x:right style="thin">
        <x:color rgb="FFD3DCD9"/>
      </x:right>
      <x:top style="thin">
        <x:color rgb="FFD3DCD9"/>
      </x:top>
      <x:bottom style="thin">
        <x:color rgb="FFD3DCD9"/>
      </x:bottom>
      <x:diagonal/>
    </x:border>
  </x:borders>
  <x:cellStyleXfs count="1">
    <x:xf numFmtId="0" fontId="0" fillId="0" borderId="0"/>
  </x:cellStyleXfs>
  <x:cellXfs count="63">
    <x:xf numFmtId="0" fontId="0" fillId="0" borderId="0" xfId="0"/>
    <x:xf numFmtId="0" fontId="0" fillId="0" borderId="1" xfId="0" applyBorder="1"/>
    <x:xf numFmtId="2" fontId="0" fillId="0" borderId="0" xfId="0" applyNumberFormat="1"/>
    <x:xf numFmtId="0" fontId="1" fillId="0" borderId="0" xfId="0" applyFont="1"/>
    <x:xf numFmtId="0" fontId="2" fillId="0" borderId="0" xfId="0" applyFont="1" applyAlignment="1">
      <x:alignment vertical="center" wrapText="1"/>
    </x:xf>
    <x:xf numFmtId="0" fontId="3" fillId="0" borderId="0" xfId="0" applyFont="1" applyAlignment="1">
      <x:alignment vertical="center" wrapText="1"/>
    </x:xf>
    <x:xf numFmtId="0" fontId="3" fillId="0" borderId="1" xfId="0" applyFont="1" applyBorder="1" applyAlignment="1">
      <x:alignment vertical="center" wrapText="1"/>
    </x:xf>
    <x:xf numFmtId="2" fontId="3" fillId="0" borderId="0" xfId="0" applyNumberFormat="1" applyFont="1" applyAlignment="1">
      <x:alignment vertical="center" wrapText="1"/>
    </x:xf>
    <x:xf numFmtId="0" fontId="4" fillId="4" borderId="1" xfId="0" applyFont="1" applyFill="1" applyBorder="1" applyAlignment="1">
      <x:alignment horizontal="center" vertical="center" wrapText="1"/>
    </x:xf>
    <x:xf numFmtId="165" fontId="3" fillId="0" borderId="1" xfId="0" applyNumberFormat="1" applyFont="1" applyBorder="1" applyAlignment="1">
      <x:alignment vertical="center" wrapText="1"/>
    </x:xf>
    <x:xf numFmtId="165" fontId="3" fillId="0" borderId="0" xfId="0" applyNumberFormat="1" applyFont="1" applyAlignment="1">
      <x:alignment vertical="center" wrapText="1"/>
    </x:xf>
    <x:xf numFmtId="1" fontId="3" fillId="0" borderId="1" xfId="0" applyNumberFormat="1" applyFont="1" applyBorder="1" applyAlignment="1">
      <x:alignment vertical="center" wrapText="1"/>
    </x:xf>
    <x:xf numFmtId="49" fontId="3" fillId="0" borderId="1" xfId="0" applyNumberFormat="1" applyFont="1" applyBorder="1" applyAlignment="1">
      <x:alignment vertical="center" wrapText="1"/>
    </x:xf>
    <x:xf numFmtId="0" fontId="4" fillId="4" borderId="0" xfId="0" applyFont="1" applyFill="1" applyAlignment="1">
      <x:alignment horizontal="center" vertical="center" wrapText="1"/>
    </x:xf>
    <x:xf numFmtId="2" fontId="3" fillId="2" borderId="0" xfId="0" applyNumberFormat="1" applyFont="1" applyFill="1" applyAlignment="1">
      <x:alignment vertical="center" wrapText="1"/>
    </x:xf>
    <x:xf numFmtId="1" fontId="3" fillId="0" borderId="0" xfId="0" applyNumberFormat="1" applyFont="1" applyAlignment="1">
      <x:alignment vertical="center" wrapText="1"/>
    </x:xf>
    <x:xf numFmtId="0" fontId="3" fillId="2" borderId="0" xfId="0" applyFont="1" applyFill="1" applyAlignment="1">
      <x:alignment vertical="center" wrapText="1"/>
    </x:xf>
    <x:xf numFmtId="0" fontId="6" fillId="4" borderId="0" xfId="0" applyFont="1" applyFill="1" applyAlignment="1">
      <x:alignment horizontal="center" vertical="center" wrapText="1"/>
    </x:xf>
    <x:xf numFmtId="164" fontId="3" fillId="0" borderId="0" xfId="0" applyNumberFormat="1" applyFont="1" applyAlignment="1">
      <x:alignment vertical="center" wrapText="1"/>
    </x:xf>
    <x:xf numFmtId="3" fontId="3" fillId="0" borderId="0" xfId="0" applyNumberFormat="1" applyFont="1" applyAlignment="1">
      <x:alignment vertical="center" wrapText="1"/>
    </x:xf>
    <x:xf numFmtId="166" fontId="3" fillId="0" borderId="0" xfId="0" applyNumberFormat="1" applyFont="1" applyAlignment="1">
      <x:alignment vertical="center" wrapText="1"/>
    </x:xf>
    <x:xf numFmtId="166" fontId="2" fillId="0" borderId="0" xfId="0" applyNumberFormat="1" applyFont="1" applyAlignment="1">
      <x:alignment vertical="center" wrapText="1"/>
    </x:xf>
    <x:xf numFmtId="0" fontId="7" fillId="5" borderId="0" xfId="0" applyFont="1" applyFill="1" applyAlignment="1">
      <x:alignment vertical="center" wrapText="1"/>
    </x:xf>
    <x:xf numFmtId="166" fontId="7" fillId="5" borderId="0" xfId="0" applyNumberFormat="1" applyFont="1" applyFill="1" applyAlignment="1">
      <x:alignment vertical="center" wrapText="1"/>
    </x:xf>
    <x:xf numFmtId="0" fontId="3" fillId="3" borderId="0" xfId="0" applyFont="1" applyFill="1" applyAlignment="1">
      <x:alignment vertical="center" wrapText="1"/>
    </x:xf>
    <x:xf numFmtId="0" fontId="3" fillId="6" borderId="1" xfId="0" applyFont="1" applyFill="1" applyBorder="1" applyAlignment="1">
      <x:alignment vertical="center" wrapText="1"/>
    </x:xf>
    <x:xf numFmtId="0" fontId="8" fillId="0" borderId="1" xfId="0" applyFont="1" applyBorder="1"/>
    <x:xf numFmtId="49" fontId="3" fillId="0" borderId="0" xfId="0" applyNumberFormat="1" applyFont="1" applyAlignment="1">
      <x:alignment vertical="center" wrapText="1"/>
    </x:xf>
    <x:xf numFmtId="49" fontId="0" fillId="0" borderId="0" xfId="0" applyNumberFormat="1"/>
    <x:xf numFmtId="49" fontId="10" fillId="0" borderId="0" xfId="0" applyNumberFormat="1" applyFont="1"/>
    <x:xf numFmtId="49" fontId="12" fillId="0" borderId="0" xfId="0" applyNumberFormat="1" applyFont="1"/>
    <x:xf numFmtId="49" fontId="9" fillId="8" borderId="0" xfId="0" applyNumberFormat="1" applyFont="1" applyFill="1"/>
    <x:xf numFmtId="1" fontId="0" fillId="0" borderId="0" xfId="0" applyNumberFormat="1"/>
    <x:xf numFmtId="1" fontId="9" fillId="8" borderId="0" xfId="0" applyNumberFormat="1" applyFont="1" applyFill="1"/>
    <x:xf numFmtId="49" fontId="9" fillId="0" borderId="0" xfId="0" applyNumberFormat="1" applyFont="1"/>
    <x:xf numFmtId="0" fontId="9" fillId="0" borderId="0" xfId="0" applyFont="1"/>
    <x:xf numFmtId="1" fontId="9" fillId="0" borderId="0" xfId="0" applyNumberFormat="1" applyFont="1"/>
    <x:xf numFmtId="2" fontId="0" fillId="8" borderId="0" xfId="0" applyNumberFormat="1" applyFill="1"/>
    <x:xf numFmtId="9" fontId="0" fillId="8" borderId="0" xfId="0" applyNumberFormat="1" applyFill="1"/>
    <x:xf numFmtId="49" fontId="11" fillId="7" borderId="2" xfId="0" applyNumberFormat="1" applyFont="1" applyFill="1" applyBorder="1" applyAlignment="1">
      <x:alignment vertical="center" wrapText="1"/>
    </x:xf>
    <x:xf numFmtId="0" fontId="0" fillId="0" borderId="2" xfId="0" applyBorder="1"/>
    <x:xf numFmtId="1" fontId="0" fillId="0" borderId="2" xfId="0" applyNumberFormat="1" applyBorder="1"/>
    <x:xf numFmtId="0" fontId="0" fillId="0" borderId="2" xfId="0" applyBorder="1" applyAlignment="1">
      <x:alignment horizontal="center"/>
    </x:xf>
    <x:xf numFmtId="0" fontId="0" fillId="0" borderId="2" xfId="0" applyBorder="1" applyAlignment="1">
      <x:alignment wrapText="1"/>
    </x:xf>
    <x:xf numFmtId="2" fontId="9" fillId="0" borderId="0" xfId="0" applyNumberFormat="1" applyFont="1"/>
    <x:xf numFmtId="2" fontId="9" fillId="0" borderId="2" xfId="0" applyNumberFormat="1" applyFont="1" applyBorder="1"/>
    <x:xf numFmtId="2" fontId="13" fillId="9" borderId="0" xfId="0" applyNumberFormat="1" applyFont="1" applyFill="1"/>
    <x:xf numFmtId="0" fontId="9" fillId="10" borderId="0" xfId="0" applyFont="1" applyFill="1"/>
    <x:xf numFmtId="2" fontId="9" fillId="10" borderId="0" xfId="0" applyNumberFormat="1" applyFont="1" applyFill="1"/>
    <x:xf numFmtId="49" fontId="11" fillId="11" borderId="2" xfId="0" applyNumberFormat="1" applyFont="1" applyFill="1" applyBorder="1" applyAlignment="1">
      <x:alignment vertical="top" wrapText="1"/>
    </x:xf>
    <x:xf numFmtId="0" fontId="0" fillId="0" borderId="2" xfId="0" applyBorder="1" applyAlignment="1">
      <x:alignment vertical="top" wrapText="1"/>
    </x:xf>
    <x:xf numFmtId="49" fontId="0" fillId="0" borderId="2" xfId="0" applyNumberFormat="1" applyBorder="1" applyAlignment="1">
      <x:alignment vertical="top" wrapText="1"/>
    </x:xf>
    <x:xf numFmtId="49" fontId="3" fillId="0" borderId="0" xfId="0" applyNumberFormat="1" applyFont="1" applyAlignment="1">
      <x:alignment vertical="center" wrapText="1"/>
    </x:xf>
    <x:xf numFmtId="0" fontId="0" fillId="0" borderId="0" xfId="0"/>
    <x:xf numFmtId="0" fontId="3" fillId="0" borderId="0" xfId="0" applyFont="1" applyAlignment="1">
      <x:alignment vertical="center" wrapText="1"/>
    </x:xf>
    <x:xf numFmtId="0" fontId="5" fillId="0" borderId="0" xfId="0" applyFont="1" applyAlignment="1">
      <x:alignment vertical="center" wrapText="1"/>
    </x:xf>
    <x:xf numFmtId="49" fontId="12" fillId="0" borderId="0" xfId="0" applyNumberFormat="1" applyFont="1" applyAlignment="1">
      <x:alignment wrapText="1"/>
    </x:xf>
    <x:xf numFmtId="0" fontId="0" fillId="0" borderId="0" xfId="0" applyAlignment="1">
      <x:alignment wrapText="1"/>
    </x:xf>
    <x:xf numFmtId="49" fontId="2" fillId="0" borderId="0" xfId="0" applyNumberFormat="1" applyFont="1" applyAlignment="1">
      <x:alignment vertical="center" wrapText="1"/>
    </x:xf>
    <x:xf numFmtId="0" fontId="3" fillId="0" borderId="0" xfId="0" applyNumberFormat="1" applyFont="1" applyFill="1" applyBorder="1" applyAlignment="1">
      <x:alignment vertical="center" wrapText="1"/>
    </x:xf>
    <x:xf numFmtId="49" fontId="3" fillId="0" borderId="0" xfId="0" applyNumberFormat="1" applyFont="1" applyFill="1" applyBorder="1" applyAlignment="1">
      <x:alignment vertical="center" wrapText="1"/>
    </x:xf>
    <x:xf numFmtId="49" fontId="2" fillId="0" borderId="0" xfId="0" applyNumberFormat="1" applyFont="1" applyFill="1" applyBorder="1" applyAlignment="1">
      <x:alignment vertical="center" wrapText="1"/>
    </x:xf>
    <x:xf numFmtId="49" fontId="0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9C5700"/>
      </x:font>
      <x:fill>
        <x:patternFill>
          <x:bgColor rgb="FFFFF0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c9db2e6bbb34565" /><Relationship Type="http://schemas.openxmlformats.org/officeDocument/2006/relationships/theme" Target="/xl/theme/theme1.xml" Id="R1647b0facfeb47ee" /><Relationship Type="http://schemas.openxmlformats.org/officeDocument/2006/relationships/sharedStrings" Target="/xl/sharedStrings.xml" Id="R917a05186bde48a2" /><Relationship Type="http://schemas.openxmlformats.org/officeDocument/2006/relationships/worksheet" Target="/xl/worksheets/sheet1.xml" Id="Ra00afd2426d74c81" /><Relationship Type="http://schemas.openxmlformats.org/officeDocument/2006/relationships/worksheet" Target="/xl/worksheets/sheet2.xml" Id="Rb9923d062e79431f" /><Relationship Type="http://schemas.openxmlformats.org/officeDocument/2006/relationships/worksheet" Target="/xl/worksheets/sheet3.xml" Id="Raf2d52516d504733" /><Relationship Type="http://schemas.openxmlformats.org/officeDocument/2006/relationships/worksheet" Target="/xl/worksheets/sheet4.xml" Id="Rcadcb59720054292" /><Relationship Type="http://schemas.openxmlformats.org/officeDocument/2006/relationships/worksheet" Target="/xl/worksheets/sheet5.xml" Id="Rd984216937f748bd" /><Relationship Type="http://schemas.openxmlformats.org/officeDocument/2006/relationships/worksheet" Target="/xl/worksheets/sheet6.xml" Id="Rb4d4b8bb39044edc" /><Relationship Type="http://schemas.openxmlformats.org/officeDocument/2006/relationships/worksheet" Target="/xl/worksheets/sheet7.xml" Id="Rc81cada2790d4bac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4" topLeftCell="A5" activePane="bottomLeft" state="frozen"/>
    </x:sheetView>
  </x:sheetViews>
  <x:sheetFormatPr baseColWidth="10" defaultColWidth="8.88671875" defaultRowHeight="14.399999618530273"/>
  <x:cols>
    <x:col min="1" max="1" width="8" customWidth="1"/>
    <x:col min="2" max="2" width="30" customWidth="1"/>
    <x:col min="3" max="3" width="47" customWidth="1"/>
    <x:col min="4" max="4" width="28" customWidth="1"/>
    <x:col min="5" max="6" width="14" customWidth="1"/>
    <x:col min="7" max="7" width="8" customWidth="1"/>
    <x:col min="8" max="11" width="10" customWidth="1"/>
    <x:col min="12" max="13" width="15" customWidth="1"/>
  </x:cols>
  <x:sheetData>
    <x:row r="1" ht="25.950000762939453" customHeight="1">
      <x:c r="A1" s="55" t="s">
        <x:v>0</x:v>
      </x:c>
      <x:c r="B1" s="53"/>
      <x:c r="C1" s="53"/>
      <x:c r="D1" s="53"/>
      <x:c r="E1" s="53"/>
      <x:c r="F1" s="53"/>
      <x:c r="G1" s="53"/>
      <x:c r="H1" s="53"/>
      <x:c r="I1" s="53"/>
      <x:c r="J1" s="53"/>
      <x:c r="K1" s="53"/>
      <x:c r="L1" s="53"/>
      <x:c r="M1" s="53"/>
    </x:row>
    <x:row r="2" ht="31.950000762939453" customHeight="1">
      <x:c r="A2" s="54" t="s">
        <x:v>1</x:v>
      </x:c>
      <x:c r="B2" s="53"/>
      <x:c r="C2" s="53"/>
      <x:c r="D2" s="53"/>
      <x:c r="E2" s="53"/>
      <x:c r="F2" s="53"/>
      <x:c r="G2" s="53"/>
      <x:c r="H2" s="53"/>
      <x:c r="I2" s="53"/>
      <x:c r="J2" s="53"/>
      <x:c r="K2" s="53"/>
      <x:c r="L2" s="53"/>
      <x:c r="M2" s="53"/>
    </x:row>
    <x:row r="3" ht="31.950000762939453" customHeight="1">
      <x:c r="A3" s="52" t="s">
        <x:v>2</x:v>
      </x:c>
      <x:c r="B3" s="53"/>
      <x:c r="C3" s="53"/>
      <x:c r="D3" s="53"/>
      <x:c r="E3" s="53"/>
      <x:c r="F3" s="53"/>
      <x:c r="G3" s="53"/>
      <x:c r="H3" s="53"/>
      <x:c r="I3" s="53"/>
      <x:c r="J3" s="53"/>
      <x:c r="K3" s="53"/>
      <x:c r="L3" s="53"/>
      <x:c r="M3" s="53"/>
    </x:row>
    <x:row r="4" ht="42" customHeight="1">
      <x:c r="A4" s="8" t="s">
        <x:v>3</x:v>
      </x:c>
      <x:c r="B4" s="8" t="s">
        <x:v>4</x:v>
      </x:c>
      <x:c r="C4" s="8" t="s">
        <x:v>5</x:v>
      </x:c>
      <x:c r="D4" s="8" t="s">
        <x:v>6</x:v>
      </x:c>
      <x:c r="E4" s="8" t="s">
        <x:v>7</x:v>
      </x:c>
      <x:c r="F4" s="8" t="s">
        <x:v>8</x:v>
      </x:c>
      <x:c r="G4" s="8" t="s">
        <x:v>9</x:v>
      </x:c>
      <x:c r="H4" s="8" t="s">
        <x:v>10</x:v>
      </x:c>
      <x:c r="I4" s="8" t="s">
        <x:v>11</x:v>
      </x:c>
      <x:c r="J4" s="8" t="s">
        <x:v>12</x:v>
      </x:c>
      <x:c r="K4" s="8" t="s">
        <x:v>13</x:v>
      </x:c>
      <x:c r="L4" s="8" t="s">
        <x:v>14</x:v>
      </x:c>
      <x:c r="M4" s="8" t="s">
        <x:v>15</x:v>
      </x:c>
    </x:row>
    <x:row r="5" ht="30" customHeight="1">
      <x:c r="A5" s="6" t="s">
        <x:v>16</x:v>
      </x:c>
      <x:c r="B5" s="6" t="s">
        <x:v>17</x:v>
      </x:c>
      <x:c r="C5" s="6" t="s">
        <x:v>18</x:v>
      </x:c>
      <x:c r="D5" s="6" t="s">
        <x:v>19</x:v>
      </x:c>
      <x:c r="E5" s="9">
        <x:v>785</x:v>
      </x:c>
      <x:c r="F5" s="9">
        <x:v>580</x:v>
      </x:c>
      <x:c r="G5" s="11">
        <x:v>2</x:v>
      </x:c>
      <x:c r="H5" s="12" t="str">
        <x:v>0.45</x:v>
      </x:c>
      <x:c r="I5" s="12" t="str">
        <x:v>—</x:v>
      </x:c>
      <x:c r="J5" s="12" t="str">
        <x:v>0.45</x:v>
      </x:c>
      <x:c r="K5" s="12" t="str">
        <x:v>—</x:v>
      </x:c>
      <x:c r="L5" s="10" t="n">
        <x:f t="shared" ref="L5:L36" si="0">E5-IF(J5="2",2,IF(J5="0.45",0.45,0))-IF(K5="2",2,IF(K5="0.45",0.45,0))</x:f>
        <x:v>784.55</x:v>
      </x:c>
      <x:c r="M5" s="10" t="n">
        <x:f t="shared" ref="M5:M36" si="1">F5-IF(H5="2",2,IF(H5="0.45",0.45,0))-IF(I5="2",2,IF(I5="0.45",0.45,0))</x:f>
        <x:v>579.55</x:v>
      </x:c>
    </x:row>
    <x:row r="6" ht="30" customHeight="1">
      <x:c r="A6" s="6" t="s">
        <x:v>20</x:v>
      </x:c>
      <x:c r="B6" s="6" t="s">
        <x:v>17</x:v>
      </x:c>
      <x:c r="C6" s="6" t="s">
        <x:v>21</x:v>
      </x:c>
      <x:c r="D6" s="6" t="s">
        <x:v>19</x:v>
      </x:c>
      <x:c r="E6" s="9">
        <x:v>150</x:v>
      </x:c>
      <x:c r="F6" s="9">
        <x:v>580</x:v>
      </x:c>
      <x:c r="G6" s="11">
        <x:v>1</x:v>
      </x:c>
      <x:c r="H6" s="12" t="str">
        <x:v>0.45</x:v>
      </x:c>
      <x:c r="I6" s="12" t="str">
        <x:v>—</x:v>
      </x:c>
      <x:c r="J6" s="12" t="str">
        <x:v>—</x:v>
      </x:c>
      <x:c r="K6" s="12" t="str">
        <x:v>—</x:v>
      </x:c>
      <x:c r="L6" s="10" t="n">
        <x:f t="shared" si="0">E6-IF(J6="2",2,IF(J6="0.45",0.45,0))-IF(K6="2",2,IF(K6="0.45",0.45,0))</x:f>
        <x:v>150</x:v>
      </x:c>
      <x:c r="M6" s="10" t="n">
        <x:f t="shared" si="1">F6-IF(H6="2",2,IF(H6="0.45",0.45,0))-IF(I6="2",2,IF(I6="0.45",0.45,0))</x:f>
        <x:v>579.55</x:v>
      </x:c>
    </x:row>
    <x:row r="7" ht="30" customHeight="1">
      <x:c r="A7" s="6" t="s">
        <x:v>22</x:v>
      </x:c>
      <x:c r="B7" s="6" t="s">
        <x:v>17</x:v>
      </x:c>
      <x:c r="C7" s="6" t="s">
        <x:v>23</x:v>
      </x:c>
      <x:c r="D7" s="6" t="s">
        <x:v>19</x:v>
      </x:c>
      <x:c r="E7" s="9">
        <x:v>150</x:v>
      </x:c>
      <x:c r="F7" s="9">
        <x:v>100</x:v>
      </x:c>
      <x:c r="G7" s="11">
        <x:v>2</x:v>
      </x:c>
      <x:c r="H7" s="12" t="str">
        <x:v>0.45</x:v>
      </x:c>
      <x:c r="I7" s="12" t="str">
        <x:v>0.45</x:v>
      </x:c>
      <x:c r="J7" s="12" t="str">
        <x:v>—</x:v>
      </x:c>
      <x:c r="K7" s="12" t="str">
        <x:v>—</x:v>
      </x:c>
      <x:c r="L7" s="10" t="n">
        <x:f t="shared" si="0">E7-IF(J7="2",2,IF(J7="0.45",0.45,0))-IF(K7="2",2,IF(K7="0.45",0.45,0))</x:f>
        <x:v>150</x:v>
      </x:c>
      <x:c r="M7" s="10" t="n">
        <x:f t="shared" si="1">F7-IF(H7="2",2,IF(H7="0.45",0.45,0))-IF(I7="2",2,IF(I7="0.45",0.45,0))</x:f>
        <x:v>99.1</x:v>
      </x:c>
    </x:row>
    <x:row r="8" ht="30" customHeight="1">
      <x:c r="A8" s="6" t="s">
        <x:v>24</x:v>
      </x:c>
      <x:c r="B8" s="6" t="s">
        <x:v>17</x:v>
      </x:c>
      <x:c r="C8" s="6" t="s">
        <x:v>25</x:v>
      </x:c>
      <x:c r="D8" s="6" t="s">
        <x:v>26</x:v>
      </x:c>
      <x:c r="E8" s="9">
        <x:v>176</x:v>
      </x:c>
      <x:c r="F8" s="9">
        <x:v>781</x:v>
      </x:c>
      <x:c r="G8" s="11">
        <x:v>1</x:v>
      </x:c>
      <x:c r="H8" s="12" t="str">
        <x:v>—</x:v>
      </x:c>
      <x:c r="I8" s="12" t="str">
        <x:v>—</x:v>
      </x:c>
      <x:c r="J8" s="12" t="str">
        <x:v>—</x:v>
      </x:c>
      <x:c r="K8" s="12" t="str">
        <x:v>—</x:v>
      </x:c>
      <x:c r="L8" s="10" t="n">
        <x:f t="shared" si="0">E8-IF(J8="2",2,IF(J8="0.45",0.45,0))-IF(K8="2",2,IF(K8="0.45",0.45,0))</x:f>
        <x:v>176</x:v>
      </x:c>
      <x:c r="M8" s="10" t="n">
        <x:f t="shared" si="1">F8-IF(H8="2",2,IF(H8="0.45",0.45,0))-IF(I8="2",2,IF(I8="0.45",0.45,0))</x:f>
        <x:v>781</x:v>
      </x:c>
    </x:row>
    <x:row r="9" ht="30" customHeight="1">
      <x:c r="A9" s="6" t="s">
        <x:v>27</x:v>
      </x:c>
      <x:c r="B9" s="6" t="s">
        <x:v>17</x:v>
      </x:c>
      <x:c r="C9" s="6" t="s">
        <x:v>28</x:v>
      </x:c>
      <x:c r="D9" s="6" t="s">
        <x:v>19</x:v>
      </x:c>
      <x:c r="E9" s="9">
        <x:v>732</x:v>
      </x:c>
      <x:c r="F9" s="9">
        <x:v>177</x:v>
      </x:c>
      <x:c r="G9" s="11">
        <x:v>1</x:v>
      </x:c>
      <x:c r="H9" s="12" t="str">
        <x:v>2</x:v>
      </x:c>
      <x:c r="I9" s="12" t="str">
        <x:v>2</x:v>
      </x:c>
      <x:c r="J9" s="12" t="str">
        <x:v>2</x:v>
      </x:c>
      <x:c r="K9" s="12" t="str">
        <x:v>2</x:v>
      </x:c>
      <x:c r="L9" s="10" t="n">
        <x:f t="shared" si="0">E9-IF(J9="2",2,IF(J9="0.45",0.45,0))-IF(K9="2",2,IF(K9="0.45",0.45,0))</x:f>
        <x:v>728</x:v>
      </x:c>
      <x:c r="M9" s="10" t="n">
        <x:f t="shared" si="1">F9-IF(H9="2",2,IF(H9="0.45",0.45,0))-IF(I9="2",2,IF(I9="0.45",0.45,0))</x:f>
        <x:v>173</x:v>
      </x:c>
    </x:row>
    <x:row r="10" ht="30" customHeight="1">
      <x:c r="A10" s="6" t="s">
        <x:v>29</x:v>
      </x:c>
      <x:c r="B10" s="6" t="s">
        <x:v>30</x:v>
      </x:c>
      <x:c r="C10" s="6" t="s">
        <x:v>18</x:v>
      </x:c>
      <x:c r="D10" s="6" t="s">
        <x:v>19</x:v>
      </x:c>
      <x:c r="E10" s="9">
        <x:v>785</x:v>
      </x:c>
      <x:c r="F10" s="9">
        <x:v>580</x:v>
      </x:c>
      <x:c r="G10" s="11">
        <x:v>2</x:v>
      </x:c>
      <x:c r="H10" s="12" t="str">
        <x:v>0.45</x:v>
      </x:c>
      <x:c r="I10" s="12" t="str">
        <x:v>—</x:v>
      </x:c>
      <x:c r="J10" s="12" t="str">
        <x:v>0.45</x:v>
      </x:c>
      <x:c r="K10" s="12" t="str">
        <x:v>—</x:v>
      </x:c>
      <x:c r="L10" s="10" t="n">
        <x:f t="shared" si="0">E10-IF(J10="2",2,IF(J10="0.45",0.45,0))-IF(K10="2",2,IF(K10="0.45",0.45,0))</x:f>
        <x:v>784.55</x:v>
      </x:c>
      <x:c r="M10" s="10" t="n">
        <x:f t="shared" si="1">F10-IF(H10="2",2,IF(H10="0.45",0.45,0))-IF(I10="2",2,IF(I10="0.45",0.45,0))</x:f>
        <x:v>579.55</x:v>
      </x:c>
    </x:row>
    <x:row r="11" ht="30" customHeight="1">
      <x:c r="A11" s="6" t="s">
        <x:v>31</x:v>
      </x:c>
      <x:c r="B11" s="6" t="s">
        <x:v>30</x:v>
      </x:c>
      <x:c r="C11" s="6" t="s">
        <x:v>32</x:v>
      </x:c>
      <x:c r="D11" s="6" t="s">
        <x:v>19</x:v>
      </x:c>
      <x:c r="E11" s="9">
        <x:v>570</x:v>
      </x:c>
      <x:c r="F11" s="9">
        <x:v>580</x:v>
      </x:c>
      <x:c r="G11" s="11">
        <x:v>1</x:v>
      </x:c>
      <x:c r="H11" s="12" t="str">
        <x:v>0.45</x:v>
      </x:c>
      <x:c r="I11" s="12" t="str">
        <x:v>—</x:v>
      </x:c>
      <x:c r="J11" s="12" t="str">
        <x:v>—</x:v>
      </x:c>
      <x:c r="K11" s="12" t="str">
        <x:v>—</x:v>
      </x:c>
      <x:c r="L11" s="10" t="n">
        <x:f t="shared" si="0">E11-IF(J11="2",2,IF(J11="0.45",0.45,0))-IF(K11="2",2,IF(K11="0.45",0.45,0))</x:f>
        <x:v>570</x:v>
      </x:c>
      <x:c r="M11" s="10" t="n">
        <x:f t="shared" si="1">F11-IF(H11="2",2,IF(H11="0.45",0.45,0))-IF(I11="2",2,IF(I11="0.45",0.45,0))</x:f>
        <x:v>579.55</x:v>
      </x:c>
    </x:row>
    <x:row r="12" ht="30" customHeight="1">
      <x:c r="A12" s="6" t="s">
        <x:v>33</x:v>
      </x:c>
      <x:c r="B12" s="6" t="s">
        <x:v>30</x:v>
      </x:c>
      <x:c r="C12" s="6" t="s">
        <x:v>34</x:v>
      </x:c>
      <x:c r="D12" s="6" t="s">
        <x:v>19</x:v>
      </x:c>
      <x:c r="E12" s="9">
        <x:v>570</x:v>
      </x:c>
      <x:c r="F12" s="9">
        <x:v>100</x:v>
      </x:c>
      <x:c r="G12" s="11">
        <x:v>1</x:v>
      </x:c>
      <x:c r="H12" s="12" t="str">
        <x:v>0.45</x:v>
      </x:c>
      <x:c r="I12" s="12" t="str">
        <x:v>—</x:v>
      </x:c>
      <x:c r="J12" s="12" t="str">
        <x:v>—</x:v>
      </x:c>
      <x:c r="K12" s="12" t="str">
        <x:v>—</x:v>
      </x:c>
      <x:c r="L12" s="10" t="n">
        <x:f t="shared" si="0">E12-IF(J12="2",2,IF(J12="0.45",0.45,0))-IF(K12="2",2,IF(K12="0.45",0.45,0))</x:f>
        <x:v>570</x:v>
      </x:c>
      <x:c r="M12" s="10" t="n">
        <x:f t="shared" si="1">F12-IF(H12="2",2,IF(H12="0.45",0.45,0))-IF(I12="2",2,IF(I12="0.45",0.45,0))</x:f>
        <x:v>99.55</x:v>
      </x:c>
    </x:row>
    <x:row r="13" ht="30" customHeight="1">
      <x:c r="A13" s="6" t="s">
        <x:v>35</x:v>
      </x:c>
      <x:c r="B13" s="6" t="s">
        <x:v>30</x:v>
      </x:c>
      <x:c r="C13" s="6" t="s">
        <x:v>36</x:v>
      </x:c>
      <x:c r="D13" s="6" t="s">
        <x:v>19</x:v>
      </x:c>
      <x:c r="E13" s="9">
        <x:v>570</x:v>
      </x:c>
      <x:c r="F13" s="9">
        <x:v>500</x:v>
      </x:c>
      <x:c r="G13" s="11">
        <x:v>1</x:v>
      </x:c>
      <x:c r="H13" s="12" t="str">
        <x:v>0.45</x:v>
      </x:c>
      <x:c r="I13" s="12" t="str">
        <x:v>—</x:v>
      </x:c>
      <x:c r="J13" s="12" t="str">
        <x:v>—</x:v>
      </x:c>
      <x:c r="K13" s="12" t="str">
        <x:v>—</x:v>
      </x:c>
      <x:c r="L13" s="10" t="n">
        <x:f t="shared" si="0">E13-IF(J13="2",2,IF(J13="0.45",0.45,0))-IF(K13="2",2,IF(K13="0.45",0.45,0))</x:f>
        <x:v>570</x:v>
      </x:c>
      <x:c r="M13" s="10" t="n">
        <x:f t="shared" si="1">F13-IF(H13="2",2,IF(H13="0.45",0.45,0))-IF(I13="2",2,IF(I13="0.45",0.45,0))</x:f>
        <x:v>499.55</x:v>
      </x:c>
    </x:row>
    <x:row r="14" ht="30" customHeight="1">
      <x:c r="A14" s="6" t="s">
        <x:v>37</x:v>
      </x:c>
      <x:c r="B14" s="6" t="s">
        <x:v>30</x:v>
      </x:c>
      <x:c r="C14" s="6" t="s">
        <x:v>38</x:v>
      </x:c>
      <x:c r="D14" s="6" t="s">
        <x:v>19</x:v>
      </x:c>
      <x:c r="E14" s="9">
        <x:v>570</x:v>
      </x:c>
      <x:c r="F14" s="9">
        <x:v>80</x:v>
      </x:c>
      <x:c r="G14" s="11">
        <x:v>1</x:v>
      </x:c>
      <x:c r="H14" s="12" t="str">
        <x:v>0.45</x:v>
      </x:c>
      <x:c r="I14" s="12" t="str">
        <x:v>—</x:v>
      </x:c>
      <x:c r="J14" s="12" t="str">
        <x:v>—</x:v>
      </x:c>
      <x:c r="K14" s="12" t="str">
        <x:v>—</x:v>
      </x:c>
      <x:c r="L14" s="10" t="n">
        <x:f t="shared" si="0">E14-IF(J14="2",2,IF(J14="0.45",0.45,0))-IF(K14="2",2,IF(K14="0.45",0.45,0))</x:f>
        <x:v>570</x:v>
      </x:c>
      <x:c r="M14" s="10" t="n">
        <x:f t="shared" si="1">F14-IF(H14="2",2,IF(H14="0.45",0.45,0))-IF(I14="2",2,IF(I14="0.45",0.45,0))</x:f>
        <x:v>79.55</x:v>
      </x:c>
    </x:row>
    <x:row r="15" ht="30" customHeight="1">
      <x:c r="A15" s="6" t="s">
        <x:v>39</x:v>
      </x:c>
      <x:c r="B15" s="6" t="s">
        <x:v>30</x:v>
      </x:c>
      <x:c r="C15" s="6" t="s">
        <x:v>40</x:v>
      </x:c>
      <x:c r="D15" s="6" t="s">
        <x:v>19</x:v>
      </x:c>
      <x:c r="E15" s="9">
        <x:v>145</x:v>
      </x:c>
      <x:c r="F15" s="9">
        <x:v>597</x:v>
      </x:c>
      <x:c r="G15" s="11">
        <x:v>1</x:v>
      </x:c>
      <x:c r="H15" s="12" t="str">
        <x:v>0.45</x:v>
      </x:c>
      <x:c r="I15" s="12" t="str">
        <x:v>0.45</x:v>
      </x:c>
      <x:c r="J15" s="12" t="str">
        <x:v>0.45</x:v>
      </x:c>
      <x:c r="K15" s="12" t="str">
        <x:v>—</x:v>
      </x:c>
      <x:c r="L15" s="10" t="n">
        <x:f t="shared" si="0">E15-IF(J15="2",2,IF(J15="0.45",0.45,0))-IF(K15="2",2,IF(K15="0.45",0.45,0))</x:f>
        <x:v>144.55</x:v>
      </x:c>
      <x:c r="M15" s="10" t="n">
        <x:f t="shared" si="1">F15-IF(H15="2",2,IF(H15="0.45",0.45,0))-IF(I15="2",2,IF(I15="0.45",0.45,0))</x:f>
        <x:v>596.0999999999999</x:v>
      </x:c>
    </x:row>
    <x:row r="16" ht="30" customHeight="1">
      <x:c r="A16" s="6" t="s">
        <x:v>41</x:v>
      </x:c>
      <x:c r="B16" s="6" t="s">
        <x:v>42</x:v>
      </x:c>
      <x:c r="C16" s="6" t="s">
        <x:v>18</x:v>
      </x:c>
      <x:c r="D16" s="6" t="s">
        <x:v>19</x:v>
      </x:c>
      <x:c r="E16" s="9">
        <x:v>785</x:v>
      </x:c>
      <x:c r="F16" s="9">
        <x:v>580</x:v>
      </x:c>
      <x:c r="G16" s="11">
        <x:v>2</x:v>
      </x:c>
      <x:c r="H16" s="12" t="str">
        <x:v>0.45</x:v>
      </x:c>
      <x:c r="I16" s="12" t="str">
        <x:v>—</x:v>
      </x:c>
      <x:c r="J16" s="12" t="str">
        <x:v>0.45</x:v>
      </x:c>
      <x:c r="K16" s="12" t="str">
        <x:v>—</x:v>
      </x:c>
      <x:c r="L16" s="10" t="n">
        <x:f t="shared" si="0">E16-IF(J16="2",2,IF(J16="0.45",0.45,0))-IF(K16="2",2,IF(K16="0.45",0.45,0))</x:f>
        <x:v>784.55</x:v>
      </x:c>
      <x:c r="M16" s="10" t="n">
        <x:f t="shared" si="1">F16-IF(H16="2",2,IF(H16="0.45",0.45,0))-IF(I16="2",2,IF(I16="0.45",0.45,0))</x:f>
        <x:v>579.55</x:v>
      </x:c>
    </x:row>
    <x:row r="17" ht="30" customHeight="1">
      <x:c r="A17" s="6" t="s">
        <x:v>43</x:v>
      </x:c>
      <x:c r="B17" s="6" t="s">
        <x:v>42</x:v>
      </x:c>
      <x:c r="C17" s="6" t="s">
        <x:v>21</x:v>
      </x:c>
      <x:c r="D17" s="6" t="s">
        <x:v>19</x:v>
      </x:c>
      <x:c r="E17" s="9">
        <x:v>640</x:v>
      </x:c>
      <x:c r="F17" s="9">
        <x:v>580</x:v>
      </x:c>
      <x:c r="G17" s="11">
        <x:v>1</x:v>
      </x:c>
      <x:c r="H17" s="12" t="str">
        <x:v>0.45</x:v>
      </x:c>
      <x:c r="I17" s="12" t="str">
        <x:v>—</x:v>
      </x:c>
      <x:c r="J17" s="12" t="str">
        <x:v>—</x:v>
      </x:c>
      <x:c r="K17" s="12" t="str">
        <x:v>—</x:v>
      </x:c>
      <x:c r="L17" s="10" t="n">
        <x:f t="shared" si="0">E17-IF(J17="2",2,IF(J17="0.45",0.45,0))-IF(K17="2",2,IF(K17="0.45",0.45,0))</x:f>
        <x:v>640</x:v>
      </x:c>
      <x:c r="M17" s="10" t="n">
        <x:f t="shared" si="1">F17-IF(H17="2",2,IF(H17="0.45",0.45,0))-IF(I17="2",2,IF(I17="0.45",0.45,0))</x:f>
        <x:v>579.55</x:v>
      </x:c>
    </x:row>
    <x:row r="18" ht="30" customHeight="1">
      <x:c r="A18" s="6" t="s">
        <x:v>44</x:v>
      </x:c>
      <x:c r="B18" s="6" t="s">
        <x:v>42</x:v>
      </x:c>
      <x:c r="C18" s="6" t="s">
        <x:v>23</x:v>
      </x:c>
      <x:c r="D18" s="6" t="s">
        <x:v>19</x:v>
      </x:c>
      <x:c r="E18" s="9">
        <x:v>640</x:v>
      </x:c>
      <x:c r="F18" s="9">
        <x:v>100</x:v>
      </x:c>
      <x:c r="G18" s="11">
        <x:v>2</x:v>
      </x:c>
      <x:c r="H18" s="12" t="str">
        <x:v>0.45</x:v>
      </x:c>
      <x:c r="I18" s="12" t="str">
        <x:v>0.45</x:v>
      </x:c>
      <x:c r="J18" s="12" t="str">
        <x:v>—</x:v>
      </x:c>
      <x:c r="K18" s="12" t="str">
        <x:v>—</x:v>
      </x:c>
      <x:c r="L18" s="10" t="n">
        <x:f t="shared" si="0">E18-IF(J18="2",2,IF(J18="0.45",0.45,0))-IF(K18="2",2,IF(K18="0.45",0.45,0))</x:f>
        <x:v>640</x:v>
      </x:c>
      <x:c r="M18" s="10" t="n">
        <x:f t="shared" si="1">F18-IF(H18="2",2,IF(H18="0.45",0.45,0))-IF(I18="2",2,IF(I18="0.45",0.45,0))</x:f>
        <x:v>99.1</x:v>
      </x:c>
    </x:row>
    <x:row r="19" ht="30" customHeight="1">
      <x:c r="A19" s="6" t="s">
        <x:v>45</x:v>
      </x:c>
      <x:c r="B19" s="6" t="s">
        <x:v>42</x:v>
      </x:c>
      <x:c r="C19" s="6" t="s">
        <x:v>25</x:v>
      </x:c>
      <x:c r="D19" s="6" t="s">
        <x:v>26</x:v>
      </x:c>
      <x:c r="E19" s="9">
        <x:v>666</x:v>
      </x:c>
      <x:c r="F19" s="9">
        <x:v>781</x:v>
      </x:c>
      <x:c r="G19" s="11">
        <x:v>1</x:v>
      </x:c>
      <x:c r="H19" s="12" t="str">
        <x:v>—</x:v>
      </x:c>
      <x:c r="I19" s="12" t="str">
        <x:v>—</x:v>
      </x:c>
      <x:c r="J19" s="12" t="str">
        <x:v>—</x:v>
      </x:c>
      <x:c r="K19" s="12" t="str">
        <x:v>—</x:v>
      </x:c>
      <x:c r="L19" s="10" t="n">
        <x:f t="shared" si="0">E19-IF(J19="2",2,IF(J19="0.45",0.45,0))-IF(K19="2",2,IF(K19="0.45",0.45,0))</x:f>
        <x:v>666</x:v>
      </x:c>
      <x:c r="M19" s="10" t="n">
        <x:f t="shared" si="1">F19-IF(H19="2",2,IF(H19="0.45",0.45,0))-IF(I19="2",2,IF(I19="0.45",0.45,0))</x:f>
        <x:v>781</x:v>
      </x:c>
    </x:row>
    <x:row r="20" ht="30" customHeight="1">
      <x:c r="A20" s="6" t="s">
        <x:v>46</x:v>
      </x:c>
      <x:c r="B20" s="6" t="s">
        <x:v>42</x:v>
      </x:c>
      <x:c r="C20" s="6" t="s">
        <x:v>47</x:v>
      </x:c>
      <x:c r="D20" s="6" t="s">
        <x:v>19</x:v>
      </x:c>
      <x:c r="E20" s="9">
        <x:v>167</x:v>
      </x:c>
      <x:c r="F20" s="9">
        <x:v>667</x:v>
      </x:c>
      <x:c r="G20" s="11">
        <x:v>1</x:v>
      </x:c>
      <x:c r="H20" s="12" t="str">
        <x:v>2</x:v>
      </x:c>
      <x:c r="I20" s="12" t="str">
        <x:v>2</x:v>
      </x:c>
      <x:c r="J20" s="12" t="str">
        <x:v>2</x:v>
      </x:c>
      <x:c r="K20" s="12" t="str">
        <x:v>2</x:v>
      </x:c>
      <x:c r="L20" s="10" t="n">
        <x:f t="shared" si="0">E20-IF(J20="2",2,IF(J20="0.45",0.45,0))-IF(K20="2",2,IF(K20="0.45",0.45,0))</x:f>
        <x:v>163</x:v>
      </x:c>
      <x:c r="M20" s="10" t="n">
        <x:f t="shared" si="1">F20-IF(H20="2",2,IF(H20="0.45",0.45,0))-IF(I20="2",2,IF(I20="0.45",0.45,0))</x:f>
        <x:v>663</x:v>
      </x:c>
    </x:row>
    <x:row r="21" ht="30" customHeight="1">
      <x:c r="A21" s="6" t="s">
        <x:v>48</x:v>
      </x:c>
      <x:c r="B21" s="6" t="s">
        <x:v>42</x:v>
      </x:c>
      <x:c r="C21" s="6" t="s">
        <x:v>49</x:v>
      </x:c>
      <x:c r="D21" s="6" t="s">
        <x:v>19</x:v>
      </x:c>
      <x:c r="E21" s="9">
        <x:v>613</x:v>
      </x:c>
      <x:c r="F21" s="9">
        <x:v>550</x:v>
      </x:c>
      <x:c r="G21" s="11">
        <x:v>1</x:v>
      </x:c>
      <x:c r="H21" s="12" t="str">
        <x:v>0.45</x:v>
      </x:c>
      <x:c r="I21" s="12" t="str">
        <x:v>—</x:v>
      </x:c>
      <x:c r="J21" s="12" t="str">
        <x:v>0.45</x:v>
      </x:c>
      <x:c r="K21" s="12" t="str">
        <x:v>0.45</x:v>
      </x:c>
      <x:c r="L21" s="10" t="n">
        <x:f t="shared" si="0">E21-IF(J21="2",2,IF(J21="0.45",0.45,0))-IF(K21="2",2,IF(K21="0.45",0.45,0))</x:f>
        <x:v>612.0999999999999</x:v>
      </x:c>
      <x:c r="M21" s="10" t="n">
        <x:f t="shared" si="1">F21-IF(H21="2",2,IF(H21="0.45",0.45,0))-IF(I21="2",2,IF(I21="0.45",0.45,0))</x:f>
        <x:v>549.55</x:v>
      </x:c>
    </x:row>
    <x:row r="22" ht="30" customHeight="1">
      <x:c r="A22" s="6" t="s">
        <x:v>50</x:v>
      </x:c>
      <x:c r="B22" s="6" t="s">
        <x:v>42</x:v>
      </x:c>
      <x:c r="C22" s="6" t="s">
        <x:v>51</x:v>
      </x:c>
      <x:c r="D22" s="6" t="s">
        <x:v>19</x:v>
      </x:c>
      <x:c r="E22" s="9">
        <x:v>550</x:v>
      </x:c>
      <x:c r="F22" s="9">
        <x:v>75</x:v>
      </x:c>
      <x:c r="G22" s="11">
        <x:v>2</x:v>
      </x:c>
      <x:c r="H22" s="12" t="str">
        <x:v>0.45</x:v>
      </x:c>
      <x:c r="I22" s="12" t="str">
        <x:v>—</x:v>
      </x:c>
      <x:c r="J22" s="12" t="str">
        <x:v>0.45</x:v>
      </x:c>
      <x:c r="K22" s="12" t="str">
        <x:v>—</x:v>
      </x:c>
      <x:c r="L22" s="10" t="n">
        <x:f t="shared" si="0">E22-IF(J22="2",2,IF(J22="0.45",0.45,0))-IF(K22="2",2,IF(K22="0.45",0.45,0))</x:f>
        <x:v>549.55</x:v>
      </x:c>
      <x:c r="M22" s="10" t="n">
        <x:f t="shared" si="1">F22-IF(H22="2",2,IF(H22="0.45",0.45,0))-IF(I22="2",2,IF(I22="0.45",0.45,0))</x:f>
        <x:v>74.55</x:v>
      </x:c>
    </x:row>
    <x:row r="23" ht="30" customHeight="1">
      <x:c r="A23" s="6" t="s">
        <x:v>52</x:v>
      </x:c>
      <x:c r="B23" s="6" t="s">
        <x:v>42</x:v>
      </x:c>
      <x:c r="C23" s="6" t="s">
        <x:v>53</x:v>
      </x:c>
      <x:c r="D23" s="6" t="s">
        <x:v>19</x:v>
      </x:c>
      <x:c r="E23" s="9">
        <x:v>583</x:v>
      </x:c>
      <x:c r="F23" s="9">
        <x:v>75</x:v>
      </x:c>
      <x:c r="G23" s="11">
        <x:v>2</x:v>
      </x:c>
      <x:c r="H23" s="12" t="str">
        <x:v>0.45</x:v>
      </x:c>
      <x:c r="I23" s="12" t="str">
        <x:v>—</x:v>
      </x:c>
      <x:c r="J23" s="12" t="str">
        <x:v>—</x:v>
      </x:c>
      <x:c r="K23" s="12" t="str">
        <x:v>—</x:v>
      </x:c>
      <x:c r="L23" s="10" t="n">
        <x:f t="shared" si="0">E23-IF(J23="2",2,IF(J23="0.45",0.45,0))-IF(K23="2",2,IF(K23="0.45",0.45,0))</x:f>
        <x:v>583</x:v>
      </x:c>
      <x:c r="M23" s="10" t="n">
        <x:f t="shared" si="1">F23-IF(H23="2",2,IF(H23="0.45",0.45,0))-IF(I23="2",2,IF(I23="0.45",0.45,0))</x:f>
        <x:v>74.55</x:v>
      </x:c>
    </x:row>
    <x:row r="24" ht="30" customHeight="1">
      <x:c r="A24" s="6" t="s">
        <x:v>54</x:v>
      </x:c>
      <x:c r="B24" s="6" t="s">
        <x:v>42</x:v>
      </x:c>
      <x:c r="C24" s="6" t="s">
        <x:v>55</x:v>
      </x:c>
      <x:c r="D24" s="6" t="s">
        <x:v>19</x:v>
      </x:c>
      <x:c r="E24" s="9">
        <x:v>537</x:v>
      </x:c>
      <x:c r="F24" s="9">
        <x:v>332</x:v>
      </x:c>
      <x:c r="G24" s="11">
        <x:v>1</x:v>
      </x:c>
      <x:c r="H24" s="12" t="str">
        <x:v>2</x:v>
      </x:c>
      <x:c r="I24" s="12" t="str">
        <x:v>2</x:v>
      </x:c>
      <x:c r="J24" s="12" t="str">
        <x:v>2</x:v>
      </x:c>
      <x:c r="K24" s="12" t="str">
        <x:v>2</x:v>
      </x:c>
      <x:c r="L24" s="10" t="n">
        <x:f t="shared" si="0">E24-IF(J24="2",2,IF(J24="0.45",0.45,0))-IF(K24="2",2,IF(K24="0.45",0.45,0))</x:f>
        <x:v>533</x:v>
      </x:c>
      <x:c r="M24" s="10" t="n">
        <x:f t="shared" si="1">F24-IF(H24="2",2,IF(H24="0.45",0.45,0))-IF(I24="2",2,IF(I24="0.45",0.45,0))</x:f>
        <x:v>328</x:v>
      </x:c>
    </x:row>
    <x:row r="25" ht="30" customHeight="1">
      <x:c r="A25" s="6" t="s">
        <x:v>56</x:v>
      </x:c>
      <x:c r="B25" s="6" t="s">
        <x:v>42</x:v>
      </x:c>
      <x:c r="C25" s="6" t="s">
        <x:v>57</x:v>
      </x:c>
      <x:c r="D25" s="6" t="s">
        <x:v>19</x:v>
      </x:c>
      <x:c r="E25" s="9">
        <x:v>537</x:v>
      </x:c>
      <x:c r="F25" s="9">
        <x:v>332</x:v>
      </x:c>
      <x:c r="G25" s="11">
        <x:v>1</x:v>
      </x:c>
      <x:c r="H25" s="12" t="str">
        <x:v>2</x:v>
      </x:c>
      <x:c r="I25" s="12" t="str">
        <x:v>2</x:v>
      </x:c>
      <x:c r="J25" s="12" t="str">
        <x:v>2</x:v>
      </x:c>
      <x:c r="K25" s="12" t="str">
        <x:v>2</x:v>
      </x:c>
      <x:c r="L25" s="10" t="n">
        <x:f t="shared" si="0">E25-IF(J25="2",2,IF(J25="0.45",0.45,0))-IF(K25="2",2,IF(K25="0.45",0.45,0))</x:f>
        <x:v>533</x:v>
      </x:c>
      <x:c r="M25" s="10" t="n">
        <x:f t="shared" si="1">F25-IF(H25="2",2,IF(H25="0.45",0.45,0))-IF(I25="2",2,IF(I25="0.45",0.45,0))</x:f>
        <x:v>328</x:v>
      </x:c>
    </x:row>
    <x:row r="26" ht="30" customHeight="1">
      <x:c r="A26" s="6" t="s">
        <x:v>58</x:v>
      </x:c>
      <x:c r="B26" s="6" t="s">
        <x:v>42</x:v>
      </x:c>
      <x:c r="C26" s="6" t="s">
        <x:v>59</x:v>
      </x:c>
      <x:c r="D26" s="6" t="s">
        <x:v>19</x:v>
      </x:c>
      <x:c r="E26" s="9">
        <x:v>638</x:v>
      </x:c>
      <x:c r="F26" s="9">
        <x:v>550</x:v>
      </x:c>
      <x:c r="G26" s="11">
        <x:v>1</x:v>
      </x:c>
      <x:c r="H26" s="12" t="str">
        <x:v>0.45</x:v>
      </x:c>
      <x:c r="I26" s="12" t="str">
        <x:v>—</x:v>
      </x:c>
      <x:c r="J26" s="12" t="str">
        <x:v>—</x:v>
      </x:c>
      <x:c r="K26" s="12" t="str">
        <x:v>—</x:v>
      </x:c>
      <x:c r="L26" s="10" t="n">
        <x:f t="shared" si="0">E26-IF(J26="2",2,IF(J26="0.45",0.45,0))-IF(K26="2",2,IF(K26="0.45",0.45,0))</x:f>
        <x:v>638</x:v>
      </x:c>
      <x:c r="M26" s="10" t="n">
        <x:f t="shared" si="1">F26-IF(H26="2",2,IF(H26="0.45",0.45,0))-IF(I26="2",2,IF(I26="0.45",0.45,0))</x:f>
        <x:v>549.55</x:v>
      </x:c>
    </x:row>
    <x:row r="27" ht="30" customHeight="1">
      <x:c r="A27" s="6" t="s">
        <x:v>60</x:v>
      </x:c>
      <x:c r="B27" s="6" t="s">
        <x:v>61</x:v>
      </x:c>
      <x:c r="C27" s="6" t="s">
        <x:v>18</x:v>
      </x:c>
      <x:c r="D27" s="6" t="s">
        <x:v>19</x:v>
      </x:c>
      <x:c r="E27" s="9">
        <x:v>785</x:v>
      </x:c>
      <x:c r="F27" s="9">
        <x:v>580</x:v>
      </x:c>
      <x:c r="G27" s="11">
        <x:v>2</x:v>
      </x:c>
      <x:c r="H27" s="12" t="str">
        <x:v>0.45</x:v>
      </x:c>
      <x:c r="I27" s="12" t="str">
        <x:v>—</x:v>
      </x:c>
      <x:c r="J27" s="12" t="str">
        <x:v>0.45</x:v>
      </x:c>
      <x:c r="K27" s="12" t="str">
        <x:v>—</x:v>
      </x:c>
      <x:c r="L27" s="10" t="n">
        <x:f t="shared" si="0">E27-IF(J27="2",2,IF(J27="0.45",0.45,0))-IF(K27="2",2,IF(K27="0.45",0.45,0))</x:f>
        <x:v>784.55</x:v>
      </x:c>
      <x:c r="M27" s="10" t="n">
        <x:f t="shared" si="1">F27-IF(H27="2",2,IF(H27="0.45",0.45,0))-IF(I27="2",2,IF(I27="0.45",0.45,0))</x:f>
        <x:v>579.55</x:v>
      </x:c>
    </x:row>
    <x:row r="28" ht="30" customHeight="1">
      <x:c r="A28" s="6" t="s">
        <x:v>62</x:v>
      </x:c>
      <x:c r="B28" s="6" t="s">
        <x:v>61</x:v>
      </x:c>
      <x:c r="C28" s="6" t="s">
        <x:v>21</x:v>
      </x:c>
      <x:c r="D28" s="6" t="s">
        <x:v>19</x:v>
      </x:c>
      <x:c r="E28" s="9">
        <x:v>670</x:v>
      </x:c>
      <x:c r="F28" s="9">
        <x:v>580</x:v>
      </x:c>
      <x:c r="G28" s="11">
        <x:v>1</x:v>
      </x:c>
      <x:c r="H28" s="12" t="str">
        <x:v>0.45</x:v>
      </x:c>
      <x:c r="I28" s="12" t="str">
        <x:v>—</x:v>
      </x:c>
      <x:c r="J28" s="12" t="str">
        <x:v>—</x:v>
      </x:c>
      <x:c r="K28" s="12" t="str">
        <x:v>—</x:v>
      </x:c>
      <x:c r="L28" s="10" t="n">
        <x:f t="shared" si="0">E28-IF(J28="2",2,IF(J28="0.45",0.45,0))-IF(K28="2",2,IF(K28="0.45",0.45,0))</x:f>
        <x:v>670</x:v>
      </x:c>
      <x:c r="M28" s="10" t="n">
        <x:f t="shared" si="1">F28-IF(H28="2",2,IF(H28="0.45",0.45,0))-IF(I28="2",2,IF(I28="0.45",0.45,0))</x:f>
        <x:v>579.55</x:v>
      </x:c>
    </x:row>
    <x:row r="29" ht="30" customHeight="1">
      <x:c r="A29" s="6" t="s">
        <x:v>63</x:v>
      </x:c>
      <x:c r="B29" s="6" t="s">
        <x:v>61</x:v>
      </x:c>
      <x:c r="C29" s="6" t="s">
        <x:v>64</x:v>
      </x:c>
      <x:c r="D29" s="6" t="s">
        <x:v>19</x:v>
      </x:c>
      <x:c r="E29" s="9">
        <x:v>670</x:v>
      </x:c>
      <x:c r="F29" s="9">
        <x:v>100</x:v>
      </x:c>
      <x:c r="G29" s="11">
        <x:v>2</x:v>
      </x:c>
      <x:c r="H29" s="12" t="str">
        <x:v>0.45</x:v>
      </x:c>
      <x:c r="I29" s="12" t="str">
        <x:v>0.45</x:v>
      </x:c>
      <x:c r="J29" s="12" t="str">
        <x:v>0.45</x:v>
      </x:c>
      <x:c r="K29" s="12" t="str">
        <x:v>0.45</x:v>
      </x:c>
      <x:c r="L29" s="10" t="n">
        <x:f t="shared" si="0">E29-IF(J29="2",2,IF(J29="0.45",0.45,0))-IF(K29="2",2,IF(K29="0.45",0.45,0))</x:f>
        <x:v>669.0999999999999</x:v>
      </x:c>
      <x:c r="M29" s="10" t="n">
        <x:f t="shared" si="1">F29-IF(H29="2",2,IF(H29="0.45",0.45,0))-IF(I29="2",2,IF(I29="0.45",0.45,0))</x:f>
        <x:v>99.1</x:v>
      </x:c>
    </x:row>
    <x:row r="30" ht="30" customHeight="1">
      <x:c r="A30" s="6" t="s">
        <x:v>65</x:v>
      </x:c>
      <x:c r="B30" s="6" t="s">
        <x:v>61</x:v>
      </x:c>
      <x:c r="C30" s="6" t="s">
        <x:v>25</x:v>
      </x:c>
      <x:c r="D30" s="6" t="s">
        <x:v>26</x:v>
      </x:c>
      <x:c r="E30" s="9">
        <x:v>696</x:v>
      </x:c>
      <x:c r="F30" s="9">
        <x:v>781</x:v>
      </x:c>
      <x:c r="G30" s="11">
        <x:v>1</x:v>
      </x:c>
      <x:c r="H30" s="12" t="str">
        <x:v>—</x:v>
      </x:c>
      <x:c r="I30" s="12" t="str">
        <x:v>—</x:v>
      </x:c>
      <x:c r="J30" s="12" t="str">
        <x:v>—</x:v>
      </x:c>
      <x:c r="K30" s="12" t="str">
        <x:v>—</x:v>
      </x:c>
      <x:c r="L30" s="10" t="n">
        <x:f t="shared" si="0">E30-IF(J30="2",2,IF(J30="0.45",0.45,0))-IF(K30="2",2,IF(K30="0.45",0.45,0))</x:f>
        <x:v>696</x:v>
      </x:c>
      <x:c r="M30" s="10" t="n">
        <x:f t="shared" si="1">F30-IF(H30="2",2,IF(H30="0.45",0.45,0))-IF(I30="2",2,IF(I30="0.45",0.45,0))</x:f>
        <x:v>781</x:v>
      </x:c>
    </x:row>
    <x:row r="31" ht="30" customHeight="1">
      <x:c r="A31" s="6" t="s">
        <x:v>66</x:v>
      </x:c>
      <x:c r="B31" s="6" t="s">
        <x:v>61</x:v>
      </x:c>
      <x:c r="C31" s="6" t="s">
        <x:v>67</x:v>
      </x:c>
      <x:c r="D31" s="6" t="s">
        <x:v>19</x:v>
      </x:c>
      <x:c r="E31" s="9">
        <x:v>732</x:v>
      </x:c>
      <x:c r="F31" s="9">
        <x:v>347</x:v>
      </x:c>
      <x:c r="G31" s="11">
        <x:v>1</x:v>
      </x:c>
      <x:c r="H31" s="12" t="str">
        <x:v>2</x:v>
      </x:c>
      <x:c r="I31" s="12" t="str">
        <x:v>2</x:v>
      </x:c>
      <x:c r="J31" s="12" t="str">
        <x:v>2</x:v>
      </x:c>
      <x:c r="K31" s="12" t="str">
        <x:v>2</x:v>
      </x:c>
      <x:c r="L31" s="10" t="n">
        <x:f t="shared" si="0">E31-IF(J31="2",2,IF(J31="0.45",0.45,0))-IF(K31="2",2,IF(K31="0.45",0.45,0))</x:f>
        <x:v>728</x:v>
      </x:c>
      <x:c r="M31" s="10" t="n">
        <x:f t="shared" si="1">F31-IF(H31="2",2,IF(H31="0.45",0.45,0))-IF(I31="2",2,IF(I31="0.45",0.45,0))</x:f>
        <x:v>343</x:v>
      </x:c>
    </x:row>
    <x:row r="32" ht="30" customHeight="1">
      <x:c r="A32" s="6" t="s">
        <x:v>68</x:v>
      </x:c>
      <x:c r="B32" s="6" t="s">
        <x:v>61</x:v>
      </x:c>
      <x:c r="C32" s="6" t="s">
        <x:v>69</x:v>
      </x:c>
      <x:c r="D32" s="6" t="s">
        <x:v>19</x:v>
      </x:c>
      <x:c r="E32" s="9">
        <x:v>732</x:v>
      </x:c>
      <x:c r="F32" s="9">
        <x:v>347</x:v>
      </x:c>
      <x:c r="G32" s="11">
        <x:v>1</x:v>
      </x:c>
      <x:c r="H32" s="12" t="str">
        <x:v>2</x:v>
      </x:c>
      <x:c r="I32" s="12" t="str">
        <x:v>2</x:v>
      </x:c>
      <x:c r="J32" s="12" t="str">
        <x:v>2</x:v>
      </x:c>
      <x:c r="K32" s="12" t="str">
        <x:v>2</x:v>
      </x:c>
      <x:c r="L32" s="10" t="n">
        <x:f t="shared" si="0">E32-IF(J32="2",2,IF(J32="0.45",0.45,0))-IF(K32="2",2,IF(K32="0.45",0.45,0))</x:f>
        <x:v>728</x:v>
      </x:c>
      <x:c r="M32" s="10" t="n">
        <x:f t="shared" si="1">F32-IF(H32="2",2,IF(H32="0.45",0.45,0))-IF(I32="2",2,IF(I32="0.45",0.45,0))</x:f>
        <x:v>343</x:v>
      </x:c>
    </x:row>
    <x:row r="33" ht="30" customHeight="1">
      <x:c r="A33" s="6" t="s">
        <x:v>70</x:v>
      </x:c>
      <x:c r="B33" s="6" t="s">
        <x:v>61</x:v>
      </x:c>
      <x:c r="C33" s="6" t="s">
        <x:v>71</x:v>
      </x:c>
      <x:c r="D33" s="6" t="s">
        <x:v>19</x:v>
      </x:c>
      <x:c r="E33" s="9">
        <x:v>668</x:v>
      </x:c>
      <x:c r="F33" s="9">
        <x:v>520</x:v>
      </x:c>
      <x:c r="G33" s="11">
        <x:v>1</x:v>
      </x:c>
      <x:c r="H33" s="12" t="str">
        <x:v>0.45</x:v>
      </x:c>
      <x:c r="I33" s="12" t="str">
        <x:v>0.45</x:v>
      </x:c>
      <x:c r="J33" s="12" t="str">
        <x:v>0.45</x:v>
      </x:c>
      <x:c r="K33" s="12" t="str">
        <x:v>0.45</x:v>
      </x:c>
      <x:c r="L33" s="10" t="n">
        <x:f t="shared" si="0">E33-IF(J33="2",2,IF(J33="0.45",0.45,0))-IF(K33="2",2,IF(K33="0.45",0.45,0))</x:f>
        <x:v>667.0999999999999</x:v>
      </x:c>
      <x:c r="M33" s="10" t="n">
        <x:f t="shared" si="1">F33-IF(H33="2",2,IF(H33="0.45",0.45,0))-IF(I33="2",2,IF(I33="0.45",0.45,0))</x:f>
        <x:v>519.0999999999999</x:v>
      </x:c>
    </x:row>
    <x:row r="34" ht="30" customHeight="1">
      <x:c r="A34" s="6" t="s">
        <x:v>72</x:v>
      </x:c>
      <x:c r="B34" s="6" t="s">
        <x:v>73</x:v>
      </x:c>
      <x:c r="C34" s="6" t="s">
        <x:v>18</x:v>
      </x:c>
      <x:c r="D34" s="6" t="s">
        <x:v>19</x:v>
      </x:c>
      <x:c r="E34" s="9">
        <x:v>785</x:v>
      </x:c>
      <x:c r="F34" s="9">
        <x:v>580</x:v>
      </x:c>
      <x:c r="G34" s="11">
        <x:v>2</x:v>
      </x:c>
      <x:c r="H34" s="12" t="str">
        <x:v>0.45</x:v>
      </x:c>
      <x:c r="I34" s="12" t="str">
        <x:v>—</x:v>
      </x:c>
      <x:c r="J34" s="12" t="str">
        <x:v>0.45</x:v>
      </x:c>
      <x:c r="K34" s="12" t="str">
        <x:v>—</x:v>
      </x:c>
      <x:c r="L34" s="10" t="n">
        <x:f t="shared" si="0">E34-IF(J34="2",2,IF(J34="0.45",0.45,0))-IF(K34="2",2,IF(K34="0.45",0.45,0))</x:f>
        <x:v>784.55</x:v>
      </x:c>
      <x:c r="M34" s="10" t="n">
        <x:f t="shared" si="1">F34-IF(H34="2",2,IF(H34="0.45",0.45,0))-IF(I34="2",2,IF(I34="0.45",0.45,0))</x:f>
        <x:v>579.55</x:v>
      </x:c>
    </x:row>
    <x:row r="35" ht="30" customHeight="1">
      <x:c r="A35" s="6" t="s">
        <x:v>74</x:v>
      </x:c>
      <x:c r="B35" s="6" t="s">
        <x:v>73</x:v>
      </x:c>
      <x:c r="C35" s="6" t="s">
        <x:v>21</x:v>
      </x:c>
      <x:c r="D35" s="6" t="s">
        <x:v>19</x:v>
      </x:c>
      <x:c r="E35" s="9">
        <x:v>370</x:v>
      </x:c>
      <x:c r="F35" s="9">
        <x:v>580</x:v>
      </x:c>
      <x:c r="G35" s="11">
        <x:v>1</x:v>
      </x:c>
      <x:c r="H35" s="12" t="str">
        <x:v>0.45</x:v>
      </x:c>
      <x:c r="I35" s="12" t="str">
        <x:v>—</x:v>
      </x:c>
      <x:c r="J35" s="12" t="str">
        <x:v>—</x:v>
      </x:c>
      <x:c r="K35" s="12" t="str">
        <x:v>—</x:v>
      </x:c>
      <x:c r="L35" s="10" t="n">
        <x:f t="shared" si="0">E35-IF(J35="2",2,IF(J35="0.45",0.45,0))-IF(K35="2",2,IF(K35="0.45",0.45,0))</x:f>
        <x:v>370</x:v>
      </x:c>
      <x:c r="M35" s="10" t="n">
        <x:f t="shared" si="1">F35-IF(H35="2",2,IF(H35="0.45",0.45,0))-IF(I35="2",2,IF(I35="0.45",0.45,0))</x:f>
        <x:v>579.55</x:v>
      </x:c>
    </x:row>
    <x:row r="36" ht="30" customHeight="1">
      <x:c r="A36" s="6" t="s">
        <x:v>75</x:v>
      </x:c>
      <x:c r="B36" s="6" t="s">
        <x:v>73</x:v>
      </x:c>
      <x:c r="C36" s="6" t="s">
        <x:v>23</x:v>
      </x:c>
      <x:c r="D36" s="6" t="s">
        <x:v>19</x:v>
      </x:c>
      <x:c r="E36" s="9">
        <x:v>370</x:v>
      </x:c>
      <x:c r="F36" s="9">
        <x:v>100</x:v>
      </x:c>
      <x:c r="G36" s="11">
        <x:v>2</x:v>
      </x:c>
      <x:c r="H36" s="12" t="str">
        <x:v>0.45</x:v>
      </x:c>
      <x:c r="I36" s="12" t="str">
        <x:v>0.45</x:v>
      </x:c>
      <x:c r="J36" s="12" t="str">
        <x:v>—</x:v>
      </x:c>
      <x:c r="K36" s="12" t="str">
        <x:v>—</x:v>
      </x:c>
      <x:c r="L36" s="10" t="n">
        <x:f t="shared" si="0">E36-IF(J36="2",2,IF(J36="0.45",0.45,0))-IF(K36="2",2,IF(K36="0.45",0.45,0))</x:f>
        <x:v>370</x:v>
      </x:c>
      <x:c r="M36" s="10" t="n">
        <x:f t="shared" si="1">F36-IF(H36="2",2,IF(H36="0.45",0.45,0))-IF(I36="2",2,IF(I36="0.45",0.45,0))</x:f>
        <x:v>99.1</x:v>
      </x:c>
    </x:row>
    <x:row r="37" ht="30" customHeight="1">
      <x:c r="A37" s="6" t="s">
        <x:v>76</x:v>
      </x:c>
      <x:c r="B37" s="6" t="s">
        <x:v>73</x:v>
      </x:c>
      <x:c r="C37" s="6" t="s">
        <x:v>25</x:v>
      </x:c>
      <x:c r="D37" s="6" t="s">
        <x:v>26</x:v>
      </x:c>
      <x:c r="E37" s="9">
        <x:v>396</x:v>
      </x:c>
      <x:c r="F37" s="9">
        <x:v>781</x:v>
      </x:c>
      <x:c r="G37" s="11">
        <x:v>1</x:v>
      </x:c>
      <x:c r="H37" s="12" t="str">
        <x:v>—</x:v>
      </x:c>
      <x:c r="I37" s="12" t="str">
        <x:v>—</x:v>
      </x:c>
      <x:c r="J37" s="12" t="str">
        <x:v>—</x:v>
      </x:c>
      <x:c r="K37" s="12" t="str">
        <x:v>—</x:v>
      </x:c>
      <x:c r="L37" s="10" t="n">
        <x:f t="shared" ref="L37:L68" si="2">E37-IF(J37="2",2,IF(J37="0.45",0.45,0))-IF(K37="2",2,IF(K37="0.45",0.45,0))</x:f>
        <x:v>396</x:v>
      </x:c>
      <x:c r="M37" s="10" t="n">
        <x:f t="shared" ref="M37:M68" si="3">F37-IF(H37="2",2,IF(H37="0.45",0.45,0))-IF(I37="2",2,IF(I37="0.45",0.45,0))</x:f>
        <x:v>781</x:v>
      </x:c>
    </x:row>
    <x:row r="38" ht="30" customHeight="1">
      <x:c r="A38" s="6" t="s">
        <x:v>77</x:v>
      </x:c>
      <x:c r="B38" s="6" t="s">
        <x:v>73</x:v>
      </x:c>
      <x:c r="C38" s="6" t="s">
        <x:v>78</x:v>
      </x:c>
      <x:c r="D38" s="6" t="s">
        <x:v>19</x:v>
      </x:c>
      <x:c r="E38" s="9">
        <x:v>370</x:v>
      </x:c>
      <x:c r="F38" s="9">
        <x:v>550</x:v>
      </x:c>
      <x:c r="G38" s="11">
        <x:v>1</x:v>
      </x:c>
      <x:c r="H38" s="12" t="str">
        <x:v>0.45</x:v>
      </x:c>
      <x:c r="I38" s="12" t="str">
        <x:v>—</x:v>
      </x:c>
      <x:c r="J38" s="12" t="str">
        <x:v>—</x:v>
      </x:c>
      <x:c r="K38" s="12" t="str">
        <x:v>—</x:v>
      </x:c>
      <x:c r="L38" s="10" t="n">
        <x:f t="shared" si="2">E38-IF(J38="2",2,IF(J38="0.45",0.45,0))-IF(K38="2",2,IF(K38="0.45",0.45,0))</x:f>
        <x:v>370</x:v>
      </x:c>
      <x:c r="M38" s="10" t="n">
        <x:f t="shared" si="3">F38-IF(H38="2",2,IF(H38="0.45",0.45,0))-IF(I38="2",2,IF(I38="0.45",0.45,0))</x:f>
        <x:v>549.55</x:v>
      </x:c>
    </x:row>
    <x:row r="39" ht="30" customHeight="1">
      <x:c r="A39" s="6" t="s">
        <x:v>79</x:v>
      </x:c>
      <x:c r="B39" s="6" t="s">
        <x:v>73</x:v>
      </x:c>
      <x:c r="C39" s="6" t="s">
        <x:v>80</x:v>
      </x:c>
      <x:c r="D39" s="6" t="s">
        <x:v>19</x:v>
      </x:c>
      <x:c r="E39" s="9">
        <x:v>402</x:v>
      </x:c>
      <x:c r="F39" s="9">
        <x:v>397</x:v>
      </x:c>
      <x:c r="G39" s="11">
        <x:v>1</x:v>
      </x:c>
      <x:c r="H39" s="12" t="str">
        <x:v>2</x:v>
      </x:c>
      <x:c r="I39" s="12" t="str">
        <x:v>2</x:v>
      </x:c>
      <x:c r="J39" s="12" t="str">
        <x:v>2</x:v>
      </x:c>
      <x:c r="K39" s="12" t="str">
        <x:v>2</x:v>
      </x:c>
      <x:c r="L39" s="10" t="n">
        <x:f t="shared" si="2">E39-IF(J39="2",2,IF(J39="0.45",0.45,0))-IF(K39="2",2,IF(K39="0.45",0.45,0))</x:f>
        <x:v>398</x:v>
      </x:c>
      <x:c r="M39" s="10" t="n">
        <x:f t="shared" si="3">F39-IF(H39="2",2,IF(H39="0.45",0.45,0))-IF(I39="2",2,IF(I39="0.45",0.45,0))</x:f>
        <x:v>393</x:v>
      </x:c>
    </x:row>
    <x:row r="40" ht="30" customHeight="1">
      <x:c r="A40" s="6" t="s">
        <x:v>81</x:v>
      </x:c>
      <x:c r="B40" s="6" t="s">
        <x:v>73</x:v>
      </x:c>
      <x:c r="C40" s="6" t="s">
        <x:v>82</x:v>
      </x:c>
      <x:c r="D40" s="6" t="s">
        <x:v>19</x:v>
      </x:c>
      <x:c r="E40" s="9">
        <x:v>302</x:v>
      </x:c>
      <x:c r="F40" s="9">
        <x:v>397</x:v>
      </x:c>
      <x:c r="G40" s="11">
        <x:v>1</x:v>
      </x:c>
      <x:c r="H40" s="12" t="str">
        <x:v>2</x:v>
      </x:c>
      <x:c r="I40" s="12" t="str">
        <x:v>2</x:v>
      </x:c>
      <x:c r="J40" s="12" t="str">
        <x:v>2</x:v>
      </x:c>
      <x:c r="K40" s="12" t="str">
        <x:v>2</x:v>
      </x:c>
      <x:c r="L40" s="10" t="n">
        <x:f t="shared" si="2">E40-IF(J40="2",2,IF(J40="0.45",0.45,0))-IF(K40="2",2,IF(K40="0.45",0.45,0))</x:f>
        <x:v>298</x:v>
      </x:c>
      <x:c r="M40" s="10" t="n">
        <x:f t="shared" si="3">F40-IF(H40="2",2,IF(H40="0.45",0.45,0))-IF(I40="2",2,IF(I40="0.45",0.45,0))</x:f>
        <x:v>393</x:v>
      </x:c>
    </x:row>
    <x:row r="41" ht="58.04999923706055" customHeight="1">
      <x:c r="A41" s="6" t="s">
        <x:v>83</x:v>
      </x:c>
      <x:c r="B41" s="6" t="s">
        <x:v>73</x:v>
      </x:c>
      <x:c r="C41" s="25" t="s">
        <x:v>84</x:v>
      </x:c>
      <x:c r="D41" s="6" t="s">
        <x:v>19</x:v>
      </x:c>
      <x:c r="E41" s="9">
        <x:v>343</x:v>
      </x:c>
      <x:c r="F41" s="9">
        <x:v>550</x:v>
      </x:c>
      <x:c r="G41" s="11">
        <x:v>1</x:v>
      </x:c>
      <x:c r="H41" s="12" t="str">
        <x:v>0.45</x:v>
      </x:c>
      <x:c r="I41" s="12" t="str">
        <x:v>0.45</x:v>
      </x:c>
      <x:c r="J41" s="12" t="str">
        <x:v>0.45</x:v>
      </x:c>
      <x:c r="K41" s="12" t="str">
        <x:v>0.45</x:v>
      </x:c>
      <x:c r="L41" s="10" t="n">
        <x:f t="shared" si="2">E41-IF(J41="2",2,IF(J41="0.45",0.45,0))-IF(K41="2",2,IF(K41="0.45",0.45,0))</x:f>
        <x:v>342.1</x:v>
      </x:c>
      <x:c r="M41" s="10" t="n">
        <x:f t="shared" si="3">F41-IF(H41="2",2,IF(H41="0.45",0.45,0))-IF(I41="2",2,IF(I41="0.45",0.45,0))</x:f>
        <x:v>549.0999999999999</x:v>
      </x:c>
    </x:row>
    <x:row r="42" ht="58.04999923706055" customHeight="1">
      <x:c r="A42" s="6" t="s">
        <x:v>85</x:v>
      </x:c>
      <x:c r="B42" s="6" t="s">
        <x:v>73</x:v>
      </x:c>
      <x:c r="C42" s="25" t="s">
        <x:v>86</x:v>
      </x:c>
      <x:c r="D42" s="6" t="s">
        <x:v>19</x:v>
      </x:c>
      <x:c r="E42" s="9">
        <x:v>550</x:v>
      </x:c>
      <x:c r="F42" s="9">
        <x:v>60</x:v>
      </x:c>
      <x:c r="G42" s="11">
        <x:v>2</x:v>
      </x:c>
      <x:c r="H42" s="12" t="str">
        <x:v>0.45</x:v>
      </x:c>
      <x:c r="I42" s="12" t="str">
        <x:v>0.45</x:v>
      </x:c>
      <x:c r="J42" s="12" t="str">
        <x:v>0.45</x:v>
      </x:c>
      <x:c r="K42" s="12" t="str">
        <x:v>0.45</x:v>
      </x:c>
      <x:c r="L42" s="10" t="n">
        <x:f t="shared" si="2">E42-IF(J42="2",2,IF(J42="0.45",0.45,0))-IF(K42="2",2,IF(K42="0.45",0.45,0))</x:f>
        <x:v>549.0999999999999</x:v>
      </x:c>
      <x:c r="M42" s="10" t="n">
        <x:f t="shared" si="3">F42-IF(H42="2",2,IF(H42="0.45",0.45,0))-IF(I42="2",2,IF(I42="0.45",0.45,0))</x:f>
        <x:v>59.099999999999994</x:v>
      </x:c>
    </x:row>
    <x:row r="43" ht="58.04999923706055" customHeight="1">
      <x:c r="A43" s="6" t="s">
        <x:v>87</x:v>
      </x:c>
      <x:c r="B43" s="6" t="s">
        <x:v>73</x:v>
      </x:c>
      <x:c r="C43" s="25" t="s">
        <x:v>88</x:v>
      </x:c>
      <x:c r="D43" s="6" t="s">
        <x:v>19</x:v>
      </x:c>
      <x:c r="E43" s="9">
        <x:v>313</x:v>
      </x:c>
      <x:c r="F43" s="9">
        <x:v>60</x:v>
      </x:c>
      <x:c r="G43" s="11">
        <x:v>2</x:v>
      </x:c>
      <x:c r="H43" s="12" t="str">
        <x:v>0.45</x:v>
      </x:c>
      <x:c r="I43" s="12" t="str">
        <x:v>0.45</x:v>
      </x:c>
      <x:c r="J43" s="12" t="str">
        <x:v>0.45</x:v>
      </x:c>
      <x:c r="K43" s="12" t="str">
        <x:v>0.45</x:v>
      </x:c>
      <x:c r="L43" s="10" t="n">
        <x:f t="shared" si="2">E43-IF(J43="2",2,IF(J43="0.45",0.45,0))-IF(K43="2",2,IF(K43="0.45",0.45,0))</x:f>
        <x:v>312.1</x:v>
      </x:c>
      <x:c r="M43" s="10" t="n">
        <x:f t="shared" si="3">F43-IF(H43="2",2,IF(H43="0.45",0.45,0))-IF(I43="2",2,IF(I43="0.45",0.45,0))</x:f>
        <x:v>59.099999999999994</x:v>
      </x:c>
    </x:row>
    <x:row r="44" ht="30" customHeight="1">
      <x:c r="A44" s="6" t="s">
        <x:v>89</x:v>
      </x:c>
      <x:c r="B44" s="6" t="s">
        <x:v>90</x:v>
      </x:c>
      <x:c r="C44" s="6" t="s">
        <x:v>91</x:v>
      </x:c>
      <x:c r="D44" s="6" t="s">
        <x:v>19</x:v>
      </x:c>
      <x:c r="E44" s="9">
        <x:v>882</x:v>
      </x:c>
      <x:c r="F44" s="9">
        <x:v>595</x:v>
      </x:c>
      <x:c r="G44" s="11">
        <x:v>1</x:v>
      </x:c>
      <x:c r="H44" s="12" t="str">
        <x:v>2</x:v>
      </x:c>
      <x:c r="I44" s="12" t="str">
        <x:v>—</x:v>
      </x:c>
      <x:c r="J44" s="12" t="str">
        <x:v>2</x:v>
      </x:c>
      <x:c r="K44" s="12" t="str">
        <x:v>—</x:v>
      </x:c>
      <x:c r="L44" s="10" t="n">
        <x:f t="shared" si="2">E44-IF(J44="2",2,IF(J44="0.45",0.45,0))-IF(K44="2",2,IF(K44="0.45",0.45,0))</x:f>
        <x:v>880</x:v>
      </x:c>
      <x:c r="M44" s="10" t="n">
        <x:f t="shared" si="3">F44-IF(H44="2",2,IF(H44="0.45",0.45,0))-IF(I44="2",2,IF(I44="0.45",0.45,0))</x:f>
        <x:v>593</x:v>
      </x:c>
    </x:row>
    <x:row r="45" ht="30" customHeight="1">
      <x:c r="A45" s="6" t="s">
        <x:v>92</x:v>
      </x:c>
      <x:c r="B45" s="6" t="s">
        <x:v>90</x:v>
      </x:c>
      <x:c r="C45" s="6" t="s">
        <x:v>93</x:v>
      </x:c>
      <x:c r="D45" s="6" t="s">
        <x:v>19</x:v>
      </x:c>
      <x:c r="E45" s="9">
        <x:v>1275</x:v>
      </x:c>
      <x:c r="F45" s="9">
        <x:v>97</x:v>
      </x:c>
      <x:c r="G45" s="11">
        <x:v>2</x:v>
      </x:c>
      <x:c r="H45" s="12" t="str">
        <x:v>0.45</x:v>
      </x:c>
      <x:c r="I45" s="12" t="str">
        <x:v>0.45</x:v>
      </x:c>
      <x:c r="J45" s="12" t="str">
        <x:v>0.45</x:v>
      </x:c>
      <x:c r="K45" s="12" t="str">
        <x:v>0.45</x:v>
      </x:c>
      <x:c r="L45" s="10" t="n">
        <x:f t="shared" si="2">E45-IF(J45="2",2,IF(J45="0.45",0.45,0))-IF(K45="2",2,IF(K45="0.45",0.45,0))</x:f>
        <x:v>1274.1</x:v>
      </x:c>
      <x:c r="M45" s="10" t="n">
        <x:f t="shared" si="3">F45-IF(H45="2",2,IF(H45="0.45",0.45,0))-IF(I45="2",2,IF(I45="0.45",0.45,0))</x:f>
        <x:v>96.1</x:v>
      </x:c>
    </x:row>
    <x:row r="46" ht="30" customHeight="1">
      <x:c r="A46" s="6" t="s">
        <x:v>94</x:v>
      </x:c>
      <x:c r="B46" s="6" t="s">
        <x:v>95</x:v>
      </x:c>
      <x:c r="C46" s="6" t="s">
        <x:v>18</x:v>
      </x:c>
      <x:c r="D46" s="6" t="s">
        <x:v>19</x:v>
      </x:c>
      <x:c r="E46" s="9">
        <x:v>700</x:v>
      </x:c>
      <x:c r="F46" s="9">
        <x:v>320</x:v>
      </x:c>
      <x:c r="G46" s="11">
        <x:v>2</x:v>
      </x:c>
      <x:c r="H46" s="12" t="str">
        <x:v>0.45</x:v>
      </x:c>
      <x:c r="I46" s="12" t="str">
        <x:v>—</x:v>
      </x:c>
      <x:c r="J46" s="12" t="str">
        <x:v>0.45</x:v>
      </x:c>
      <x:c r="K46" s="12" t="str">
        <x:v>0.45</x:v>
      </x:c>
      <x:c r="L46" s="10" t="n">
        <x:f t="shared" si="2">E46-IF(J46="2",2,IF(J46="0.45",0.45,0))-IF(K46="2",2,IF(K46="0.45",0.45,0))</x:f>
        <x:v>699.0999999999999</x:v>
      </x:c>
      <x:c r="M46" s="10" t="n">
        <x:f t="shared" si="3">F46-IF(H46="2",2,IF(H46="0.45",0.45,0))-IF(I46="2",2,IF(I46="0.45",0.45,0))</x:f>
        <x:v>319.55</x:v>
      </x:c>
    </x:row>
    <x:row r="47" ht="30" customHeight="1">
      <x:c r="A47" s="6" t="s">
        <x:v>96</x:v>
      </x:c>
      <x:c r="B47" s="6" t="s">
        <x:v>95</x:v>
      </x:c>
      <x:c r="C47" s="6" t="s">
        <x:v>97</x:v>
      </x:c>
      <x:c r="D47" s="6" t="s">
        <x:v>19</x:v>
      </x:c>
      <x:c r="E47" s="9">
        <x:v>165</x:v>
      </x:c>
      <x:c r="F47" s="9">
        <x:v>320</x:v>
      </x:c>
      <x:c r="G47" s="11">
        <x:v>1</x:v>
      </x:c>
      <x:c r="H47" s="12" t="str">
        <x:v>0.45</x:v>
      </x:c>
      <x:c r="I47" s="12" t="str">
        <x:v>—</x:v>
      </x:c>
      <x:c r="J47" s="12" t="str">
        <x:v>—</x:v>
      </x:c>
      <x:c r="K47" s="12" t="str">
        <x:v>—</x:v>
      </x:c>
      <x:c r="L47" s="10" t="n">
        <x:f t="shared" si="2">E47-IF(J47="2",2,IF(J47="0.45",0.45,0))-IF(K47="2",2,IF(K47="0.45",0.45,0))</x:f>
        <x:v>165</x:v>
      </x:c>
      <x:c r="M47" s="10" t="n">
        <x:f t="shared" si="3">F47-IF(H47="2",2,IF(H47="0.45",0.45,0))-IF(I47="2",2,IF(I47="0.45",0.45,0))</x:f>
        <x:v>319.55</x:v>
      </x:c>
    </x:row>
    <x:row r="48" ht="30" customHeight="1">
      <x:c r="A48" s="6" t="s">
        <x:v>98</x:v>
      </x:c>
      <x:c r="B48" s="6" t="s">
        <x:v>95</x:v>
      </x:c>
      <x:c r="C48" s="6" t="s">
        <x:v>21</x:v>
      </x:c>
      <x:c r="D48" s="6" t="s">
        <x:v>19</x:v>
      </x:c>
      <x:c r="E48" s="9">
        <x:v>165</x:v>
      </x:c>
      <x:c r="F48" s="9">
        <x:v>320</x:v>
      </x:c>
      <x:c r="G48" s="11">
        <x:v>1</x:v>
      </x:c>
      <x:c r="H48" s="12" t="str">
        <x:v>0.45</x:v>
      </x:c>
      <x:c r="I48" s="12" t="str">
        <x:v>—</x:v>
      </x:c>
      <x:c r="J48" s="12" t="str">
        <x:v>—</x:v>
      </x:c>
      <x:c r="K48" s="12" t="str">
        <x:v>—</x:v>
      </x:c>
      <x:c r="L48" s="10" t="n">
        <x:f t="shared" si="2">E48-IF(J48="2",2,IF(J48="0.45",0.45,0))-IF(K48="2",2,IF(K48="0.45",0.45,0))</x:f>
        <x:v>165</x:v>
      </x:c>
      <x:c r="M48" s="10" t="n">
        <x:f t="shared" si="3">F48-IF(H48="2",2,IF(H48="0.45",0.45,0))-IF(I48="2",2,IF(I48="0.45",0.45,0))</x:f>
        <x:v>319.55</x:v>
      </x:c>
    </x:row>
    <x:row r="49" ht="30" customHeight="1">
      <x:c r="A49" s="6" t="s">
        <x:v>99</x:v>
      </x:c>
      <x:c r="B49" s="6" t="s">
        <x:v>95</x:v>
      </x:c>
      <x:c r="C49" s="6" t="s">
        <x:v>100</x:v>
      </x:c>
      <x:c r="D49" s="6" t="s">
        <x:v>26</x:v>
      </x:c>
      <x:c r="E49" s="9">
        <x:v>191</x:v>
      </x:c>
      <x:c r="F49" s="9">
        <x:v>696</x:v>
      </x:c>
      <x:c r="G49" s="11">
        <x:v>1</x:v>
      </x:c>
      <x:c r="H49" s="12" t="str">
        <x:v>—</x:v>
      </x:c>
      <x:c r="I49" s="12" t="str">
        <x:v>—</x:v>
      </x:c>
      <x:c r="J49" s="12" t="str">
        <x:v>—</x:v>
      </x:c>
      <x:c r="K49" s="12" t="str">
        <x:v>—</x:v>
      </x:c>
      <x:c r="L49" s="10" t="n">
        <x:f t="shared" si="2">E49-IF(J49="2",2,IF(J49="0.45",0.45,0))-IF(K49="2",2,IF(K49="0.45",0.45,0))</x:f>
        <x:v>191</x:v>
      </x:c>
      <x:c r="M49" s="10" t="n">
        <x:f t="shared" si="3">F49-IF(H49="2",2,IF(H49="0.45",0.45,0))-IF(I49="2",2,IF(I49="0.45",0.45,0))</x:f>
        <x:v>696</x:v>
      </x:c>
    </x:row>
    <x:row r="50" ht="30" customHeight="1">
      <x:c r="A50" s="6" t="s">
        <x:v>101</x:v>
      </x:c>
      <x:c r="B50" s="6" t="s">
        <x:v>95</x:v>
      </x:c>
      <x:c r="C50" s="6" t="s">
        <x:v>102</x:v>
      </x:c>
      <x:c r="D50" s="6" t="s">
        <x:v>19</x:v>
      </x:c>
      <x:c r="E50" s="9">
        <x:v>163</x:v>
      </x:c>
      <x:c r="F50" s="9">
        <x:v>300</x:v>
      </x:c>
      <x:c r="G50" s="11">
        <x:v>1</x:v>
      </x:c>
      <x:c r="H50" s="12" t="str">
        <x:v>0.45</x:v>
      </x:c>
      <x:c r="I50" s="12" t="str">
        <x:v>—</x:v>
      </x:c>
      <x:c r="J50" s="12" t="str">
        <x:v>—</x:v>
      </x:c>
      <x:c r="K50" s="12" t="str">
        <x:v>—</x:v>
      </x:c>
      <x:c r="L50" s="10" t="n">
        <x:f t="shared" si="2">E50-IF(J50="2",2,IF(J50="0.45",0.45,0))-IF(K50="2",2,IF(K50="0.45",0.45,0))</x:f>
        <x:v>163</x:v>
      </x:c>
      <x:c r="M50" s="10" t="n">
        <x:f t="shared" si="3">F50-IF(H50="2",2,IF(H50="0.45",0.45,0))-IF(I50="2",2,IF(I50="0.45",0.45,0))</x:f>
        <x:v>299.55</x:v>
      </x:c>
    </x:row>
    <x:row r="51" ht="30" customHeight="1">
      <x:c r="A51" s="6" t="s">
        <x:v>103</x:v>
      </x:c>
      <x:c r="B51" s="6" t="s">
        <x:v>95</x:v>
      </x:c>
      <x:c r="C51" s="6" t="s">
        <x:v>104</x:v>
      </x:c>
      <x:c r="D51" s="6" t="s">
        <x:v>19</x:v>
      </x:c>
      <x:c r="E51" s="9">
        <x:v>717</x:v>
      </x:c>
      <x:c r="F51" s="9">
        <x:v>192</x:v>
      </x:c>
      <x:c r="G51" s="11">
        <x:v>1</x:v>
      </x:c>
      <x:c r="H51" s="12" t="str">
        <x:v>2</x:v>
      </x:c>
      <x:c r="I51" s="12" t="str">
        <x:v>2</x:v>
      </x:c>
      <x:c r="J51" s="12" t="str">
        <x:v>2</x:v>
      </x:c>
      <x:c r="K51" s="12" t="str">
        <x:v>2</x:v>
      </x:c>
      <x:c r="L51" s="10" t="n">
        <x:f t="shared" si="2">E51-IF(J51="2",2,IF(J51="0.45",0.45,0))-IF(K51="2",2,IF(K51="0.45",0.45,0))</x:f>
        <x:v>713</x:v>
      </x:c>
      <x:c r="M51" s="10" t="n">
        <x:f t="shared" si="3">F51-IF(H51="2",2,IF(H51="0.45",0.45,0))-IF(I51="2",2,IF(I51="0.45",0.45,0))</x:f>
        <x:v>188</x:v>
      </x:c>
    </x:row>
    <x:row r="52" ht="30" customHeight="1">
      <x:c r="A52" s="6" t="s">
        <x:v>105</x:v>
      </x:c>
      <x:c r="B52" s="6" t="s">
        <x:v>106</x:v>
      </x:c>
      <x:c r="C52" s="6" t="s">
        <x:v>18</x:v>
      </x:c>
      <x:c r="D52" s="6" t="s">
        <x:v>19</x:v>
      </x:c>
      <x:c r="E52" s="9">
        <x:v>350</x:v>
      </x:c>
      <x:c r="F52" s="9">
        <x:v>320</x:v>
      </x:c>
      <x:c r="G52" s="11">
        <x:v>2</x:v>
      </x:c>
      <x:c r="H52" s="12" t="str">
        <x:v>0.45</x:v>
      </x:c>
      <x:c r="I52" s="12" t="str">
        <x:v>—</x:v>
      </x:c>
      <x:c r="J52" s="12" t="str">
        <x:v>0.45</x:v>
      </x:c>
      <x:c r="K52" s="12" t="str">
        <x:v>0.45</x:v>
      </x:c>
      <x:c r="L52" s="10" t="n">
        <x:f t="shared" si="2">E52-IF(J52="2",2,IF(J52="0.45",0.45,0))-IF(K52="2",2,IF(K52="0.45",0.45,0))</x:f>
        <x:v>349.1</x:v>
      </x:c>
      <x:c r="M52" s="10" t="n">
        <x:f t="shared" si="3">F52-IF(H52="2",2,IF(H52="0.45",0.45,0))-IF(I52="2",2,IF(I52="0.45",0.45,0))</x:f>
        <x:v>319.55</x:v>
      </x:c>
    </x:row>
    <x:row r="53" ht="30" customHeight="1">
      <x:c r="A53" s="6" t="s">
        <x:v>107</x:v>
      </x:c>
      <x:c r="B53" s="6" t="s">
        <x:v>106</x:v>
      </x:c>
      <x:c r="C53" s="6" t="s">
        <x:v>108</x:v>
      </x:c>
      <x:c r="D53" s="6" t="s">
        <x:v>19</x:v>
      </x:c>
      <x:c r="E53" s="9">
        <x:v>570</x:v>
      </x:c>
      <x:c r="F53" s="9">
        <x:v>320</x:v>
      </x:c>
      <x:c r="G53" s="11">
        <x:v>1</x:v>
      </x:c>
      <x:c r="H53" s="12" t="str">
        <x:v>0.45</x:v>
      </x:c>
      <x:c r="I53" s="12" t="str">
        <x:v>—</x:v>
      </x:c>
      <x:c r="J53" s="12" t="str">
        <x:v>—</x:v>
      </x:c>
      <x:c r="K53" s="12" t="str">
        <x:v>—</x:v>
      </x:c>
      <x:c r="L53" s="10" t="n">
        <x:f t="shared" si="2">E53-IF(J53="2",2,IF(J53="0.45",0.45,0))-IF(K53="2",2,IF(K53="0.45",0.45,0))</x:f>
        <x:v>570</x:v>
      </x:c>
      <x:c r="M53" s="10" t="n">
        <x:f t="shared" si="3">F53-IF(H53="2",2,IF(H53="0.45",0.45,0))-IF(I53="2",2,IF(I53="0.45",0.45,0))</x:f>
        <x:v>319.55</x:v>
      </x:c>
    </x:row>
    <x:row r="54" ht="30" customHeight="1">
      <x:c r="A54" s="6" t="s">
        <x:v>109</x:v>
      </x:c>
      <x:c r="B54" s="6" t="s">
        <x:v>106</x:v>
      </x:c>
      <x:c r="C54" s="6" t="s">
        <x:v>110</x:v>
      </x:c>
      <x:c r="D54" s="6" t="s">
        <x:v>19</x:v>
      </x:c>
      <x:c r="E54" s="9">
        <x:v>570</x:v>
      </x:c>
      <x:c r="F54" s="9">
        <x:v>320</x:v>
      </x:c>
      <x:c r="G54" s="11">
        <x:v>1</x:v>
      </x:c>
      <x:c r="H54" s="12" t="str">
        <x:v>0.45</x:v>
      </x:c>
      <x:c r="I54" s="12" t="str">
        <x:v>—</x:v>
      </x:c>
      <x:c r="J54" s="12" t="str">
        <x:v>—</x:v>
      </x:c>
      <x:c r="K54" s="12" t="str">
        <x:v>—</x:v>
      </x:c>
      <x:c r="L54" s="10" t="n">
        <x:f t="shared" si="2">E54-IF(J54="2",2,IF(J54="0.45",0.45,0))-IF(K54="2",2,IF(K54="0.45",0.45,0))</x:f>
        <x:v>570</x:v>
      </x:c>
      <x:c r="M54" s="10" t="n">
        <x:f t="shared" si="3">F54-IF(H54="2",2,IF(H54="0.45",0.45,0))-IF(I54="2",2,IF(I54="0.45",0.45,0))</x:f>
        <x:v>319.55</x:v>
      </x:c>
    </x:row>
    <x:row r="55" ht="30" customHeight="1">
      <x:c r="A55" s="6" t="s">
        <x:v>111</x:v>
      </x:c>
      <x:c r="B55" s="6" t="s">
        <x:v>106</x:v>
      </x:c>
      <x:c r="C55" s="6" t="s">
        <x:v>100</x:v>
      </x:c>
      <x:c r="D55" s="6" t="s">
        <x:v>26</x:v>
      </x:c>
      <x:c r="E55" s="9">
        <x:v>596</x:v>
      </x:c>
      <x:c r="F55" s="9">
        <x:v>346</x:v>
      </x:c>
      <x:c r="G55" s="11">
        <x:v>1</x:v>
      </x:c>
      <x:c r="H55" s="12" t="str">
        <x:v>—</x:v>
      </x:c>
      <x:c r="I55" s="12" t="str">
        <x:v>—</x:v>
      </x:c>
      <x:c r="J55" s="12" t="str">
        <x:v>—</x:v>
      </x:c>
      <x:c r="K55" s="12" t="str">
        <x:v>—</x:v>
      </x:c>
      <x:c r="L55" s="10" t="n">
        <x:f t="shared" si="2">E55-IF(J55="2",2,IF(J55="0.45",0.45,0))-IF(K55="2",2,IF(K55="0.45",0.45,0))</x:f>
        <x:v>596</x:v>
      </x:c>
      <x:c r="M55" s="10" t="n">
        <x:f t="shared" si="3">F55-IF(H55="2",2,IF(H55="0.45",0.45,0))-IF(I55="2",2,IF(I55="0.45",0.45,0))</x:f>
        <x:v>346</x:v>
      </x:c>
    </x:row>
    <x:row r="56" ht="30" customHeight="1">
      <x:c r="A56" s="6" t="s">
        <x:v>112</x:v>
      </x:c>
      <x:c r="B56" s="6" t="s">
        <x:v>106</x:v>
      </x:c>
      <x:c r="C56" s="6" t="s">
        <x:v>113</x:v>
      </x:c>
      <x:c r="D56" s="6" t="s">
        <x:v>19</x:v>
      </x:c>
      <x:c r="E56" s="9">
        <x:v>347</x:v>
      </x:c>
      <x:c r="F56" s="9">
        <x:v>597</x:v>
      </x:c>
      <x:c r="G56" s="11">
        <x:v>1</x:v>
      </x:c>
      <x:c r="H56" s="12" t="str">
        <x:v>2</x:v>
      </x:c>
      <x:c r="I56" s="12" t="str">
        <x:v>2</x:v>
      </x:c>
      <x:c r="J56" s="12" t="str">
        <x:v>2</x:v>
      </x:c>
      <x:c r="K56" s="12" t="str">
        <x:v>2</x:v>
      </x:c>
      <x:c r="L56" s="10" t="n">
        <x:f t="shared" si="2">E56-IF(J56="2",2,IF(J56="0.45",0.45,0))-IF(K56="2",2,IF(K56="0.45",0.45,0))</x:f>
        <x:v>343</x:v>
      </x:c>
      <x:c r="M56" s="10" t="n">
        <x:f t="shared" si="3">F56-IF(H56="2",2,IF(H56="0.45",0.45,0))-IF(I56="2",2,IF(I56="0.45",0.45,0))</x:f>
        <x:v>593</x:v>
      </x:c>
    </x:row>
    <x:row r="57" ht="48" customHeight="1">
      <x:c r="A57" s="6" t="s">
        <x:v>114</x:v>
      </x:c>
      <x:c r="B57" s="6" t="s">
        <x:v>106</x:v>
      </x:c>
      <x:c r="C57" s="6" t="s">
        <x:v>115</x:v>
      </x:c>
      <x:c r="D57" s="6" t="s">
        <x:v>19</x:v>
      </x:c>
      <x:c r="E57" s="9">
        <x:v>570</x:v>
      </x:c>
      <x:c r="F57" s="9">
        <x:v>60</x:v>
      </x:c>
      <x:c r="G57" s="11">
        <x:v>1</x:v>
      </x:c>
      <x:c r="H57" s="12" t="str">
        <x:v>0.45</x:v>
      </x:c>
      <x:c r="I57" s="12" t="str">
        <x:v>0.45</x:v>
      </x:c>
      <x:c r="J57" s="12" t="str">
        <x:v>0.45</x:v>
      </x:c>
      <x:c r="K57" s="12" t="str">
        <x:v>0.45</x:v>
      </x:c>
      <x:c r="L57" s="10" t="n">
        <x:f t="shared" si="2">E57-IF(J57="2",2,IF(J57="0.45",0.45,0))-IF(K57="2",2,IF(K57="0.45",0.45,0))</x:f>
        <x:v>569.0999999999999</x:v>
      </x:c>
      <x:c r="M57" s="10" t="n">
        <x:f t="shared" si="3">F57-IF(H57="2",2,IF(H57="0.45",0.45,0))-IF(I57="2",2,IF(I57="0.45",0.45,0))</x:f>
        <x:v>59.099999999999994</x:v>
      </x:c>
    </x:row>
    <x:row r="58" ht="30" customHeight="1">
      <x:c r="A58" s="6" t="s">
        <x:v>116</x:v>
      </x:c>
      <x:c r="B58" s="6" t="s">
        <x:v>117</x:v>
      </x:c>
      <x:c r="C58" s="6" t="s">
        <x:v>18</x:v>
      </x:c>
      <x:c r="D58" s="6" t="s">
        <x:v>19</x:v>
      </x:c>
      <x:c r="E58" s="9">
        <x:v>700</x:v>
      </x:c>
      <x:c r="F58" s="9">
        <x:v>320</x:v>
      </x:c>
      <x:c r="G58" s="11">
        <x:v>2</x:v>
      </x:c>
      <x:c r="H58" s="12" t="str">
        <x:v>0.45</x:v>
      </x:c>
      <x:c r="I58" s="12" t="str">
        <x:v>—</x:v>
      </x:c>
      <x:c r="J58" s="12" t="str">
        <x:v>0.45</x:v>
      </x:c>
      <x:c r="K58" s="12" t="str">
        <x:v>0.45</x:v>
      </x:c>
      <x:c r="L58" s="10" t="n">
        <x:f t="shared" si="2">E58-IF(J58="2",2,IF(J58="0.45",0.45,0))-IF(K58="2",2,IF(K58="0.45",0.45,0))</x:f>
        <x:v>699.0999999999999</x:v>
      </x:c>
      <x:c r="M58" s="10" t="n">
        <x:f t="shared" si="3">F58-IF(H58="2",2,IF(H58="0.45",0.45,0))-IF(I58="2",2,IF(I58="0.45",0.45,0))</x:f>
        <x:v>319.55</x:v>
      </x:c>
    </x:row>
    <x:row r="59" ht="30" customHeight="1">
      <x:c r="A59" s="6" t="s">
        <x:v>118</x:v>
      </x:c>
      <x:c r="B59" s="6" t="s">
        <x:v>117</x:v>
      </x:c>
      <x:c r="C59" s="6" t="s">
        <x:v>97</x:v>
      </x:c>
      <x:c r="D59" s="6" t="s">
        <x:v>19</x:v>
      </x:c>
      <x:c r="E59" s="9">
        <x:v>625</x:v>
      </x:c>
      <x:c r="F59" s="9">
        <x:v>320</x:v>
      </x:c>
      <x:c r="G59" s="11">
        <x:v>1</x:v>
      </x:c>
      <x:c r="H59" s="12" t="str">
        <x:v>0.45</x:v>
      </x:c>
      <x:c r="I59" s="12" t="str">
        <x:v>—</x:v>
      </x:c>
      <x:c r="J59" s="12" t="str">
        <x:v>—</x:v>
      </x:c>
      <x:c r="K59" s="12" t="str">
        <x:v>—</x:v>
      </x:c>
      <x:c r="L59" s="10" t="n">
        <x:f t="shared" si="2">E59-IF(J59="2",2,IF(J59="0.45",0.45,0))-IF(K59="2",2,IF(K59="0.45",0.45,0))</x:f>
        <x:v>625</x:v>
      </x:c>
      <x:c r="M59" s="10" t="n">
        <x:f t="shared" si="3">F59-IF(H59="2",2,IF(H59="0.45",0.45,0))-IF(I59="2",2,IF(I59="0.45",0.45,0))</x:f>
        <x:v>319.55</x:v>
      </x:c>
    </x:row>
    <x:row r="60" ht="30" customHeight="1">
      <x:c r="A60" s="6" t="s">
        <x:v>119</x:v>
      </x:c>
      <x:c r="B60" s="6" t="s">
        <x:v>117</x:v>
      </x:c>
      <x:c r="C60" s="6" t="s">
        <x:v>21</x:v>
      </x:c>
      <x:c r="D60" s="6" t="s">
        <x:v>19</x:v>
      </x:c>
      <x:c r="E60" s="9">
        <x:v>625</x:v>
      </x:c>
      <x:c r="F60" s="9">
        <x:v>320</x:v>
      </x:c>
      <x:c r="G60" s="11">
        <x:v>1</x:v>
      </x:c>
      <x:c r="H60" s="12" t="str">
        <x:v>0.45</x:v>
      </x:c>
      <x:c r="I60" s="12" t="str">
        <x:v>—</x:v>
      </x:c>
      <x:c r="J60" s="12" t="str">
        <x:v>—</x:v>
      </x:c>
      <x:c r="K60" s="12" t="str">
        <x:v>—</x:v>
      </x:c>
      <x:c r="L60" s="10" t="n">
        <x:f t="shared" si="2">E60-IF(J60="2",2,IF(J60="0.45",0.45,0))-IF(K60="2",2,IF(K60="0.45",0.45,0))</x:f>
        <x:v>625</x:v>
      </x:c>
      <x:c r="M60" s="10" t="n">
        <x:f t="shared" si="3">F60-IF(H60="2",2,IF(H60="0.45",0.45,0))-IF(I60="2",2,IF(I60="0.45",0.45,0))</x:f>
        <x:v>319.55</x:v>
      </x:c>
    </x:row>
    <x:row r="61" ht="30" customHeight="1">
      <x:c r="A61" s="6" t="s">
        <x:v>120</x:v>
      </x:c>
      <x:c r="B61" s="6" t="s">
        <x:v>117</x:v>
      </x:c>
      <x:c r="C61" s="6" t="s">
        <x:v>100</x:v>
      </x:c>
      <x:c r="D61" s="6" t="s">
        <x:v>26</x:v>
      </x:c>
      <x:c r="E61" s="9">
        <x:v>651</x:v>
      </x:c>
      <x:c r="F61" s="9">
        <x:v>696</x:v>
      </x:c>
      <x:c r="G61" s="11">
        <x:v>1</x:v>
      </x:c>
      <x:c r="H61" s="12" t="str">
        <x:v>—</x:v>
      </x:c>
      <x:c r="I61" s="12" t="str">
        <x:v>—</x:v>
      </x:c>
      <x:c r="J61" s="12" t="str">
        <x:v>—</x:v>
      </x:c>
      <x:c r="K61" s="12" t="str">
        <x:v>—</x:v>
      </x:c>
      <x:c r="L61" s="10" t="n">
        <x:f t="shared" si="2">E61-IF(J61="2",2,IF(J61="0.45",0.45,0))-IF(K61="2",2,IF(K61="0.45",0.45,0))</x:f>
        <x:v>651</x:v>
      </x:c>
      <x:c r="M61" s="10" t="n">
        <x:f t="shared" si="3">F61-IF(H61="2",2,IF(H61="0.45",0.45,0))-IF(I61="2",2,IF(I61="0.45",0.45,0))</x:f>
        <x:v>696</x:v>
      </x:c>
    </x:row>
    <x:row r="62" ht="30" customHeight="1">
      <x:c r="A62" s="6" t="s">
        <x:v>121</x:v>
      </x:c>
      <x:c r="B62" s="6" t="s">
        <x:v>117</x:v>
      </x:c>
      <x:c r="C62" s="6" t="s">
        <x:v>122</x:v>
      </x:c>
      <x:c r="D62" s="6" t="s">
        <x:v>19</x:v>
      </x:c>
      <x:c r="E62" s="9">
        <x:v>670</x:v>
      </x:c>
      <x:c r="F62" s="9">
        <x:v>320</x:v>
      </x:c>
      <x:c r="G62" s="11">
        <x:v>1</x:v>
      </x:c>
      <x:c r="H62" s="12" t="str">
        <x:v>0.45</x:v>
      </x:c>
      <x:c r="I62" s="12" t="str">
        <x:v>—</x:v>
      </x:c>
      <x:c r="J62" s="12" t="str">
        <x:v>—</x:v>
      </x:c>
      <x:c r="K62" s="12" t="str">
        <x:v>—</x:v>
      </x:c>
      <x:c r="L62" s="10" t="n">
        <x:f t="shared" si="2">E62-IF(J62="2",2,IF(J62="0.45",0.45,0))-IF(K62="2",2,IF(K62="0.45",0.45,0))</x:f>
        <x:v>670</x:v>
      </x:c>
      <x:c r="M62" s="10" t="n">
        <x:f t="shared" si="3">F62-IF(H62="2",2,IF(H62="0.45",0.45,0))-IF(I62="2",2,IF(I62="0.45",0.45,0))</x:f>
        <x:v>319.55</x:v>
      </x:c>
    </x:row>
    <x:row r="63" ht="30" customHeight="1">
      <x:c r="A63" s="6" t="s">
        <x:v>123</x:v>
      </x:c>
      <x:c r="B63" s="6" t="s">
        <x:v>117</x:v>
      </x:c>
      <x:c r="C63" s="6" t="s">
        <x:v>102</x:v>
      </x:c>
      <x:c r="D63" s="6" t="s">
        <x:v>19</x:v>
      </x:c>
      <x:c r="E63" s="9">
        <x:v>303</x:v>
      </x:c>
      <x:c r="F63" s="9">
        <x:v>300</x:v>
      </x:c>
      <x:c r="G63" s="11">
        <x:v>2</x:v>
      </x:c>
      <x:c r="H63" s="12" t="str">
        <x:v>0.45</x:v>
      </x:c>
      <x:c r="I63" s="12" t="str">
        <x:v>—</x:v>
      </x:c>
      <x:c r="J63" s="12" t="str">
        <x:v>—</x:v>
      </x:c>
      <x:c r="K63" s="12" t="str">
        <x:v>—</x:v>
      </x:c>
      <x:c r="L63" s="10" t="n">
        <x:f t="shared" si="2">E63-IF(J63="2",2,IF(J63="0.45",0.45,0))-IF(K63="2",2,IF(K63="0.45",0.45,0))</x:f>
        <x:v>303</x:v>
      </x:c>
      <x:c r="M63" s="10" t="n">
        <x:f t="shared" si="3">F63-IF(H63="2",2,IF(H63="0.45",0.45,0))-IF(I63="2",2,IF(I63="0.45",0.45,0))</x:f>
        <x:v>299.55</x:v>
      </x:c>
    </x:row>
    <x:row r="64" ht="30" customHeight="1">
      <x:c r="A64" s="6" t="s">
        <x:v>124</x:v>
      </x:c>
      <x:c r="B64" s="6" t="s">
        <x:v>117</x:v>
      </x:c>
      <x:c r="C64" s="6" t="s">
        <x:v>67</x:v>
      </x:c>
      <x:c r="D64" s="6" t="s">
        <x:v>19</x:v>
      </x:c>
      <x:c r="E64" s="9">
        <x:v>717</x:v>
      </x:c>
      <x:c r="F64" s="9">
        <x:v>324.5</x:v>
      </x:c>
      <x:c r="G64" s="11">
        <x:v>1</x:v>
      </x:c>
      <x:c r="H64" s="12" t="str">
        <x:v>2</x:v>
      </x:c>
      <x:c r="I64" s="12" t="str">
        <x:v>2</x:v>
      </x:c>
      <x:c r="J64" s="12" t="str">
        <x:v>2</x:v>
      </x:c>
      <x:c r="K64" s="12" t="str">
        <x:v>2</x:v>
      </x:c>
      <x:c r="L64" s="10" t="n">
        <x:f t="shared" si="2">E64-IF(J64="2",2,IF(J64="0.45",0.45,0))-IF(K64="2",2,IF(K64="0.45",0.45,0))</x:f>
        <x:v>713</x:v>
      </x:c>
      <x:c r="M64" s="10" t="n">
        <x:f t="shared" si="3">F64-IF(H64="2",2,IF(H64="0.45",0.45,0))-IF(I64="2",2,IF(I64="0.45",0.45,0))</x:f>
        <x:v>320.5</x:v>
      </x:c>
    </x:row>
    <x:row r="65" ht="30" customHeight="1">
      <x:c r="A65" s="6" t="s">
        <x:v>125</x:v>
      </x:c>
      <x:c r="B65" s="6" t="s">
        <x:v>117</x:v>
      </x:c>
      <x:c r="C65" s="6" t="s">
        <x:v>69</x:v>
      </x:c>
      <x:c r="D65" s="6" t="s">
        <x:v>19</x:v>
      </x:c>
      <x:c r="E65" s="9">
        <x:v>717</x:v>
      </x:c>
      <x:c r="F65" s="9">
        <x:v>324.5</x:v>
      </x:c>
      <x:c r="G65" s="11">
        <x:v>1</x:v>
      </x:c>
      <x:c r="H65" s="12" t="str">
        <x:v>2</x:v>
      </x:c>
      <x:c r="I65" s="12" t="str">
        <x:v>2</x:v>
      </x:c>
      <x:c r="J65" s="12" t="str">
        <x:v>2</x:v>
      </x:c>
      <x:c r="K65" s="12" t="str">
        <x:v>2</x:v>
      </x:c>
      <x:c r="L65" s="10" t="n">
        <x:f t="shared" si="2">E65-IF(J65="2",2,IF(J65="0.45",0.45,0))-IF(K65="2",2,IF(K65="0.45",0.45,0))</x:f>
        <x:v>713</x:v>
      </x:c>
      <x:c r="M65" s="10" t="n">
        <x:f t="shared" si="3">F65-IF(H65="2",2,IF(H65="0.45",0.45,0))-IF(I65="2",2,IF(I65="0.45",0.45,0))</x:f>
        <x:v>320.5</x:v>
      </x:c>
    </x:row>
    <x:row r="66" ht="30" customHeight="1">
      <x:c r="A66" s="6" t="s">
        <x:v>126</x:v>
      </x:c>
      <x:c r="B66" s="6" t="s">
        <x:v>127</x:v>
      </x:c>
      <x:c r="C66" s="6" t="s">
        <x:v>18</x:v>
      </x:c>
      <x:c r="D66" s="6" t="s">
        <x:v>19</x:v>
      </x:c>
      <x:c r="E66" s="9">
        <x:v>700</x:v>
      </x:c>
      <x:c r="F66" s="9">
        <x:v>320</x:v>
      </x:c>
      <x:c r="G66" s="11">
        <x:v>2</x:v>
      </x:c>
      <x:c r="H66" s="12" t="str">
        <x:v>0.45</x:v>
      </x:c>
      <x:c r="I66" s="12" t="str">
        <x:v>—</x:v>
      </x:c>
      <x:c r="J66" s="12" t="str">
        <x:v>0.45</x:v>
      </x:c>
      <x:c r="K66" s="12" t="str">
        <x:v>0.45</x:v>
      </x:c>
      <x:c r="L66" s="10" t="n">
        <x:f t="shared" si="2">E66-IF(J66="2",2,IF(J66="0.45",0.45,0))-IF(K66="2",2,IF(K66="0.45",0.45,0))</x:f>
        <x:v>699.0999999999999</x:v>
      </x:c>
      <x:c r="M66" s="10" t="n">
        <x:f t="shared" si="3">F66-IF(H66="2",2,IF(H66="0.45",0.45,0))-IF(I66="2",2,IF(I66="0.45",0.45,0))</x:f>
        <x:v>319.55</x:v>
      </x:c>
    </x:row>
    <x:row r="67" ht="30" customHeight="1">
      <x:c r="A67" s="6" t="s">
        <x:v>128</x:v>
      </x:c>
      <x:c r="B67" s="6" t="s">
        <x:v>127</x:v>
      </x:c>
      <x:c r="C67" s="6" t="s">
        <x:v>97</x:v>
      </x:c>
      <x:c r="D67" s="6" t="s">
        <x:v>19</x:v>
      </x:c>
      <x:c r="E67" s="9">
        <x:v>685</x:v>
      </x:c>
      <x:c r="F67" s="9">
        <x:v>320</x:v>
      </x:c>
      <x:c r="G67" s="11">
        <x:v>1</x:v>
      </x:c>
      <x:c r="H67" s="12" t="str">
        <x:v>0.45</x:v>
      </x:c>
      <x:c r="I67" s="12" t="str">
        <x:v>—</x:v>
      </x:c>
      <x:c r="J67" s="12" t="str">
        <x:v>—</x:v>
      </x:c>
      <x:c r="K67" s="12" t="str">
        <x:v>—</x:v>
      </x:c>
      <x:c r="L67" s="10" t="n">
        <x:f t="shared" si="2">E67-IF(J67="2",2,IF(J67="0.45",0.45,0))-IF(K67="2",2,IF(K67="0.45",0.45,0))</x:f>
        <x:v>685</x:v>
      </x:c>
      <x:c r="M67" s="10" t="n">
        <x:f t="shared" si="3">F67-IF(H67="2",2,IF(H67="0.45",0.45,0))-IF(I67="2",2,IF(I67="0.45",0.45,0))</x:f>
        <x:v>319.55</x:v>
      </x:c>
    </x:row>
    <x:row r="68" ht="30" customHeight="1">
      <x:c r="A68" s="6" t="s">
        <x:v>129</x:v>
      </x:c>
      <x:c r="B68" s="6" t="s">
        <x:v>127</x:v>
      </x:c>
      <x:c r="C68" s="6" t="s">
        <x:v>130</x:v>
      </x:c>
      <x:c r="D68" s="6" t="s">
        <x:v>19</x:v>
      </x:c>
      <x:c r="E68" s="9">
        <x:v>685</x:v>
      </x:c>
      <x:c r="F68" s="9">
        <x:v>60</x:v>
      </x:c>
      <x:c r="G68" s="11">
        <x:v>1</x:v>
      </x:c>
      <x:c r="H68" s="12" t="str">
        <x:v>0.45</x:v>
      </x:c>
      <x:c r="I68" s="12" t="str">
        <x:v>0.45</x:v>
      </x:c>
      <x:c r="J68" s="12" t="str">
        <x:v>0.45</x:v>
      </x:c>
      <x:c r="K68" s="12" t="str">
        <x:v>0.45</x:v>
      </x:c>
      <x:c r="L68" s="10" t="n">
        <x:f t="shared" si="2">E68-IF(J68="2",2,IF(J68="0.45",0.45,0))-IF(K68="2",2,IF(K68="0.45",0.45,0))</x:f>
        <x:v>684.0999999999999</x:v>
      </x:c>
      <x:c r="M68" s="10" t="n">
        <x:f t="shared" si="3">F68-IF(H68="2",2,IF(H68="0.45",0.45,0))-IF(I68="2",2,IF(I68="0.45",0.45,0))</x:f>
        <x:v>59.099999999999994</x:v>
      </x:c>
    </x:row>
    <x:row r="69" ht="30" customHeight="1">
      <x:c r="A69" s="6" t="s">
        <x:v>131</x:v>
      </x:c>
      <x:c r="B69" s="6" t="s">
        <x:v>127</x:v>
      </x:c>
      <x:c r="C69" s="6" t="s">
        <x:v>132</x:v>
      </x:c>
      <x:c r="D69" s="6" t="s">
        <x:v>19</x:v>
      </x:c>
      <x:c r="E69" s="9">
        <x:v>685</x:v>
      </x:c>
      <x:c r="F69" s="9">
        <x:v>80</x:v>
      </x:c>
      <x:c r="G69" s="11">
        <x:v>1</x:v>
      </x:c>
      <x:c r="H69" s="12" t="str">
        <x:v>0.45</x:v>
      </x:c>
      <x:c r="I69" s="12" t="str">
        <x:v>0.45</x:v>
      </x:c>
      <x:c r="J69" s="12" t="str">
        <x:v>0.45</x:v>
      </x:c>
      <x:c r="K69" s="12" t="str">
        <x:v>0.45</x:v>
      </x:c>
      <x:c r="L69" s="10" t="n">
        <x:f t="shared" ref="L69:L78" si="4">E69-IF(J69="2",2,IF(J69="0.45",0.45,0))-IF(K69="2",2,IF(K69="0.45",0.45,0))</x:f>
        <x:v>684.0999999999999</x:v>
      </x:c>
      <x:c r="M69" s="10" t="n">
        <x:f t="shared" ref="M69:M78" si="5">F69-IF(H69="2",2,IF(H69="0.45",0.45,0))-IF(I69="2",2,IF(I69="0.45",0.45,0))</x:f>
        <x:v>79.1</x:v>
      </x:c>
    </x:row>
    <x:row r="70" ht="30" customHeight="1">
      <x:c r="A70" s="6" t="s">
        <x:v>133</x:v>
      </x:c>
      <x:c r="B70" s="6" t="s">
        <x:v>127</x:v>
      </x:c>
      <x:c r="C70" s="6" t="s">
        <x:v>100</x:v>
      </x:c>
      <x:c r="D70" s="6" t="s">
        <x:v>26</x:v>
      </x:c>
      <x:c r="E70" s="9">
        <x:v>711</x:v>
      </x:c>
      <x:c r="F70" s="9">
        <x:v>696</x:v>
      </x:c>
      <x:c r="G70" s="11">
        <x:v>1</x:v>
      </x:c>
      <x:c r="H70" s="12" t="str">
        <x:v>—</x:v>
      </x:c>
      <x:c r="I70" s="12" t="str">
        <x:v>—</x:v>
      </x:c>
      <x:c r="J70" s="12" t="str">
        <x:v>—</x:v>
      </x:c>
      <x:c r="K70" s="12" t="str">
        <x:v>—</x:v>
      </x:c>
      <x:c r="L70" s="10" t="n">
        <x:f t="shared" si="4">E70-IF(J70="2",2,IF(J70="0.45",0.45,0))-IF(K70="2",2,IF(K70="0.45",0.45,0))</x:f>
        <x:v>711</x:v>
      </x:c>
      <x:c r="M70" s="10" t="n">
        <x:f t="shared" si="5">F70-IF(H70="2",2,IF(H70="0.45",0.45,0))-IF(I70="2",2,IF(I70="0.45",0.45,0))</x:f>
        <x:v>696</x:v>
      </x:c>
    </x:row>
    <x:row r="71" ht="30" customHeight="1">
      <x:c r="A71" s="6" t="s">
        <x:v>134</x:v>
      </x:c>
      <x:c r="B71" s="6" t="s">
        <x:v>127</x:v>
      </x:c>
      <x:c r="C71" s="6" t="s">
        <x:v>67</x:v>
      </x:c>
      <x:c r="D71" s="6" t="s">
        <x:v>19</x:v>
      </x:c>
      <x:c r="E71" s="9">
        <x:v>717</x:v>
      </x:c>
      <x:c r="F71" s="9">
        <x:v>354.5</x:v>
      </x:c>
      <x:c r="G71" s="11">
        <x:v>1</x:v>
      </x:c>
      <x:c r="H71" s="12" t="str">
        <x:v>2</x:v>
      </x:c>
      <x:c r="I71" s="12" t="str">
        <x:v>2</x:v>
      </x:c>
      <x:c r="J71" s="12" t="str">
        <x:v>2</x:v>
      </x:c>
      <x:c r="K71" s="12" t="str">
        <x:v>2</x:v>
      </x:c>
      <x:c r="L71" s="10" t="n">
        <x:f t="shared" si="4">E71-IF(J71="2",2,IF(J71="0.45",0.45,0))-IF(K71="2",2,IF(K71="0.45",0.45,0))</x:f>
        <x:v>713</x:v>
      </x:c>
      <x:c r="M71" s="10" t="n">
        <x:f t="shared" si="5">F71-IF(H71="2",2,IF(H71="0.45",0.45,0))-IF(I71="2",2,IF(I71="0.45",0.45,0))</x:f>
        <x:v>350.5</x:v>
      </x:c>
    </x:row>
    <x:row r="72" ht="30" customHeight="1">
      <x:c r="A72" s="6" t="s">
        <x:v>135</x:v>
      </x:c>
      <x:c r="B72" s="6" t="s">
        <x:v>127</x:v>
      </x:c>
      <x:c r="C72" s="6" t="s">
        <x:v>69</x:v>
      </x:c>
      <x:c r="D72" s="6" t="s">
        <x:v>19</x:v>
      </x:c>
      <x:c r="E72" s="9">
        <x:v>717</x:v>
      </x:c>
      <x:c r="F72" s="9">
        <x:v>354.5</x:v>
      </x:c>
      <x:c r="G72" s="11">
        <x:v>1</x:v>
      </x:c>
      <x:c r="H72" s="12" t="str">
        <x:v>2</x:v>
      </x:c>
      <x:c r="I72" s="12" t="str">
        <x:v>2</x:v>
      </x:c>
      <x:c r="J72" s="12" t="str">
        <x:v>2</x:v>
      </x:c>
      <x:c r="K72" s="12" t="str">
        <x:v>2</x:v>
      </x:c>
      <x:c r="L72" s="10" t="n">
        <x:f t="shared" si="4">E72-IF(J72="2",2,IF(J72="0.45",0.45,0))-IF(K72="2",2,IF(K72="0.45",0.45,0))</x:f>
        <x:v>713</x:v>
      </x:c>
      <x:c r="M72" s="10" t="n">
        <x:f t="shared" si="5">F72-IF(H72="2",2,IF(H72="0.45",0.45,0))-IF(I72="2",2,IF(I72="0.45",0.45,0))</x:f>
        <x:v>350.5</x:v>
      </x:c>
    </x:row>
    <x:row r="73" ht="30" customHeight="1">
      <x:c r="A73" s="6" t="s">
        <x:v>136</x:v>
      </x:c>
      <x:c r="B73" s="6" t="s">
        <x:v>137</x:v>
      </x:c>
      <x:c r="C73" s="6" t="s">
        <x:v>18</x:v>
      </x:c>
      <x:c r="D73" s="6" t="s">
        <x:v>19</x:v>
      </x:c>
      <x:c r="E73" s="9">
        <x:v>700</x:v>
      </x:c>
      <x:c r="F73" s="9">
        <x:v>320</x:v>
      </x:c>
      <x:c r="G73" s="11">
        <x:v>2</x:v>
      </x:c>
      <x:c r="H73" s="12" t="str">
        <x:v>0.45</x:v>
      </x:c>
      <x:c r="I73" s="12" t="str">
        <x:v>—</x:v>
      </x:c>
      <x:c r="J73" s="12" t="str">
        <x:v>0.45</x:v>
      </x:c>
      <x:c r="K73" s="12" t="str">
        <x:v>0.45</x:v>
      </x:c>
      <x:c r="L73" s="10" t="n">
        <x:f t="shared" si="4">E73-IF(J73="2",2,IF(J73="0.45",0.45,0))-IF(K73="2",2,IF(K73="0.45",0.45,0))</x:f>
        <x:v>699.0999999999999</x:v>
      </x:c>
      <x:c r="M73" s="10" t="n">
        <x:f t="shared" si="5">F73-IF(H73="2",2,IF(H73="0.45",0.45,0))-IF(I73="2",2,IF(I73="0.45",0.45,0))</x:f>
        <x:v>319.55</x:v>
      </x:c>
    </x:row>
    <x:row r="74" ht="30" customHeight="1">
      <x:c r="A74" s="6" t="s">
        <x:v>138</x:v>
      </x:c>
      <x:c r="B74" s="6" t="s">
        <x:v>137</x:v>
      </x:c>
      <x:c r="C74" s="6" t="s">
        <x:v>97</x:v>
      </x:c>
      <x:c r="D74" s="6" t="s">
        <x:v>19</x:v>
      </x:c>
      <x:c r="E74" s="9">
        <x:v>370</x:v>
      </x:c>
      <x:c r="F74" s="9">
        <x:v>320</x:v>
      </x:c>
      <x:c r="G74" s="11">
        <x:v>1</x:v>
      </x:c>
      <x:c r="H74" s="12" t="str">
        <x:v>0.45</x:v>
      </x:c>
      <x:c r="I74" s="12" t="str">
        <x:v>—</x:v>
      </x:c>
      <x:c r="J74" s="12" t="str">
        <x:v>—</x:v>
      </x:c>
      <x:c r="K74" s="12" t="str">
        <x:v>—</x:v>
      </x:c>
      <x:c r="L74" s="10" t="n">
        <x:f t="shared" si="4">E74-IF(J74="2",2,IF(J74="0.45",0.45,0))-IF(K74="2",2,IF(K74="0.45",0.45,0))</x:f>
        <x:v>370</x:v>
      </x:c>
      <x:c r="M74" s="10" t="n">
        <x:f t="shared" si="5">F74-IF(H74="2",2,IF(H74="0.45",0.45,0))-IF(I74="2",2,IF(I74="0.45",0.45,0))</x:f>
        <x:v>319.55</x:v>
      </x:c>
    </x:row>
    <x:row r="75" ht="30" customHeight="1">
      <x:c r="A75" s="6" t="s">
        <x:v>139</x:v>
      </x:c>
      <x:c r="B75" s="6" t="s">
        <x:v>137</x:v>
      </x:c>
      <x:c r="C75" s="6" t="s">
        <x:v>21</x:v>
      </x:c>
      <x:c r="D75" s="6" t="s">
        <x:v>19</x:v>
      </x:c>
      <x:c r="E75" s="9">
        <x:v>370</x:v>
      </x:c>
      <x:c r="F75" s="9">
        <x:v>320</x:v>
      </x:c>
      <x:c r="G75" s="11">
        <x:v>1</x:v>
      </x:c>
      <x:c r="H75" s="12" t="str">
        <x:v>0.45</x:v>
      </x:c>
      <x:c r="I75" s="12" t="str">
        <x:v>—</x:v>
      </x:c>
      <x:c r="J75" s="12" t="str">
        <x:v>—</x:v>
      </x:c>
      <x:c r="K75" s="12" t="str">
        <x:v>—</x:v>
      </x:c>
      <x:c r="L75" s="10" t="n">
        <x:f t="shared" si="4">E75-IF(J75="2",2,IF(J75="0.45",0.45,0))-IF(K75="2",2,IF(K75="0.45",0.45,0))</x:f>
        <x:v>370</x:v>
      </x:c>
      <x:c r="M75" s="10" t="n">
        <x:f t="shared" si="5">F75-IF(H75="2",2,IF(H75="0.45",0.45,0))-IF(I75="2",2,IF(I75="0.45",0.45,0))</x:f>
        <x:v>319.55</x:v>
      </x:c>
    </x:row>
    <x:row r="76" ht="30" customHeight="1">
      <x:c r="A76" s="6" t="s">
        <x:v>140</x:v>
      </x:c>
      <x:c r="B76" s="6" t="s">
        <x:v>137</x:v>
      </x:c>
      <x:c r="C76" s="6" t="s">
        <x:v>100</x:v>
      </x:c>
      <x:c r="D76" s="6" t="s">
        <x:v>26</x:v>
      </x:c>
      <x:c r="E76" s="9">
        <x:v>396</x:v>
      </x:c>
      <x:c r="F76" s="9">
        <x:v>696</x:v>
      </x:c>
      <x:c r="G76" s="11">
        <x:v>1</x:v>
      </x:c>
      <x:c r="H76" s="12" t="str">
        <x:v>—</x:v>
      </x:c>
      <x:c r="I76" s="12" t="str">
        <x:v>—</x:v>
      </x:c>
      <x:c r="J76" s="12" t="str">
        <x:v>—</x:v>
      </x:c>
      <x:c r="K76" s="12" t="str">
        <x:v>—</x:v>
      </x:c>
      <x:c r="L76" s="10" t="n">
        <x:f t="shared" si="4">E76-IF(J76="2",2,IF(J76="0.45",0.45,0))-IF(K76="2",2,IF(K76="0.45",0.45,0))</x:f>
        <x:v>396</x:v>
      </x:c>
      <x:c r="M76" s="10" t="n">
        <x:f t="shared" si="5">F76-IF(H76="2",2,IF(H76="0.45",0.45,0))-IF(I76="2",2,IF(I76="0.45",0.45,0))</x:f>
        <x:v>696</x:v>
      </x:c>
    </x:row>
    <x:row r="77" ht="30" customHeight="1">
      <x:c r="A77" s="6" t="s">
        <x:v>141</x:v>
      </x:c>
      <x:c r="B77" s="6" t="s">
        <x:v>137</x:v>
      </x:c>
      <x:c r="C77" s="6" t="s">
        <x:v>102</x:v>
      </x:c>
      <x:c r="D77" s="6" t="s">
        <x:v>19</x:v>
      </x:c>
      <x:c r="E77" s="9">
        <x:v>368</x:v>
      </x:c>
      <x:c r="F77" s="9">
        <x:v>300</x:v>
      </x:c>
      <x:c r="G77" s="11">
        <x:v>1</x:v>
      </x:c>
      <x:c r="H77" s="12" t="str">
        <x:v>0.45</x:v>
      </x:c>
      <x:c r="I77" s="12" t="str">
        <x:v>—</x:v>
      </x:c>
      <x:c r="J77" s="12" t="str">
        <x:v>—</x:v>
      </x:c>
      <x:c r="K77" s="12" t="str">
        <x:v>—</x:v>
      </x:c>
      <x:c r="L77" s="10" t="n">
        <x:f t="shared" si="4">E77-IF(J77="2",2,IF(J77="0.45",0.45,0))-IF(K77="2",2,IF(K77="0.45",0.45,0))</x:f>
        <x:v>368</x:v>
      </x:c>
      <x:c r="M77" s="10" t="n">
        <x:f t="shared" si="5">F77-IF(H77="2",2,IF(H77="0.45",0.45,0))-IF(I77="2",2,IF(I77="0.45",0.45,0))</x:f>
        <x:v>299.55</x:v>
      </x:c>
    </x:row>
    <x:row r="78" ht="30" customHeight="1">
      <x:c r="A78" s="6" t="s">
        <x:v>142</x:v>
      </x:c>
      <x:c r="B78" s="6" t="s">
        <x:v>137</x:v>
      </x:c>
      <x:c r="C78" s="6" t="s">
        <x:v>104</x:v>
      </x:c>
      <x:c r="D78" s="6" t="s">
        <x:v>19</x:v>
      </x:c>
      <x:c r="E78" s="9">
        <x:v>717</x:v>
      </x:c>
      <x:c r="F78" s="9">
        <x:v>397</x:v>
      </x:c>
      <x:c r="G78" s="11">
        <x:v>1</x:v>
      </x:c>
      <x:c r="H78" s="12" t="str">
        <x:v>2</x:v>
      </x:c>
      <x:c r="I78" s="12" t="str">
        <x:v>2</x:v>
      </x:c>
      <x:c r="J78" s="12" t="str">
        <x:v>2</x:v>
      </x:c>
      <x:c r="K78" s="12" t="str">
        <x:v>2</x:v>
      </x:c>
      <x:c r="L78" s="10" t="n">
        <x:f t="shared" si="4">E78-IF(J78="2",2,IF(J78="0.45",0.45,0))-IF(K78="2",2,IF(K78="0.45",0.45,0))</x:f>
        <x:v>713</x:v>
      </x:c>
      <x:c r="M78" s="10" t="n">
        <x:f t="shared" si="5">F78-IF(H78="2",2,IF(H78="0.45",0.45,0))-IF(I78="2",2,IF(I78="0.45",0.45,0))</x:f>
        <x:v>393</x:v>
      </x:c>
    </x:row>
    <x:row r="79">
      <x:c r="A79" s="1"/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2"/>
      <x:c r="M79" s="2"/>
    </x:row>
    <x:row r="80">
      <x:c r="A80" s="1"/>
      <x:c r="B80" s="1"/>
      <x:c r="C80" s="26" t="s">
        <x:v>143</x:v>
      </x:c>
      <x:c r="D80" s="1"/>
      <x:c r="E80" s="1"/>
      <x:c r="F80" s="1"/>
      <x:c r="G80" s="26" t="n">
        <x:f>SUMIF(D5:D78,"Melamina Cartagena RH 15",G5:G78)</x:f>
        <x:v>85</x:v>
      </x:c>
      <x:c r="H80" s="1"/>
      <x:c r="I80" s="1"/>
      <x:c r="J80" s="1"/>
      <x:c r="K80" s="1"/>
      <x:c r="L80" s="2"/>
      <x:c r="M80" s="2"/>
    </x:row>
    <x:row r="81">
      <x:c r="A81" s="1"/>
      <x:c r="B81" s="1"/>
      <x:c r="C81" s="26" t="s">
        <x:v>144</x:v>
      </x:c>
      <x:c r="D81" s="1"/>
      <x:c r="E81" s="1"/>
      <x:c r="F81" s="1"/>
      <x:c r="G81" s="26" t="n">
        <x:f>SUMIF(D5:D78,"Fondo melamina 6",G5:G78)</x:f>
        <x:v>9</x:v>
      </x:c>
      <x:c r="H81" s="1"/>
      <x:c r="I81" s="1"/>
      <x:c r="J81" s="1"/>
      <x:c r="K81" s="1"/>
      <x:c r="L81" s="2"/>
      <x:c r="M81" s="2"/>
    </x:row>
  </x:sheetData>
  <x:mergeCells>
    <x:mergeCell ref="A3:M3"/>
    <x:mergeCell ref="A2:M2"/>
    <x:mergeCell ref="A1:M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6" topLeftCell="A7" activePane="bottomLeft" state="frozen"/>
    </x:sheetView>
  </x:sheetViews>
  <x:sheetFormatPr baseColWidth="10" defaultRowHeight="14.399999618530273"/>
  <x:cols>
    <x:col min="1" max="1" width="9.77734375" customWidth="1"/>
    <x:col min="2" max="2" width="22.77734375" customWidth="1"/>
    <x:col min="3" max="3" width="38.77734375" customWidth="1"/>
    <x:col min="4" max="4" width="24.77734375" customWidth="1"/>
    <x:col min="5" max="5" width="6.77734375" customWidth="1"/>
    <x:col min="6" max="7" width="11.77734375" customWidth="1"/>
    <x:col min="8" max="11" width="7.77734375" customWidth="1"/>
    <x:col min="12" max="12" width="11.77734375" customWidth="1"/>
    <x:col min="13" max="13" width="14.77734375" customWidth="1"/>
    <x:col min="14" max="14" width="46.77734375" customWidth="1"/>
    <x:col min="16" max="16" width="48.77734375" customWidth="1"/>
    <x:col min="17" max="17" width="8.77734375" customWidth="1"/>
    <x:col min="19" max="19" width="10.77734375" customWidth="1"/>
    <x:col min="20" max="20" width="60.77734375" customWidth="1"/>
  </x:cols>
  <x:sheetData>
    <x:row r="1">
      <x:c r="S1" s="28" t="s">
        <x:v>145</x:v>
      </x:c>
    </x:row>
    <x:row r="2" ht="18">
      <x:c r="A2" s="29" t="s">
        <x:v>146</x:v>
      </x:c>
      <x:c r="P2" s="30" t="s">
        <x:v>147</x:v>
      </x:c>
      <x:c r="Q2" s="31" t="s">
        <x:v>148</x:v>
      </x:c>
      <x:c r="S2" s="28" t="s">
        <x:v>31</x:v>
      </x:c>
      <x:c r="T2" s="28" t="s">
        <x:v>149</x:v>
      </x:c>
    </x:row>
    <x:row r="3">
      <x:c r="A3" s="28" t="str">
        <x:v>Medidas finales con canto incluido. R = rígido 2 mm; F = flexible 0,45 mm; — = sin canto. Un solo tipo por pieza; solo se cantean los bordes marcados.</x:v>
      </x:c>
      <x:c r="P3" s="30" t="s">
        <x:v>150</x:v>
      </x:c>
      <x:c r="Q3" s="33">
        <x:v>100</x:v>
      </x:c>
      <x:c r="S3" s="28" t="s">
        <x:v>35</x:v>
      </x:c>
      <x:c r="T3" s="28" t="s">
        <x:v>151</x:v>
      </x:c>
    </x:row>
    <x:row r="4">
      <x:c r="A4" s="28" t="s">
        <x:v>152</x:v>
      </x:c>
      <x:c r="P4" s="30" t="s">
        <x:v>153</x:v>
      </x:c>
      <x:c r="Q4" s="33">
        <x:v>250</x:v>
      </x:c>
      <x:c r="S4" s="28" t="s">
        <x:v>39</x:v>
      </x:c>
      <x:c r="T4" s="28" t="s">
        <x:v>154</x:v>
      </x:c>
    </x:row>
    <x:row r="5">
      <x:c r="P5" s="30" t="s">
        <x:v>155</x:v>
      </x:c>
      <x:c r="S5" s="28" t="s">
        <x:v>70</x:v>
      </x:c>
      <x:c r="T5" s="28" t="str">
        <x:v>P029: flexible 0,45 mm en los cuatro bordes. Recorte de sifón y tuberías en obra: sellar el corte.</x:v>
      </x:c>
    </x:row>
    <x:row r="6" ht="28.799999237060547">
      <x:c r="A6" s="39" t="s">
        <x:v>156</x:v>
      </x:c>
      <x:c r="B6" s="39" t="s">
        <x:v>157</x:v>
      </x:c>
      <x:c r="C6" s="39" t="s">
        <x:v>5</x:v>
      </x:c>
      <x:c r="D6" s="39" t="s">
        <x:v>6</x:v>
      </x:c>
      <x:c r="E6" s="39" t="s">
        <x:v>9</x:v>
      </x:c>
      <x:c r="F6" s="39" t="s">
        <x:v>158</x:v>
      </x:c>
      <x:c r="G6" s="39" t="s">
        <x:v>159</x:v>
      </x:c>
      <x:c r="H6" s="39" t="s">
        <x:v>160</x:v>
      </x:c>
      <x:c r="I6" s="39" t="s">
        <x:v>161</x:v>
      </x:c>
      <x:c r="J6" s="39" t="s">
        <x:v>162</x:v>
      </x:c>
      <x:c r="K6" s="39" t="s">
        <x:v>163</x:v>
      </x:c>
      <x:c r="L6" s="39" t="s">
        <x:v>164</x:v>
      </x:c>
      <x:c r="M6" s="39" t="s">
        <x:v>165</x:v>
      </x:c>
      <x:c r="N6" s="39" t="s">
        <x:v>166</x:v>
      </x:c>
      <x:c r="S6" s="28" t="s">
        <x:v>107</x:v>
      </x:c>
      <x:c r="T6" s="28" t="s">
        <x:v>167</x:v>
      </x:c>
    </x:row>
    <x:row r="7" ht="28.799999237060547">
      <x:c r="A7" s="40" t="str">
        <x:f>Despiece!A5</x:f>
        <x:v>P001</x:v>
      </x:c>
      <x:c r="B7" s="40" t="str">
        <x:f>Despiece!B5</x:f>
        <x:v>B1 Condimentero 18</x:v>
      </x:c>
      <x:c r="C7" s="40" t="str">
        <x:f>Despiece!C5</x:f>
        <x:v>Lateral</x:v>
      </x:c>
      <x:c r="D7" s="40" t="str">
        <x:f>Despiece!D5</x:f>
        <x:v>Melamina Cartagena RH 15</x:v>
      </x:c>
      <x:c r="E7" s="41" t="n">
        <x:f>Despiece!G5</x:f>
        <x:v>2</x:v>
      </x:c>
      <x:c r="F7" s="45" t="n">
        <x:f>IF($Q$2="NO",ROUND(Despiece!L5,2),Despiece!E5)</x:f>
        <x:v>785</x:v>
      </x:c>
      <x:c r="G7" s="45" t="n">
        <x:f>IF($Q$2="NO",ROUND(Despiece!M5,2),Despiece!F5)</x:f>
        <x:v>580</x:v>
      </x:c>
      <x:c r="H7" s="42" t="str">
        <x:f>IF(Despiece!H5="2","R",IF(Despiece!H5="0.45","F","—"))</x:f>
        <x:v>F</x:v>
      </x:c>
      <x:c r="I7" s="42" t="str">
        <x:f>IF(Despiece!I5="2","R",IF(Despiece!I5="0.45","F","—"))</x:f>
        <x:v>—</x:v>
      </x:c>
      <x:c r="J7" s="42" t="str">
        <x:f>IF(Despiece!J5="2","R",IF(Despiece!J5="0.45","F","—"))</x:f>
        <x:v>F</x:v>
      </x:c>
      <x:c r="K7" s="42" t="str">
        <x:f>IF(Despiece!K5="2","R",IF(Despiece!K5="0.45","F","—"))</x:f>
        <x:v>—</x:v>
      </x:c>
      <x:c r="L7" s="42" t="str">
        <x:f>IF(SUMPRODUCT((Despiece!H5:K5="2")+(Despiece!H5:K5="0.45"))=0,"Sin canto",IF(OR(MIN(Despiece!L5,Despiece!M5)&lt;$Q$3,MAX(Despiece!L5,Despiece!M5)&lt;$Q$4),"Pequeña","Normal"))</x:f>
        <x:v>Normal</x:v>
      </x:c>
      <x:c r="M7" s="40" t="str">
        <x:f>Despiece!E5&amp;" × "&amp;Despiece!F5</x:f>
        <x:v>785 × 580</x:v>
      </x:c>
      <x:c r="N7" s="43" t="str">
        <x:f>IF(LEN(TRIM(IF($L7="Pequeña","Si no la cantean: cortar a "&amp;ROUND(Despiece!L5,2)&amp;" × "&amp;ROUND(Despiece!M5,2)&amp;" y cantear en el armado.","")&amp;" "&amp;IFERROR(VLOOKUP(Despiece!A5,$S$2:$T$40,2,FALSE),"")))=0,"—",TRIM(IF($L7="Pequeña","Si no la cantean: cortar a "&amp;ROUND(Despiece!L5,2)&amp;" × "&amp;ROUND(Despiece!M5,2)&amp;" y cantear en el armado.","")&amp;" "&amp;IFERROR(VLOOKUP(Despiece!A5,$S$2:$T$40,2,FALSE),"")))</x:f>
        <x:v>Rebaje para la gola en el armado, cuando se defina el borde del granito; no lo hace el proveedor.</x:v>
      </x:c>
      <x:c r="S7" s="28" t="s">
        <x:v>109</x:v>
      </x:c>
      <x:c r="T7" s="28" t="s">
        <x:v>167</x:v>
      </x:c>
    </x:row>
    <x:row r="8">
      <x:c r="A8" s="40" t="str">
        <x:f>Despiece!A6</x:f>
        <x:v>P002</x:v>
      </x:c>
      <x:c r="B8" s="40" t="str">
        <x:f>Despiece!B6</x:f>
        <x:v>B1 Condimentero 18</x:v>
      </x:c>
      <x:c r="C8" s="40" t="str">
        <x:f>Despiece!C6</x:f>
        <x:v>Piso</x:v>
      </x:c>
      <x:c r="D8" s="40" t="str">
        <x:f>Despiece!D6</x:f>
        <x:v>Melamina Cartagena RH 15</x:v>
      </x:c>
      <x:c r="E8" s="41" t="n">
        <x:f>Despiece!G6</x:f>
        <x:v>1</x:v>
      </x:c>
      <x:c r="F8" s="45" t="n">
        <x:f>IF($Q$2="NO",ROUND(Despiece!L6,2),Despiece!E6)</x:f>
        <x:v>150</x:v>
      </x:c>
      <x:c r="G8" s="45" t="n">
        <x:f>IF($Q$2="NO",ROUND(Despiece!M6,2),Despiece!F6)</x:f>
        <x:v>580</x:v>
      </x:c>
      <x:c r="H8" s="42" t="str">
        <x:f>IF(Despiece!H6="2","R",IF(Despiece!H6="0.45","F","—"))</x:f>
        <x:v>F</x:v>
      </x:c>
      <x:c r="I8" s="42" t="str">
        <x:f>IF(Despiece!I6="2","R",IF(Despiece!I6="0.45","F","—"))</x:f>
        <x:v>—</x:v>
      </x:c>
      <x:c r="J8" s="42" t="str">
        <x:f>IF(Despiece!J6="2","R",IF(Despiece!J6="0.45","F","—"))</x:f>
        <x:v>—</x:v>
      </x:c>
      <x:c r="K8" s="42" t="str">
        <x:f>IF(Despiece!K6="2","R",IF(Despiece!K6="0.45","F","—"))</x:f>
        <x:v>—</x:v>
      </x:c>
      <x:c r="L8" s="42" t="str">
        <x:f>IF(SUMPRODUCT((Despiece!H6:K6="2")+(Despiece!H6:K6="0.45"))=0,"Sin canto",IF(OR(MIN(Despiece!L6,Despiece!M6)&lt;$Q$3,MAX(Despiece!L6,Despiece!M6)&lt;$Q$4),"Pequeña","Normal"))</x:f>
        <x:v>Normal</x:v>
      </x:c>
      <x:c r="M8" s="40" t="str">
        <x:f>Despiece!E6&amp;" × "&amp;Despiece!F6</x:f>
        <x:v>150 × 580</x:v>
      </x:c>
      <x:c r="N8" s="43" t="str">
        <x:f>IF(LEN(TRIM(IF($L8="Pequeña","Si no la cantean: cortar a "&amp;ROUND(Despiece!L6,2)&amp;" × "&amp;ROUND(Despiece!M6,2)&amp;" y cantear en el armado.","")&amp;" "&amp;IFERROR(VLOOKUP(Despiece!A6,$S$2:$T$40,2,FALSE),"")))=0,"—",TRIM(IF($L8="Pequeña","Si no la cantean: cortar a "&amp;ROUND(Despiece!L6,2)&amp;" × "&amp;ROUND(Despiece!M6,2)&amp;" y cantear en el armado.","")&amp;" "&amp;IFERROR(VLOOKUP(Despiece!A6,$S$2:$T$40,2,FALSE),"")))</x:f>
        <x:v>—</x:v>
      </x:c>
      <x:c r="S8" s="28" t="s">
        <x:v>114</x:v>
      </x:c>
      <x:c r="T8" s="28" t="str">
        <x:v>P071: flexible 0,45 mm en los cuatro bordes. Confirmar cabida en canteadora; si la rechaza, cantear en taller con el descuento correspondiente.</x:v>
      </x:c>
    </x:row>
    <x:row r="9" ht="43.20000076293945">
      <x:c r="A9" s="40" t="str">
        <x:f>Despiece!A7</x:f>
        <x:v>P003</x:v>
      </x:c>
      <x:c r="B9" s="40" t="str">
        <x:f>Despiece!B7</x:f>
        <x:v>B1 Condimentero 18</x:v>
      </x:c>
      <x:c r="C9" s="40" t="str">
        <x:f>Despiece!C7</x:f>
        <x:v>Travesaño horizontal</x:v>
      </x:c>
      <x:c r="D9" s="40" t="str">
        <x:f>Despiece!D7</x:f>
        <x:v>Melamina Cartagena RH 15</x:v>
      </x:c>
      <x:c r="E9" s="41" t="n">
        <x:f>Despiece!G7</x:f>
        <x:v>2</x:v>
      </x:c>
      <x:c r="F9" s="45" t="n">
        <x:f>IF($Q$2="NO",ROUND(Despiece!L7,2),Despiece!E7)</x:f>
        <x:v>150</x:v>
      </x:c>
      <x:c r="G9" s="45" t="n">
        <x:f>IF($Q$2="NO",ROUND(Despiece!M7,2),Despiece!F7)</x:f>
        <x:v>100</x:v>
      </x:c>
      <x:c r="H9" s="42" t="str">
        <x:f>IF(Despiece!H7="2","R",IF(Despiece!H7="0.45","F","—"))</x:f>
        <x:v>F</x:v>
      </x:c>
      <x:c r="I9" s="42" t="str">
        <x:f>IF(Despiece!I7="2","R",IF(Despiece!I7="0.45","F","—"))</x:f>
        <x:v>F</x:v>
      </x:c>
      <x:c r="J9" s="42" t="str">
        <x:f>IF(Despiece!J7="2","R",IF(Despiece!J7="0.45","F","—"))</x:f>
        <x:v>—</x:v>
      </x:c>
      <x:c r="K9" s="42" t="str">
        <x:f>IF(Despiece!K7="2","R",IF(Despiece!K7="0.45","F","—"))</x:f>
        <x:v>—</x:v>
      </x:c>
      <x:c r="L9" s="42" t="str">
        <x:f>IF(SUMPRODUCT((Despiece!H7:K7="2")+(Despiece!H7:K7="0.45"))=0,"Sin canto",IF(OR(MIN(Despiece!L7,Despiece!M7)&lt;$Q$3,MAX(Despiece!L7,Despiece!M7)&lt;$Q$4),"Pequeña","Normal"))</x:f>
        <x:v>Pequeña</x:v>
      </x:c>
      <x:c r="M9" s="40" t="str">
        <x:f>Despiece!E7&amp;" × "&amp;Despiece!F7</x:f>
        <x:v>150 × 100</x:v>
      </x:c>
      <x:c r="N9" s="43" t="str">
        <x:f>IF(LEN(TRIM(IF($L9="Pequeña","Si no la cantean: cortar a "&amp;ROUND(Despiece!L7,2)&amp;" × "&amp;ROUND(Despiece!M7,2)&amp;" y cantear en el armado.","")&amp;" "&amp;IFERROR(VLOOKUP(Despiece!A7,$S$2:$T$40,2,FALSE),"")))=0,"—",TRIM(IF($L9="Pequeña","Si no la cantean: cortar a "&amp;ROUND(Despiece!L7,2)&amp;" × "&amp;ROUND(Despiece!M7,2)&amp;" y cantear en el armado.","")&amp;" "&amp;IFERROR(VLOOKUP(Despiece!A7,$S$2:$T$40,2,FALSE),"")))</x:f>
        <x:v>Si no la cantean: cortar a 150 × 99.1 y cantear en el armado. Rebaje para la gola en el armado, cuando se defina el borde del granito; no lo hace el proveedor.</x:v>
      </x:c>
      <x:c r="S9" s="28" t="s">
        <x:v>83</x:v>
      </x:c>
      <x:c r="T9" s="28" t="s">
        <x:v>168</x:v>
      </x:c>
    </x:row>
    <x:row r="10">
      <x:c r="A10" s="40" t="str">
        <x:f>Despiece!A8</x:f>
        <x:v>P004</x:v>
      </x:c>
      <x:c r="B10" s="40" t="str">
        <x:f>Despiece!B8</x:f>
        <x:v>B1 Condimentero 18</x:v>
      </x:c>
      <x:c r="C10" s="40" t="str">
        <x:f>Despiece!C8</x:f>
        <x:v>Fondo clavado atrás</x:v>
      </x:c>
      <x:c r="D10" s="40" t="str">
        <x:f>Despiece!D8</x:f>
        <x:v>Fondo melamina 6</x:v>
      </x:c>
      <x:c r="E10" s="41" t="n">
        <x:f>Despiece!G8</x:f>
        <x:v>1</x:v>
      </x:c>
      <x:c r="F10" s="45" t="n">
        <x:f>IF($Q$2="NO",ROUND(Despiece!L8,2),Despiece!E8)</x:f>
        <x:v>176</x:v>
      </x:c>
      <x:c r="G10" s="45" t="n">
        <x:f>IF($Q$2="NO",ROUND(Despiece!M8,2),Despiece!F8)</x:f>
        <x:v>781</x:v>
      </x:c>
      <x:c r="H10" s="42" t="str">
        <x:f>IF(Despiece!H8="2","R",IF(Despiece!H8="0.45","F","—"))</x:f>
        <x:v>—</x:v>
      </x:c>
      <x:c r="I10" s="42" t="str">
        <x:f>IF(Despiece!I8="2","R",IF(Despiece!I8="0.45","F","—"))</x:f>
        <x:v>—</x:v>
      </x:c>
      <x:c r="J10" s="42" t="str">
        <x:f>IF(Despiece!J8="2","R",IF(Despiece!J8="0.45","F","—"))</x:f>
        <x:v>—</x:v>
      </x:c>
      <x:c r="K10" s="42" t="str">
        <x:f>IF(Despiece!K8="2","R",IF(Despiece!K8="0.45","F","—"))</x:f>
        <x:v>—</x:v>
      </x:c>
      <x:c r="L10" s="42" t="str">
        <x:f>IF(SUMPRODUCT((Despiece!H8:K8="2")+(Despiece!H8:K8="0.45"))=0,"Sin canto",IF(OR(MIN(Despiece!L8,Despiece!M8)&lt;$Q$3,MAX(Despiece!L8,Despiece!M8)&lt;$Q$4),"Pequeña","Normal"))</x:f>
        <x:v>Sin canto</x:v>
      </x:c>
      <x:c r="M10" s="40" t="str">
        <x:f>Despiece!E8&amp;" × "&amp;Despiece!F8</x:f>
        <x:v>176 × 781</x:v>
      </x:c>
      <x:c r="N10" s="43" t="str">
        <x:f>IF(LEN(TRIM(IF($L10="Pequeña","Si no la cantean: cortar a "&amp;ROUND(Despiece!L8,2)&amp;" × "&amp;ROUND(Despiece!M8,2)&amp;" y cantear en el armado.","")&amp;" "&amp;IFERROR(VLOOKUP(Despiece!A8,$S$2:$T$40,2,FALSE),"")))=0,"—",TRIM(IF($L10="Pequeña","Si no la cantean: cortar a "&amp;ROUND(Despiece!L8,2)&amp;" × "&amp;ROUND(Despiece!M8,2)&amp;" y cantear en el armado.","")&amp;" "&amp;IFERROR(VLOOKUP(Despiece!A8,$S$2:$T$40,2,FALSE),"")))</x:f>
        <x:v>—</x:v>
      </x:c>
      <x:c r="S10" s="28" t="s">
        <x:v>85</x:v>
      </x:c>
      <x:c r="T10" s="28" t="s">
        <x:v>168</x:v>
      </x:c>
    </x:row>
    <x:row r="11">
      <x:c r="A11" s="40" t="str">
        <x:f>Despiece!A9</x:f>
        <x:v>P005</x:v>
      </x:c>
      <x:c r="B11" s="40" t="str">
        <x:f>Despiece!B9</x:f>
        <x:v>B1 Condimentero 18</x:v>
      </x:c>
      <x:c r="C11" s="40" t="str">
        <x:f>Despiece!C9</x:f>
        <x:v>Frente condimentero</x:v>
      </x:c>
      <x:c r="D11" s="40" t="str">
        <x:f>Despiece!D9</x:f>
        <x:v>Melamina Cartagena RH 15</x:v>
      </x:c>
      <x:c r="E11" s="41" t="n">
        <x:f>Despiece!G9</x:f>
        <x:v>1</x:v>
      </x:c>
      <x:c r="F11" s="45" t="n">
        <x:f>IF($Q$2="NO",ROUND(Despiece!L9,2),Despiece!E9)</x:f>
        <x:v>732</x:v>
      </x:c>
      <x:c r="G11" s="45" t="n">
        <x:f>IF($Q$2="NO",ROUND(Despiece!M9,2),Despiece!F9)</x:f>
        <x:v>177</x:v>
      </x:c>
      <x:c r="H11" s="42" t="str">
        <x:f>IF(Despiece!H9="2","R",IF(Despiece!H9="0.45","F","—"))</x:f>
        <x:v>R</x:v>
      </x:c>
      <x:c r="I11" s="42" t="str">
        <x:f>IF(Despiece!I9="2","R",IF(Despiece!I9="0.45","F","—"))</x:f>
        <x:v>R</x:v>
      </x:c>
      <x:c r="J11" s="42" t="str">
        <x:f>IF(Despiece!J9="2","R",IF(Despiece!J9="0.45","F","—"))</x:f>
        <x:v>R</x:v>
      </x:c>
      <x:c r="K11" s="42" t="str">
        <x:f>IF(Despiece!K9="2","R",IF(Despiece!K9="0.45","F","—"))</x:f>
        <x:v>R</x:v>
      </x:c>
      <x:c r="L11" s="42" t="str">
        <x:f>IF(SUMPRODUCT((Despiece!H9:K9="2")+(Despiece!H9:K9="0.45"))=0,"Sin canto",IF(OR(MIN(Despiece!L9,Despiece!M9)&lt;$Q$3,MAX(Despiece!L9,Despiece!M9)&lt;$Q$4),"Pequeña","Normal"))</x:f>
        <x:v>Normal</x:v>
      </x:c>
      <x:c r="M11" s="40" t="str">
        <x:f>Despiece!E9&amp;" × "&amp;Despiece!F9</x:f>
        <x:v>732 × 177</x:v>
      </x:c>
      <x:c r="N11" s="43" t="str">
        <x:f>IF(LEN(TRIM(IF($L11="Pequeña","Si no la cantean: cortar a "&amp;ROUND(Despiece!L9,2)&amp;" × "&amp;ROUND(Despiece!M9,2)&amp;" y cantear en el armado.","")&amp;" "&amp;IFERROR(VLOOKUP(Despiece!A9,$S$2:$T$40,2,FALSE),"")))=0,"—",TRIM(IF($L11="Pequeña","Si no la cantean: cortar a "&amp;ROUND(Despiece!L9,2)&amp;" × "&amp;ROUND(Despiece!M9,2)&amp;" y cantear en el armado.","")&amp;" "&amp;IFERROR(VLOOKUP(Despiece!A9,$S$2:$T$40,2,FALSE),"")))</x:f>
        <x:v>—</x:v>
      </x:c>
      <x:c r="S11" s="28" t="s">
        <x:v>87</x:v>
      </x:c>
      <x:c r="T11" s="28" t="s">
        <x:v>168</x:v>
      </x:c>
    </x:row>
    <x:row r="12">
      <x:c r="A12" s="40" t="str">
        <x:f>Despiece!A10</x:f>
        <x:v>P006</x:v>
      </x:c>
      <x:c r="B12" s="40" t="str">
        <x:f>Despiece!B10</x:f>
        <x:v>B2 Horno y estufa 60</x:v>
      </x:c>
      <x:c r="C12" s="40" t="str">
        <x:f>Despiece!C10</x:f>
        <x:v>Lateral</x:v>
      </x:c>
      <x:c r="D12" s="40" t="str">
        <x:f>Despiece!D10</x:f>
        <x:v>Melamina Cartagena RH 15</x:v>
      </x:c>
      <x:c r="E12" s="41" t="n">
        <x:f>Despiece!G10</x:f>
        <x:v>2</x:v>
      </x:c>
      <x:c r="F12" s="45" t="n">
        <x:f>IF($Q$2="NO",ROUND(Despiece!L10,2),Despiece!E10)</x:f>
        <x:v>785</x:v>
      </x:c>
      <x:c r="G12" s="45" t="n">
        <x:f>IF($Q$2="NO",ROUND(Despiece!M10,2),Despiece!F10)</x:f>
        <x:v>580</x:v>
      </x:c>
      <x:c r="H12" s="42" t="str">
        <x:f>IF(Despiece!H10="2","R",IF(Despiece!H10="0.45","F","—"))</x:f>
        <x:v>F</x:v>
      </x:c>
      <x:c r="I12" s="42" t="str">
        <x:f>IF(Despiece!I10="2","R",IF(Despiece!I10="0.45","F","—"))</x:f>
        <x:v>—</x:v>
      </x:c>
      <x:c r="J12" s="42" t="str">
        <x:f>IF(Despiece!J10="2","R",IF(Despiece!J10="0.45","F","—"))</x:f>
        <x:v>F</x:v>
      </x:c>
      <x:c r="K12" s="42" t="str">
        <x:f>IF(Despiece!K10="2","R",IF(Despiece!K10="0.45","F","—"))</x:f>
        <x:v>—</x:v>
      </x:c>
      <x:c r="L12" s="42" t="str">
        <x:f>IF(SUMPRODUCT((Despiece!H10:K10="2")+(Despiece!H10:K10="0.45"))=0,"Sin canto",IF(OR(MIN(Despiece!L10,Despiece!M10)&lt;$Q$3,MAX(Despiece!L10,Despiece!M10)&lt;$Q$4),"Pequeña","Normal"))</x:f>
        <x:v>Normal</x:v>
      </x:c>
      <x:c r="M12" s="40" t="str">
        <x:f>Despiece!E10&amp;" × "&amp;Despiece!F10</x:f>
        <x:v>785 × 580</x:v>
      </x:c>
      <x:c r="N12" s="43" t="str">
        <x:f>IF(LEN(TRIM(IF($L12="Pequeña","Si no la cantean: cortar a "&amp;ROUND(Despiece!L10,2)&amp;" × "&amp;ROUND(Despiece!M10,2)&amp;" y cantear en el armado.","")&amp;" "&amp;IFERROR(VLOOKUP(Despiece!A10,$S$2:$T$40,2,FALSE),"")))=0,"—",TRIM(IF($L12="Pequeña","Si no la cantean: cortar a "&amp;ROUND(Despiece!L10,2)&amp;" × "&amp;ROUND(Despiece!M10,2)&amp;" y cantear en el armado.","")&amp;" "&amp;IFERROR(VLOOKUP(Despiece!A10,$S$2:$T$40,2,FALSE),"")))</x:f>
        <x:v>—</x:v>
      </x:c>
      <x:c r="S12" s="28" t="s">
        <x:v>16</x:v>
      </x:c>
      <x:c r="T12" s="28" t="s">
        <x:v>169</x:v>
      </x:c>
    </x:row>
    <x:row r="13" ht="28.799999237060547">
      <x:c r="A13" s="40" t="str">
        <x:f>Despiece!A11</x:f>
        <x:v>P007</x:v>
      </x:c>
      <x:c r="B13" s="40" t="str">
        <x:f>Despiece!B11</x:f>
        <x:v>B2 Horno y estufa 60</x:v>
      </x:c>
      <x:c r="C13" s="40" t="str">
        <x:f>Despiece!C11</x:f>
        <x:v>Piso de apoyo horno (validar montaje)</x:v>
      </x:c>
      <x:c r="D13" s="40" t="str">
        <x:f>Despiece!D11</x:f>
        <x:v>Melamina Cartagena RH 15</x:v>
      </x:c>
      <x:c r="E13" s="41" t="n">
        <x:f>Despiece!G11</x:f>
        <x:v>1</x:v>
      </x:c>
      <x:c r="F13" s="45" t="n">
        <x:f>IF($Q$2="NO",ROUND(Despiece!L11,2),Despiece!E11)</x:f>
        <x:v>570</x:v>
      </x:c>
      <x:c r="G13" s="45" t="n">
        <x:f>IF($Q$2="NO",ROUND(Despiece!M11,2),Despiece!F11)</x:f>
        <x:v>580</x:v>
      </x:c>
      <x:c r="H13" s="42" t="str">
        <x:f>IF(Despiece!H11="2","R",IF(Despiece!H11="0.45","F","—"))</x:f>
        <x:v>F</x:v>
      </x:c>
      <x:c r="I13" s="42" t="str">
        <x:f>IF(Despiece!I11="2","R",IF(Despiece!I11="0.45","F","—"))</x:f>
        <x:v>—</x:v>
      </x:c>
      <x:c r="J13" s="42" t="str">
        <x:f>IF(Despiece!J11="2","R",IF(Despiece!J11="0.45","F","—"))</x:f>
        <x:v>—</x:v>
      </x:c>
      <x:c r="K13" s="42" t="str">
        <x:f>IF(Despiece!K11="2","R",IF(Despiece!K11="0.45","F","—"))</x:f>
        <x:v>—</x:v>
      </x:c>
      <x:c r="L13" s="42" t="str">
        <x:f>IF(SUMPRODUCT((Despiece!H11:K11="2")+(Despiece!H11:K11="0.45"))=0,"Sin canto",IF(OR(MIN(Despiece!L11,Despiece!M11)&lt;$Q$3,MAX(Despiece!L11,Despiece!M11)&lt;$Q$4),"Pequeña","Normal"))</x:f>
        <x:v>Normal</x:v>
      </x:c>
      <x:c r="M13" s="40" t="str">
        <x:f>Despiece!E11&amp;" × "&amp;Despiece!F11</x:f>
        <x:v>570 × 580</x:v>
      </x:c>
      <x:c r="N13" s="43" t="str">
        <x:f>IF(LEN(TRIM(IF($L13="Pequeña","Si no la cantean: cortar a "&amp;ROUND(Despiece!L11,2)&amp;" × "&amp;ROUND(Despiece!M11,2)&amp;" y cantear en el armado.","")&amp;" "&amp;IFERROR(VLOOKUP(Despiece!A11,$S$2:$T$40,2,FALSE),"")))=0,"—",TRIM(IF($L13="Pequeña","Si no la cantean: cortar a "&amp;ROUND(Despiece!L11,2)&amp;" × "&amp;ROUND(Despiece!M11,2)&amp;" y cantear en el armado.","")&amp;" "&amp;IFERROR(VLOOKUP(Despiece!A11,$S$2:$T$40,2,FALSE),"")))</x:f>
        <x:v>Ranura de ventilación o paso de cable en obra, si el manual del horno lo pide.</x:v>
      </x:c>
      <x:c r="S13" s="28" t="s">
        <x:v>22</x:v>
      </x:c>
      <x:c r="T13" s="28" t="s">
        <x:v>169</x:v>
      </x:c>
    </x:row>
    <x:row r="14" ht="88.05000305175781" customHeight="1">
      <x:c r="A14" s="40" t="str">
        <x:f>Despiece!A12</x:f>
        <x:v>P008</x:v>
      </x:c>
      <x:c r="B14" s="40" t="str">
        <x:f>Despiece!B12</x:f>
        <x:v>B2 Horno y estufa 60</x:v>
      </x:c>
      <x:c r="C14" s="40" t="str">
        <x:f>Despiece!C12</x:f>
        <x:v>Travesaño trasero</x:v>
      </x:c>
      <x:c r="D14" s="40" t="str">
        <x:f>Despiece!D12</x:f>
        <x:v>Melamina Cartagena RH 15</x:v>
      </x:c>
      <x:c r="E14" s="41" t="n">
        <x:f>Despiece!G12</x:f>
        <x:v>1</x:v>
      </x:c>
      <x:c r="F14" s="45" t="n">
        <x:f>IF($Q$2="NO",ROUND(Despiece!L12,2),Despiece!E12)</x:f>
        <x:v>570</x:v>
      </x:c>
      <x:c r="G14" s="45" t="n">
        <x:f>IF($Q$2="NO",ROUND(Despiece!M12,2),Despiece!F12)</x:f>
        <x:v>100</x:v>
      </x:c>
      <x:c r="H14" s="42" t="str">
        <x:f>IF(Despiece!H12="2","R",IF(Despiece!H12="0.45","F","—"))</x:f>
        <x:v>F</x:v>
      </x:c>
      <x:c r="I14" s="42" t="str">
        <x:f>IF(Despiece!I12="2","R",IF(Despiece!I12="0.45","F","—"))</x:f>
        <x:v>—</x:v>
      </x:c>
      <x:c r="J14" s="42" t="str">
        <x:f>IF(Despiece!J12="2","R",IF(Despiece!J12="0.45","F","—"))</x:f>
        <x:v>—</x:v>
      </x:c>
      <x:c r="K14" s="42" t="str">
        <x:f>IF(Despiece!K12="2","R",IF(Despiece!K12="0.45","F","—"))</x:f>
        <x:v>—</x:v>
      </x:c>
      <x:c r="L14" s="42" t="str">
        <x:f>IF(SUMPRODUCT((Despiece!H12:K12="2")+(Despiece!H12:K12="0.45"))=0,"Sin canto",IF(OR(MIN(Despiece!L12,Despiece!M12)&lt;$Q$3,MAX(Despiece!L12,Despiece!M12)&lt;$Q$4),"Pequeña","Normal"))</x:f>
        <x:v>Pequeña</x:v>
      </x:c>
      <x:c r="M14" s="40" t="str">
        <x:f>Despiece!E12&amp;" × "&amp;Despiece!F12</x:f>
        <x:v>570 × 100</x:v>
      </x:c>
      <x:c r="N14" s="43" t="str">
        <x:f>IF(LEN(TRIM(IF($L14="Pequeña","Si no la cantean: cortar a "&amp;ROUND(Despiece!L12,2)&amp;" × "&amp;ROUND(Despiece!M12,2)&amp;" y cantear en el armado.","")&amp;" "&amp;IFERROR(VLOOKUP(Despiece!A12,$S$2:$T$40,2,FALSE),"")))=0,"—",TRIM(IF($L14="Pequeña","Si no la cantean: cortar a "&amp;ROUND(Despiece!L12,2)&amp;" × "&amp;ROUND(Despiece!M12,2)&amp;" y cantear en el armado.","")&amp;" "&amp;IFERROR(VLOOKUP(Despiece!A12,$S$2:$T$40,2,FALSE),"")))</x:f>
        <x:v>Si no la cantean: cortar a 570 × 99.55 y cantear en el armado.</x:v>
      </x:c>
      <x:c r="S14" s="28" t="s">
        <x:v>41</x:v>
      </x:c>
      <x:c r="T14" s="28" t="s">
        <x:v>169</x:v>
      </x:c>
    </x:row>
    <x:row r="15">
      <x:c r="A15" s="40" t="str">
        <x:f>Despiece!A13</x:f>
        <x:v>P009</x:v>
      </x:c>
      <x:c r="B15" s="40" t="str">
        <x:f>Despiece!B13</x:f>
        <x:v>B2 Horno y estufa 60</x:v>
      </x:c>
      <x:c r="C15" s="40" t="str">
        <x:f>Despiece!C13</x:f>
        <x:v>Repisa sobre horno (posición por manual)</x:v>
      </x:c>
      <x:c r="D15" s="40" t="str">
        <x:f>Despiece!D13</x:f>
        <x:v>Melamina Cartagena RH 15</x:v>
      </x:c>
      <x:c r="E15" s="41" t="n">
        <x:f>Despiece!G13</x:f>
        <x:v>1</x:v>
      </x:c>
      <x:c r="F15" s="45" t="n">
        <x:f>IF($Q$2="NO",ROUND(Despiece!L13,2),Despiece!E13)</x:f>
        <x:v>570</x:v>
      </x:c>
      <x:c r="G15" s="45" t="n">
        <x:f>IF($Q$2="NO",ROUND(Despiece!M13,2),Despiece!F13)</x:f>
        <x:v>500</x:v>
      </x:c>
      <x:c r="H15" s="42" t="str">
        <x:f>IF(Despiece!H13="2","R",IF(Despiece!H13="0.45","F","—"))</x:f>
        <x:v>F</x:v>
      </x:c>
      <x:c r="I15" s="42" t="str">
        <x:f>IF(Despiece!I13="2","R",IF(Despiece!I13="0.45","F","—"))</x:f>
        <x:v>—</x:v>
      </x:c>
      <x:c r="J15" s="42" t="str">
        <x:f>IF(Despiece!J13="2","R",IF(Despiece!J13="0.45","F","—"))</x:f>
        <x:v>—</x:v>
      </x:c>
      <x:c r="K15" s="42" t="str">
        <x:f>IF(Despiece!K13="2","R",IF(Despiece!K13="0.45","F","—"))</x:f>
        <x:v>—</x:v>
      </x:c>
      <x:c r="L15" s="42" t="str">
        <x:f>IF(SUMPRODUCT((Despiece!H13:K13="2")+(Despiece!H13:K13="0.45"))=0,"Sin canto",IF(OR(MIN(Despiece!L13,Despiece!M13)&lt;$Q$3,MAX(Despiece!L13,Despiece!M13)&lt;$Q$4),"Pequeña","Normal"))</x:f>
        <x:v>Normal</x:v>
      </x:c>
      <x:c r="M15" s="40" t="str">
        <x:f>Despiece!E13&amp;" × "&amp;Despiece!F13</x:f>
        <x:v>570 × 500</x:v>
      </x:c>
      <x:c r="N15" s="43" t="str">
        <x:f>IF(LEN(TRIM(IF($L15="Pequeña","Si no la cantean: cortar a "&amp;ROUND(Despiece!L13,2)&amp;" × "&amp;ROUND(Despiece!M13,2)&amp;" y cantear en el armado.","")&amp;" "&amp;IFERROR(VLOOKUP(Despiece!A13,$S$2:$T$40,2,FALSE),"")))=0,"—",TRIM(IF($L15="Pequeña","Si no la cantean: cortar a "&amp;ROUND(Despiece!L13,2)&amp;" × "&amp;ROUND(Despiece!M13,2)&amp;" y cantear en el armado.","")&amp;" "&amp;IFERROR(VLOOKUP(Despiece!A13,$S$2:$T$40,2,FALSE),"")))</x:f>
        <x:v>Su altura se fija en el armado según el manual del horno; si pide más ventilación atrás, recortar el borde trasero (sin canto).</x:v>
      </x:c>
      <x:c r="S15" s="28" t="s">
        <x:v>44</x:v>
      </x:c>
      <x:c r="T15" s="28" t="s">
        <x:v>169</x:v>
      </x:c>
    </x:row>
    <x:row r="16" ht="28.799999237060547">
      <x:c r="A16" s="40" t="str">
        <x:f>Despiece!A14</x:f>
        <x:v>P010</x:v>
      </x:c>
      <x:c r="B16" s="40" t="str">
        <x:f>Despiece!B14</x:f>
        <x:v>B2 Horno y estufa 60</x:v>
      </x:c>
      <x:c r="C16" s="40" t="str">
        <x:f>Despiece!C14</x:f>
        <x:v>Listón frontal de apoyo del mesón (de canto)</x:v>
      </x:c>
      <x:c r="D16" s="40" t="str">
        <x:f>Despiece!D14</x:f>
        <x:v>Melamina Cartagena RH 15</x:v>
      </x:c>
      <x:c r="E16" s="41" t="n">
        <x:f>Despiece!G14</x:f>
        <x:v>1</x:v>
      </x:c>
      <x:c r="F16" s="45" t="n">
        <x:f>IF($Q$2="NO",ROUND(Despiece!L14,2),Despiece!E14)</x:f>
        <x:v>570</x:v>
      </x:c>
      <x:c r="G16" s="45" t="n">
        <x:f>IF($Q$2="NO",ROUND(Despiece!M14,2),Despiece!F14)</x:f>
        <x:v>80</x:v>
      </x:c>
      <x:c r="H16" s="42" t="str">
        <x:f>IF(Despiece!H14="2","R",IF(Despiece!H14="0.45","F","—"))</x:f>
        <x:v>F</x:v>
      </x:c>
      <x:c r="I16" s="42" t="str">
        <x:f>IF(Despiece!I14="2","R",IF(Despiece!I14="0.45","F","—"))</x:f>
        <x:v>—</x:v>
      </x:c>
      <x:c r="J16" s="42" t="str">
        <x:f>IF(Despiece!J14="2","R",IF(Despiece!J14="0.45","F","—"))</x:f>
        <x:v>—</x:v>
      </x:c>
      <x:c r="K16" s="42" t="str">
        <x:f>IF(Despiece!K14="2","R",IF(Despiece!K14="0.45","F","—"))</x:f>
        <x:v>—</x:v>
      </x:c>
      <x:c r="L16" s="42" t="str">
        <x:f>IF(SUMPRODUCT((Despiece!H14:K14="2")+(Despiece!H14:K14="0.45"))=0,"Sin canto",IF(OR(MIN(Despiece!L14,Despiece!M14)&lt;$Q$3,MAX(Despiece!L14,Despiece!M14)&lt;$Q$4),"Pequeña","Normal"))</x:f>
        <x:v>Pequeña</x:v>
      </x:c>
      <x:c r="M16" s="40" t="str">
        <x:f>Despiece!E14&amp;" × "&amp;Despiece!F14</x:f>
        <x:v>570 × 80</x:v>
      </x:c>
      <x:c r="N16" s="43" t="str">
        <x:f>IF(LEN(TRIM(IF($L16="Pequeña","Si no la cantean: cortar a "&amp;ROUND(Despiece!L14,2)&amp;" × "&amp;ROUND(Despiece!M14,2)&amp;" y cantear en el armado.","")&amp;" "&amp;IFERROR(VLOOKUP(Despiece!A14,$S$2:$T$40,2,FALSE),"")))=0,"—",TRIM(IF($L16="Pequeña","Si no la cantean: cortar a "&amp;ROUND(Despiece!L14,2)&amp;" × "&amp;ROUND(Despiece!M14,2)&amp;" y cantear en el armado.","")&amp;" "&amp;IFERROR(VLOOKUP(Despiece!A14,$S$2:$T$40,2,FALSE),"")))</x:f>
        <x:v>Si no la cantean: cortar a 570 × 79.55 y cantear en el armado.</x:v>
      </x:c>
      <x:c r="S16" s="28" t="s">
        <x:v>60</x:v>
      </x:c>
      <x:c r="T16" s="28" t="s">
        <x:v>169</x:v>
      </x:c>
    </x:row>
    <x:row r="17">
      <x:c r="A17" s="40" t="str">
        <x:f>Despiece!A15</x:f>
        <x:v>P011</x:v>
      </x:c>
      <x:c r="B17" s="40" t="str">
        <x:f>Despiece!B15</x:f>
        <x:v>B2 Horno y estufa 60</x:v>
      </x:c>
      <x:c r="C17" s="40" t="str">
        <x:f>Despiece!C15</x:f>
        <x:v>Panel fijo bajo estufa (ajustar con equipo)</x:v>
      </x:c>
      <x:c r="D17" s="40" t="str">
        <x:f>Despiece!D15</x:f>
        <x:v>Melamina Cartagena RH 15</x:v>
      </x:c>
      <x:c r="E17" s="41" t="n">
        <x:f>Despiece!G15</x:f>
        <x:v>1</x:v>
      </x:c>
      <x:c r="F17" s="45" t="n">
        <x:f>IF($Q$2="NO",ROUND(Despiece!L15,2),Despiece!E15)+15</x:f>
        <x:v>160</x:v>
      </x:c>
      <x:c r="G17" s="45" t="n">
        <x:f>IF($Q$2="NO",ROUND(Despiece!M15,2),Despiece!F15)</x:f>
        <x:v>597</x:v>
      </x:c>
      <x:c r="H17" s="42" t="str">
        <x:f>IF(Despiece!H15="2","R",IF(Despiece!H15="0.45","F","—"))</x:f>
        <x:v>F</x:v>
      </x:c>
      <x:c r="I17" s="42" t="str">
        <x:f>IF(Despiece!I15="2","R",IF(Despiece!I15="0.45","F","—"))</x:f>
        <x:v>F</x:v>
      </x:c>
      <x:c r="J17" s="42" t="str">
        <x:f>IF(Despiece!J15="2","R",IF(Despiece!J15="0.45","F","—"))</x:f>
        <x:v>F</x:v>
      </x:c>
      <x:c r="K17" s="42" t="str">
        <x:f>IF(Despiece!K15="2","R",IF(Despiece!K15="0.45","F","—"))</x:f>
        <x:v>—</x:v>
      </x:c>
      <x:c r="L17" s="42" t="str">
        <x:f>IF(SUMPRODUCT((Despiece!H15:K15="2")+(Despiece!H15:K15="0.45"))=0,"Sin canto",IF(OR(MIN(Despiece!L15,Despiece!M15)&lt;$Q$3,MAX(Despiece!L15,Despiece!M15)&lt;$Q$4),"Pequeña","Normal"))</x:f>
        <x:v>Normal</x:v>
      </x:c>
      <x:c r="M17" s="40" t="str">
        <x:f>Despiece!E15&amp;" × "&amp;Despiece!F15</x:f>
        <x:v>145 × 597</x:v>
      </x:c>
      <x:c r="N17" s="43" t="str">
        <x:f>IF(LEN(TRIM(IF($L17="Pequeña","Si no la cantean: cortar a "&amp;ROUND(Despiece!L15,2)&amp;" × "&amp;ROUND(Despiece!M15,2)&amp;" y cantear en el armado.","")&amp;" "&amp;IFERROR(VLOOKUP(Despiece!A15,$S$2:$T$40,2,FALSE),"")))=0,"—",TRIM(IF($L17="Pequeña","Si no la cantean: cortar a "&amp;ROUND(Despiece!L15,2)&amp;" × "&amp;ROUND(Despiece!M15,2)&amp;" y cantear en el armado.","")&amp;" "&amp;IFERROR(VLOOKUP(Despiece!A15,$S$2:$T$40,2,FALSE),"")))</x:f>
        <x:v>Pedida 15 mm más alta (160 en vez de 145): en el armado, recortar el borde superior —oculto bajo el mesón y sin canto— según el horno instalado.</x:v>
      </x:c>
      <x:c r="S17" s="28" t="s">
        <x:v>63</x:v>
      </x:c>
      <x:c r="T17" s="28" t="s">
        <x:v>169</x:v>
      </x:c>
    </x:row>
    <x:row r="18">
      <x:c r="A18" s="40" t="str">
        <x:f>Despiece!A16</x:f>
        <x:v>P012</x:v>
      </x:c>
      <x:c r="B18" s="40" t="str">
        <x:f>Despiece!B16</x:f>
        <x:v>B3 Cubiertero y puertas 67</x:v>
      </x:c>
      <x:c r="C18" s="40" t="str">
        <x:f>Despiece!C16</x:f>
        <x:v>Lateral</x:v>
      </x:c>
      <x:c r="D18" s="40" t="str">
        <x:f>Despiece!D16</x:f>
        <x:v>Melamina Cartagena RH 15</x:v>
      </x:c>
      <x:c r="E18" s="41" t="n">
        <x:f>Despiece!G16</x:f>
        <x:v>2</x:v>
      </x:c>
      <x:c r="F18" s="45" t="n">
        <x:f>IF($Q$2="NO",ROUND(Despiece!L16,2),Despiece!E16)</x:f>
        <x:v>785</x:v>
      </x:c>
      <x:c r="G18" s="45" t="n">
        <x:f>IF($Q$2="NO",ROUND(Despiece!M16,2),Despiece!F16)</x:f>
        <x:v>580</x:v>
      </x:c>
      <x:c r="H18" s="42" t="str">
        <x:f>IF(Despiece!H16="2","R",IF(Despiece!H16="0.45","F","—"))</x:f>
        <x:v>F</x:v>
      </x:c>
      <x:c r="I18" s="42" t="str">
        <x:f>IF(Despiece!I16="2","R",IF(Despiece!I16="0.45","F","—"))</x:f>
        <x:v>—</x:v>
      </x:c>
      <x:c r="J18" s="42" t="str">
        <x:f>IF(Despiece!J16="2","R",IF(Despiece!J16="0.45","F","—"))</x:f>
        <x:v>F</x:v>
      </x:c>
      <x:c r="K18" s="42" t="str">
        <x:f>IF(Despiece!K16="2","R",IF(Despiece!K16="0.45","F","—"))</x:f>
        <x:v>—</x:v>
      </x:c>
      <x:c r="L18" s="42" t="str">
        <x:f>IF(SUMPRODUCT((Despiece!H16:K16="2")+(Despiece!H16:K16="0.45"))=0,"Sin canto",IF(OR(MIN(Despiece!L16,Despiece!M16)&lt;$Q$3,MAX(Despiece!L16,Despiece!M16)&lt;$Q$4),"Pequeña","Normal"))</x:f>
        <x:v>Normal</x:v>
      </x:c>
      <x:c r="M18" s="40" t="str">
        <x:f>Despiece!E16&amp;" × "&amp;Despiece!F16</x:f>
        <x:v>785 × 580</x:v>
      </x:c>
      <x:c r="N18" s="43" t="str">
        <x:f>IF(LEN(TRIM(IF($L18="Pequeña","Si no la cantean: cortar a "&amp;ROUND(Despiece!L16,2)&amp;" × "&amp;ROUND(Despiece!M16,2)&amp;" y cantear en el armado.","")&amp;" "&amp;IFERROR(VLOOKUP(Despiece!A16,$S$2:$T$40,2,FALSE),"")))=0,"—",TRIM(IF($L18="Pequeña","Si no la cantean: cortar a "&amp;ROUND(Despiece!L16,2)&amp;" × "&amp;ROUND(Despiece!M16,2)&amp;" y cantear en el armado.","")&amp;" "&amp;IFERROR(VLOOKUP(Despiece!A16,$S$2:$T$40,2,FALSE),"")))</x:f>
        <x:v>Rebaje para la gola en el armado, cuando se defina el borde del granito; no lo hace el proveedor.</x:v>
      </x:c>
      <x:c r="S18" s="28" t="s">
        <x:v>72</x:v>
      </x:c>
      <x:c r="T18" s="28" t="s">
        <x:v>169</x:v>
      </x:c>
    </x:row>
    <x:row r="19">
      <x:c r="A19" s="40" t="str">
        <x:f>Despiece!A17</x:f>
        <x:v>P013</x:v>
      </x:c>
      <x:c r="B19" s="40" t="str">
        <x:f>Despiece!B17</x:f>
        <x:v>B3 Cubiertero y puertas 67</x:v>
      </x:c>
      <x:c r="C19" s="40" t="str">
        <x:f>Despiece!C17</x:f>
        <x:v>Piso</x:v>
      </x:c>
      <x:c r="D19" s="40" t="str">
        <x:f>Despiece!D17</x:f>
        <x:v>Melamina Cartagena RH 15</x:v>
      </x:c>
      <x:c r="E19" s="41" t="n">
        <x:f>Despiece!G17</x:f>
        <x:v>1</x:v>
      </x:c>
      <x:c r="F19" s="45" t="n">
        <x:f>IF($Q$2="NO",ROUND(Despiece!L17,2),Despiece!E17)</x:f>
        <x:v>640</x:v>
      </x:c>
      <x:c r="G19" s="45" t="n">
        <x:f>IF($Q$2="NO",ROUND(Despiece!M17,2),Despiece!F17)</x:f>
        <x:v>580</x:v>
      </x:c>
      <x:c r="H19" s="42" t="str">
        <x:f>IF(Despiece!H17="2","R",IF(Despiece!H17="0.45","F","—"))</x:f>
        <x:v>F</x:v>
      </x:c>
      <x:c r="I19" s="42" t="str">
        <x:f>IF(Despiece!I17="2","R",IF(Despiece!I17="0.45","F","—"))</x:f>
        <x:v>—</x:v>
      </x:c>
      <x:c r="J19" s="42" t="str">
        <x:f>IF(Despiece!J17="2","R",IF(Despiece!J17="0.45","F","—"))</x:f>
        <x:v>—</x:v>
      </x:c>
      <x:c r="K19" s="42" t="str">
        <x:f>IF(Despiece!K17="2","R",IF(Despiece!K17="0.45","F","—"))</x:f>
        <x:v>—</x:v>
      </x:c>
      <x:c r="L19" s="42" t="str">
        <x:f>IF(SUMPRODUCT((Despiece!H17:K17="2")+(Despiece!H17:K17="0.45"))=0,"Sin canto",IF(OR(MIN(Despiece!L17,Despiece!M17)&lt;$Q$3,MAX(Despiece!L17,Despiece!M17)&lt;$Q$4),"Pequeña","Normal"))</x:f>
        <x:v>Normal</x:v>
      </x:c>
      <x:c r="M19" s="40" t="str">
        <x:f>Despiece!E17&amp;" × "&amp;Despiece!F17</x:f>
        <x:v>640 × 580</x:v>
      </x:c>
      <x:c r="N19" s="43" t="str">
        <x:f>IF(LEN(TRIM(IF($L19="Pequeña","Si no la cantean: cortar a "&amp;ROUND(Despiece!L17,2)&amp;" × "&amp;ROUND(Despiece!M17,2)&amp;" y cantear en el armado.","")&amp;" "&amp;IFERROR(VLOOKUP(Despiece!A17,$S$2:$T$40,2,FALSE),"")))=0,"—",TRIM(IF($L19="Pequeña","Si no la cantean: cortar a "&amp;ROUND(Despiece!L17,2)&amp;" × "&amp;ROUND(Despiece!M17,2)&amp;" y cantear en el armado.","")&amp;" "&amp;IFERROR(VLOOKUP(Despiece!A17,$S$2:$T$40,2,FALSE),"")))</x:f>
        <x:v>—</x:v>
      </x:c>
      <x:c r="S19" s="28" t="s">
        <x:v>75</x:v>
      </x:c>
      <x:c r="T19" s="28" t="s">
        <x:v>169</x:v>
      </x:c>
    </x:row>
    <x:row r="20" ht="88.05000305175781" customHeight="1">
      <x:c r="A20" s="40" t="str">
        <x:f>Despiece!A18</x:f>
        <x:v>P014</x:v>
      </x:c>
      <x:c r="B20" s="40" t="str">
        <x:f>Despiece!B18</x:f>
        <x:v>B3 Cubiertero y puertas 67</x:v>
      </x:c>
      <x:c r="C20" s="40" t="str">
        <x:f>Despiece!C18</x:f>
        <x:v>Travesaño horizontal</x:v>
      </x:c>
      <x:c r="D20" s="40" t="str">
        <x:f>Despiece!D18</x:f>
        <x:v>Melamina Cartagena RH 15</x:v>
      </x:c>
      <x:c r="E20" s="41" t="n">
        <x:f>Despiece!G18</x:f>
        <x:v>2</x:v>
      </x:c>
      <x:c r="F20" s="45" t="n">
        <x:f>IF($Q$2="NO",ROUND(Despiece!L18,2),Despiece!E18)</x:f>
        <x:v>640</x:v>
      </x:c>
      <x:c r="G20" s="45" t="n">
        <x:f>IF($Q$2="NO",ROUND(Despiece!M18,2),Despiece!F18)</x:f>
        <x:v>100</x:v>
      </x:c>
      <x:c r="H20" s="42" t="str">
        <x:f>IF(Despiece!H18="2","R",IF(Despiece!H18="0.45","F","—"))</x:f>
        <x:v>F</x:v>
      </x:c>
      <x:c r="I20" s="42" t="str">
        <x:f>IF(Despiece!I18="2","R",IF(Despiece!I18="0.45","F","—"))</x:f>
        <x:v>F</x:v>
      </x:c>
      <x:c r="J20" s="42" t="str">
        <x:f>IF(Despiece!J18="2","R",IF(Despiece!J18="0.45","F","—"))</x:f>
        <x:v>—</x:v>
      </x:c>
      <x:c r="K20" s="42" t="str">
        <x:f>IF(Despiece!K18="2","R",IF(Despiece!K18="0.45","F","—"))</x:f>
        <x:v>—</x:v>
      </x:c>
      <x:c r="L20" s="42" t="str">
        <x:f>IF(SUMPRODUCT((Despiece!H18:K18="2")+(Despiece!H18:K18="0.45"))=0,"Sin canto",IF(OR(MIN(Despiece!L18,Despiece!M18)&lt;$Q$3,MAX(Despiece!L18,Despiece!M18)&lt;$Q$4),"Pequeña","Normal"))</x:f>
        <x:v>Pequeña</x:v>
      </x:c>
      <x:c r="M20" s="40" t="str">
        <x:f>Despiece!E18&amp;" × "&amp;Despiece!F18</x:f>
        <x:v>640 × 100</x:v>
      </x:c>
      <x:c r="N20" s="43" t="str">
        <x:f>IF(LEN(TRIM(IF($L20="Pequeña","Si no la cantean: cortar a "&amp;ROUND(Despiece!L18,2)&amp;" × "&amp;ROUND(Despiece!M18,2)&amp;" y cantear en el armado.","")&amp;" "&amp;IFERROR(VLOOKUP(Despiece!A18,$S$2:$T$40,2,FALSE),"")))=0,"—",TRIM(IF($L20="Pequeña","Si no la cantean: cortar a "&amp;ROUND(Despiece!L18,2)&amp;" × "&amp;ROUND(Despiece!M18,2)&amp;" y cantear en el armado.","")&amp;" "&amp;IFERROR(VLOOKUP(Despiece!A18,$S$2:$T$40,2,FALSE),"")))</x:f>
        <x:v>Si no la cantean: cortar a 640 × 99.1 y cantear en el armado. Rebaje para la gola en el armado, cuando se defina el borde del granito; no lo hace el proveedor.</x:v>
      </x:c>
      <x:c r="S20" s="28" t="s">
        <x:v>77</x:v>
      </x:c>
      <x:c r="T20" s="28" t="s">
        <x:v>169</x:v>
      </x:c>
    </x:row>
    <x:row r="21">
      <x:c r="A21" s="40" t="str">
        <x:f>Despiece!A19</x:f>
        <x:v>P015</x:v>
      </x:c>
      <x:c r="B21" s="40" t="str">
        <x:f>Despiece!B19</x:f>
        <x:v>B3 Cubiertero y puertas 67</x:v>
      </x:c>
      <x:c r="C21" s="40" t="str">
        <x:f>Despiece!C19</x:f>
        <x:v>Fondo clavado atrás</x:v>
      </x:c>
      <x:c r="D21" s="40" t="str">
        <x:f>Despiece!D19</x:f>
        <x:v>Fondo melamina 6</x:v>
      </x:c>
      <x:c r="E21" s="41" t="n">
        <x:f>Despiece!G19</x:f>
        <x:v>1</x:v>
      </x:c>
      <x:c r="F21" s="45" t="n">
        <x:f>IF($Q$2="NO",ROUND(Despiece!L19,2),Despiece!E19)</x:f>
        <x:v>666</x:v>
      </x:c>
      <x:c r="G21" s="45" t="n">
        <x:f>IF($Q$2="NO",ROUND(Despiece!M19,2),Despiece!F19)</x:f>
        <x:v>781</x:v>
      </x:c>
      <x:c r="H21" s="42" t="str">
        <x:f>IF(Despiece!H19="2","R",IF(Despiece!H19="0.45","F","—"))</x:f>
        <x:v>—</x:v>
      </x:c>
      <x:c r="I21" s="42" t="str">
        <x:f>IF(Despiece!I19="2","R",IF(Despiece!I19="0.45","F","—"))</x:f>
        <x:v>—</x:v>
      </x:c>
      <x:c r="J21" s="42" t="str">
        <x:f>IF(Despiece!J19="2","R",IF(Despiece!J19="0.45","F","—"))</x:f>
        <x:v>—</x:v>
      </x:c>
      <x:c r="K21" s="42" t="str">
        <x:f>IF(Despiece!K19="2","R",IF(Despiece!K19="0.45","F","—"))</x:f>
        <x:v>—</x:v>
      </x:c>
      <x:c r="L21" s="42" t="str">
        <x:f>IF(SUMPRODUCT((Despiece!H19:K19="2")+(Despiece!H19:K19="0.45"))=0,"Sin canto",IF(OR(MIN(Despiece!L19,Despiece!M19)&lt;$Q$3,MAX(Despiece!L19,Despiece!M19)&lt;$Q$4),"Pequeña","Normal"))</x:f>
        <x:v>Sin canto</x:v>
      </x:c>
      <x:c r="M21" s="40" t="str">
        <x:f>Despiece!E19&amp;" × "&amp;Despiece!F19</x:f>
        <x:v>666 × 781</x:v>
      </x:c>
      <x:c r="N21" s="43" t="str">
        <x:f>IF(LEN(TRIM(IF($L21="Pequeña","Si no la cantean: cortar a "&amp;ROUND(Despiece!L19,2)&amp;" × "&amp;ROUND(Despiece!M19,2)&amp;" y cantear en el armado.","")&amp;" "&amp;IFERROR(VLOOKUP(Despiece!A19,$S$2:$T$40,2,FALSE),"")))=0,"—",TRIM(IF($L21="Pequeña","Si no la cantean: cortar a "&amp;ROUND(Despiece!L19,2)&amp;" × "&amp;ROUND(Despiece!M19,2)&amp;" y cantear en el armado.","")&amp;" "&amp;IFERROR(VLOOKUP(Despiece!A19,$S$2:$T$40,2,FALSE),"")))</x:f>
        <x:v>—</x:v>
      </x:c>
    </x:row>
    <x:row r="22">
      <x:c r="A22" s="40" t="str">
        <x:f>Despiece!A20</x:f>
        <x:v>P016</x:v>
      </x:c>
      <x:c r="B22" s="40" t="str">
        <x:f>Despiece!B20</x:f>
        <x:v>B3 Cubiertero y puertas 67</x:v>
      </x:c>
      <x:c r="C22" s="40" t="str">
        <x:f>Despiece!C20</x:f>
        <x:v>Frente cajón superior cubiertero</x:v>
      </x:c>
      <x:c r="D22" s="40" t="str">
        <x:f>Despiece!D20</x:f>
        <x:v>Melamina Cartagena RH 15</x:v>
      </x:c>
      <x:c r="E22" s="41" t="n">
        <x:f>Despiece!G20</x:f>
        <x:v>1</x:v>
      </x:c>
      <x:c r="F22" s="45" t="n">
        <x:f>IF($Q$2="NO",ROUND(Despiece!L20,2),Despiece!E20)</x:f>
        <x:v>167</x:v>
      </x:c>
      <x:c r="G22" s="45" t="n">
        <x:f>IF($Q$2="NO",ROUND(Despiece!M20,2),Despiece!F20)</x:f>
        <x:v>667</x:v>
      </x:c>
      <x:c r="H22" s="42" t="str">
        <x:f>IF(Despiece!H20="2","R",IF(Despiece!H20="0.45","F","—"))</x:f>
        <x:v>R</x:v>
      </x:c>
      <x:c r="I22" s="42" t="str">
        <x:f>IF(Despiece!I20="2","R",IF(Despiece!I20="0.45","F","—"))</x:f>
        <x:v>R</x:v>
      </x:c>
      <x:c r="J22" s="42" t="str">
        <x:f>IF(Despiece!J20="2","R",IF(Despiece!J20="0.45","F","—"))</x:f>
        <x:v>R</x:v>
      </x:c>
      <x:c r="K22" s="42" t="str">
        <x:f>IF(Despiece!K20="2","R",IF(Despiece!K20="0.45","F","—"))</x:f>
        <x:v>R</x:v>
      </x:c>
      <x:c r="L22" s="42" t="str">
        <x:f>IF(SUMPRODUCT((Despiece!H20:K20="2")+(Despiece!H20:K20="0.45"))=0,"Sin canto",IF(OR(MIN(Despiece!L20,Despiece!M20)&lt;$Q$3,MAX(Despiece!L20,Despiece!M20)&lt;$Q$4),"Pequeña","Normal"))</x:f>
        <x:v>Normal</x:v>
      </x:c>
      <x:c r="M22" s="40" t="str">
        <x:f>Despiece!E20&amp;" × "&amp;Despiece!F20</x:f>
        <x:v>167 × 667</x:v>
      </x:c>
      <x:c r="N22" s="43" t="str">
        <x:f>IF(LEN(TRIM(IF($L22="Pequeña","Si no la cantean: cortar a "&amp;ROUND(Despiece!L20,2)&amp;" × "&amp;ROUND(Despiece!M20,2)&amp;" y cantear en el armado.","")&amp;" "&amp;IFERROR(VLOOKUP(Despiece!A20,$S$2:$T$40,2,FALSE),"")))=0,"—",TRIM(IF($L22="Pequeña","Si no la cantean: cortar a "&amp;ROUND(Despiece!L20,2)&amp;" × "&amp;ROUND(Despiece!M20,2)&amp;" y cantear en el armado.","")&amp;" "&amp;IFERROR(VLOOKUP(Despiece!A20,$S$2:$T$40,2,FALSE),"")))</x:f>
        <x:v>—</x:v>
      </x:c>
    </x:row>
    <x:row r="23">
      <x:c r="A23" s="40" t="str">
        <x:f>Despiece!A21</x:f>
        <x:v>P017</x:v>
      </x:c>
      <x:c r="B23" s="40" t="str">
        <x:f>Despiece!B21</x:f>
        <x:v>B3 Cubiertero y puertas 67</x:v>
      </x:c>
      <x:c r="C23" s="40" t="str">
        <x:f>Despiece!C21</x:f>
        <x:v>Cajón: base aplicada inferior</x:v>
      </x:c>
      <x:c r="D23" s="40" t="str">
        <x:f>Despiece!D21</x:f>
        <x:v>Melamina Cartagena RH 15</x:v>
      </x:c>
      <x:c r="E23" s="41" t="n">
        <x:f>Despiece!G21</x:f>
        <x:v>1</x:v>
      </x:c>
      <x:c r="F23" s="45" t="n">
        <x:f>IF($Q$2="NO",ROUND(Despiece!L21,2),Despiece!E21)</x:f>
        <x:v>613</x:v>
      </x:c>
      <x:c r="G23" s="45" t="n">
        <x:f>IF($Q$2="NO",ROUND(Despiece!M21,2),Despiece!F21)</x:f>
        <x:v>550</x:v>
      </x:c>
      <x:c r="H23" s="42" t="str">
        <x:f>IF(Despiece!H21="2","R",IF(Despiece!H21="0.45","F","—"))</x:f>
        <x:v>F</x:v>
      </x:c>
      <x:c r="I23" s="42" t="str">
        <x:f>IF(Despiece!I21="2","R",IF(Despiece!I21="0.45","F","—"))</x:f>
        <x:v>—</x:v>
      </x:c>
      <x:c r="J23" s="42" t="str">
        <x:f>IF(Despiece!J21="2","R",IF(Despiece!J21="0.45","F","—"))</x:f>
        <x:v>F</x:v>
      </x:c>
      <x:c r="K23" s="42" t="str">
        <x:f>IF(Despiece!K21="2","R",IF(Despiece!K21="0.45","F","—"))</x:f>
        <x:v>F</x:v>
      </x:c>
      <x:c r="L23" s="42" t="str">
        <x:f>IF(SUMPRODUCT((Despiece!H21:K21="2")+(Despiece!H21:K21="0.45"))=0,"Sin canto",IF(OR(MIN(Despiece!L21,Despiece!M21)&lt;$Q$3,MAX(Despiece!L21,Despiece!M21)&lt;$Q$4),"Pequeña","Normal"))</x:f>
        <x:v>Normal</x:v>
      </x:c>
      <x:c r="M23" s="40" t="str">
        <x:f>Despiece!E21&amp;" × "&amp;Despiece!F21</x:f>
        <x:v>613 × 550</x:v>
      </x:c>
      <x:c r="N23" s="43" t="str">
        <x:f>IF(LEN(TRIM(IF($L23="Pequeña","Si no la cantean: cortar a "&amp;ROUND(Despiece!L21,2)&amp;" × "&amp;ROUND(Despiece!M21,2)&amp;" y cantear en el armado.","")&amp;" "&amp;IFERROR(VLOOKUP(Despiece!A21,$S$2:$T$40,2,FALSE),"")))=0,"—",TRIM(IF($L23="Pequeña","Si no la cantean: cortar a "&amp;ROUND(Despiece!L21,2)&amp;" × "&amp;ROUND(Despiece!M21,2)&amp;" y cantear en el armado.","")&amp;" "&amp;IFERROR(VLOOKUP(Despiece!A21,$S$2:$T$40,2,FALSE),"")))</x:f>
        <x:v>—</x:v>
      </x:c>
    </x:row>
    <x:row r="24" ht="28.799999237060547">
      <x:c r="A24" s="40" t="str">
        <x:f>Despiece!A22</x:f>
        <x:v>P018</x:v>
      </x:c>
      <x:c r="B24" s="40" t="str">
        <x:f>Despiece!B22</x:f>
        <x:v>B3 Cubiertero y puertas 67</x:v>
      </x:c>
      <x:c r="C24" s="40" t="str">
        <x:f>Despiece!C22</x:f>
        <x:v>Cajón: costado</x:v>
      </x:c>
      <x:c r="D24" s="40" t="str">
        <x:f>Despiece!D22</x:f>
        <x:v>Melamina Cartagena RH 15</x:v>
      </x:c>
      <x:c r="E24" s="41" t="n">
        <x:f>Despiece!G22</x:f>
        <x:v>2</x:v>
      </x:c>
      <x:c r="F24" s="45" t="n">
        <x:f>IF($Q$2="NO",ROUND(Despiece!L22,2),Despiece!E22)</x:f>
        <x:v>550</x:v>
      </x:c>
      <x:c r="G24" s="45" t="n">
        <x:f>IF($Q$2="NO",ROUND(Despiece!M22,2),Despiece!F22)</x:f>
        <x:v>75</x:v>
      </x:c>
      <x:c r="H24" s="42" t="str">
        <x:f>IF(Despiece!H22="2","R",IF(Despiece!H22="0.45","F","—"))</x:f>
        <x:v>F</x:v>
      </x:c>
      <x:c r="I24" s="42" t="str">
        <x:f>IF(Despiece!I22="2","R",IF(Despiece!I22="0.45","F","—"))</x:f>
        <x:v>—</x:v>
      </x:c>
      <x:c r="J24" s="42" t="str">
        <x:f>IF(Despiece!J22="2","R",IF(Despiece!J22="0.45","F","—"))</x:f>
        <x:v>F</x:v>
      </x:c>
      <x:c r="K24" s="42" t="str">
        <x:f>IF(Despiece!K22="2","R",IF(Despiece!K22="0.45","F","—"))</x:f>
        <x:v>—</x:v>
      </x:c>
      <x:c r="L24" s="42" t="str">
        <x:f>IF(SUMPRODUCT((Despiece!H22:K22="2")+(Despiece!H22:K22="0.45"))=0,"Sin canto",IF(OR(MIN(Despiece!L22,Despiece!M22)&lt;$Q$3,MAX(Despiece!L22,Despiece!M22)&lt;$Q$4),"Pequeña","Normal"))</x:f>
        <x:v>Pequeña</x:v>
      </x:c>
      <x:c r="M24" s="40" t="str">
        <x:f>Despiece!E22&amp;" × "&amp;Despiece!F22</x:f>
        <x:v>550 × 75</x:v>
      </x:c>
      <x:c r="N24" s="43" t="str">
        <x:f>IF(LEN(TRIM(IF($L24="Pequeña","Si no la cantean: cortar a "&amp;ROUND(Despiece!L22,2)&amp;" × "&amp;ROUND(Despiece!M22,2)&amp;" y cantear en el armado.","")&amp;" "&amp;IFERROR(VLOOKUP(Despiece!A22,$S$2:$T$40,2,FALSE),"")))=0,"—",TRIM(IF($L24="Pequeña","Si no la cantean: cortar a "&amp;ROUND(Despiece!L22,2)&amp;" × "&amp;ROUND(Despiece!M22,2)&amp;" y cantear en el armado.","")&amp;" "&amp;IFERROR(VLOOKUP(Despiece!A22,$S$2:$T$40,2,FALSE),"")))</x:f>
        <x:v>Si no la cantean: cortar a 549.55 × 74.55 y cantear en el armado.</x:v>
      </x:c>
    </x:row>
    <x:row r="25" ht="28.799999237060547">
      <x:c r="A25" s="40" t="str">
        <x:f>Despiece!A23</x:f>
        <x:v>P019</x:v>
      </x:c>
      <x:c r="B25" s="40" t="str">
        <x:f>Despiece!B23</x:f>
        <x:v>B3 Cubiertero y puertas 67</x:v>
      </x:c>
      <x:c r="C25" s="40" t="str">
        <x:f>Despiece!C23</x:f>
        <x:v>Cajón: frente y trasero interiores</x:v>
      </x:c>
      <x:c r="D25" s="40" t="str">
        <x:f>Despiece!D23</x:f>
        <x:v>Melamina Cartagena RH 15</x:v>
      </x:c>
      <x:c r="E25" s="41" t="n">
        <x:f>Despiece!G23</x:f>
        <x:v>2</x:v>
      </x:c>
      <x:c r="F25" s="45" t="n">
        <x:f>IF($Q$2="NO",ROUND(Despiece!L23,2),Despiece!E23)</x:f>
        <x:v>583</x:v>
      </x:c>
      <x:c r="G25" s="45" t="n">
        <x:f>IF($Q$2="NO",ROUND(Despiece!M23,2),Despiece!F23)</x:f>
        <x:v>75</x:v>
      </x:c>
      <x:c r="H25" s="42" t="str">
        <x:f>IF(Despiece!H23="2","R",IF(Despiece!H23="0.45","F","—"))</x:f>
        <x:v>F</x:v>
      </x:c>
      <x:c r="I25" s="42" t="str">
        <x:f>IF(Despiece!I23="2","R",IF(Despiece!I23="0.45","F","—"))</x:f>
        <x:v>—</x:v>
      </x:c>
      <x:c r="J25" s="42" t="str">
        <x:f>IF(Despiece!J23="2","R",IF(Despiece!J23="0.45","F","—"))</x:f>
        <x:v>—</x:v>
      </x:c>
      <x:c r="K25" s="42" t="str">
        <x:f>IF(Despiece!K23="2","R",IF(Despiece!K23="0.45","F","—"))</x:f>
        <x:v>—</x:v>
      </x:c>
      <x:c r="L25" s="42" t="str">
        <x:f>IF(SUMPRODUCT((Despiece!H23:K23="2")+(Despiece!H23:K23="0.45"))=0,"Sin canto",IF(OR(MIN(Despiece!L23,Despiece!M23)&lt;$Q$3,MAX(Despiece!L23,Despiece!M23)&lt;$Q$4),"Pequeña","Normal"))</x:f>
        <x:v>Pequeña</x:v>
      </x:c>
      <x:c r="M25" s="40" t="str">
        <x:f>Despiece!E23&amp;" × "&amp;Despiece!F23</x:f>
        <x:v>583 × 75</x:v>
      </x:c>
      <x:c r="N25" s="43" t="str">
        <x:f>IF(LEN(TRIM(IF($L25="Pequeña","Si no la cantean: cortar a "&amp;ROUND(Despiece!L23,2)&amp;" × "&amp;ROUND(Despiece!M23,2)&amp;" y cantear en el armado.","")&amp;" "&amp;IFERROR(VLOOKUP(Despiece!A23,$S$2:$T$40,2,FALSE),"")))=0,"—",TRIM(IF($L25="Pequeña","Si no la cantean: cortar a "&amp;ROUND(Despiece!L23,2)&amp;" × "&amp;ROUND(Despiece!M23,2)&amp;" y cantear en el armado.","")&amp;" "&amp;IFERROR(VLOOKUP(Despiece!A23,$S$2:$T$40,2,FALSE),"")))</x:f>
        <x:v>Si no la cantean: cortar a 583 × 74.55 y cantear en el armado.</x:v>
      </x:c>
    </x:row>
    <x:row r="26">
      <x:c r="A26" s="40" t="str">
        <x:f>Despiece!A24</x:f>
        <x:v>P020</x:v>
      </x:c>
      <x:c r="B26" s="40" t="str">
        <x:f>Despiece!B24</x:f>
        <x:v>B3 Cubiertero y puertas 67</x:v>
      </x:c>
      <x:c r="C26" s="40" t="str">
        <x:f>Despiece!C24</x:f>
        <x:v>Puerta inferior izquierda</x:v>
      </x:c>
      <x:c r="D26" s="40" t="str">
        <x:f>Despiece!D24</x:f>
        <x:v>Melamina Cartagena RH 15</x:v>
      </x:c>
      <x:c r="E26" s="41" t="n">
        <x:f>Despiece!G24</x:f>
        <x:v>1</x:v>
      </x:c>
      <x:c r="F26" s="45" t="n">
        <x:f>IF($Q$2="NO",ROUND(Despiece!L24,2),Despiece!E24)</x:f>
        <x:v>537</x:v>
      </x:c>
      <x:c r="G26" s="45" t="n">
        <x:f>IF($Q$2="NO",ROUND(Despiece!M24,2),Despiece!F24)</x:f>
        <x:v>332</x:v>
      </x:c>
      <x:c r="H26" s="42" t="str">
        <x:f>IF(Despiece!H24="2","R",IF(Despiece!H24="0.45","F","—"))</x:f>
        <x:v>R</x:v>
      </x:c>
      <x:c r="I26" s="42" t="str">
        <x:f>IF(Despiece!I24="2","R",IF(Despiece!I24="0.45","F","—"))</x:f>
        <x:v>R</x:v>
      </x:c>
      <x:c r="J26" s="42" t="str">
        <x:f>IF(Despiece!J24="2","R",IF(Despiece!J24="0.45","F","—"))</x:f>
        <x:v>R</x:v>
      </x:c>
      <x:c r="K26" s="42" t="str">
        <x:f>IF(Despiece!K24="2","R",IF(Despiece!K24="0.45","F","—"))</x:f>
        <x:v>R</x:v>
      </x:c>
      <x:c r="L26" s="42" t="str">
        <x:f>IF(SUMPRODUCT((Despiece!H24:K24="2")+(Despiece!H24:K24="0.45"))=0,"Sin canto",IF(OR(MIN(Despiece!L24,Despiece!M24)&lt;$Q$3,MAX(Despiece!L24,Despiece!M24)&lt;$Q$4),"Pequeña","Normal"))</x:f>
        <x:v>Normal</x:v>
      </x:c>
      <x:c r="M26" s="40" t="str">
        <x:f>Despiece!E24&amp;" × "&amp;Despiece!F24</x:f>
        <x:v>537 × 332</x:v>
      </x:c>
      <x:c r="N26" s="43" t="str">
        <x:f>IF(LEN(TRIM(IF($L26="Pequeña","Si no la cantean: cortar a "&amp;ROUND(Despiece!L24,2)&amp;" × "&amp;ROUND(Despiece!M24,2)&amp;" y cantear en el armado.","")&amp;" "&amp;IFERROR(VLOOKUP(Despiece!A24,$S$2:$T$40,2,FALSE),"")))=0,"—",TRIM(IF($L26="Pequeña","Si no la cantean: cortar a "&amp;ROUND(Despiece!L24,2)&amp;" × "&amp;ROUND(Despiece!M24,2)&amp;" y cantear en el armado.","")&amp;" "&amp;IFERROR(VLOOKUP(Despiece!A24,$S$2:$T$40,2,FALSE),"")))</x:f>
        <x:v>—</x:v>
      </x:c>
    </x:row>
    <x:row r="27">
      <x:c r="A27" s="40" t="str">
        <x:f>Despiece!A25</x:f>
        <x:v>P021</x:v>
      </x:c>
      <x:c r="B27" s="40" t="str">
        <x:f>Despiece!B25</x:f>
        <x:v>B3 Cubiertero y puertas 67</x:v>
      </x:c>
      <x:c r="C27" s="40" t="str">
        <x:f>Despiece!C25</x:f>
        <x:v>Puerta inferior derecha</x:v>
      </x:c>
      <x:c r="D27" s="40" t="str">
        <x:f>Despiece!D25</x:f>
        <x:v>Melamina Cartagena RH 15</x:v>
      </x:c>
      <x:c r="E27" s="41" t="n">
        <x:f>Despiece!G25</x:f>
        <x:v>1</x:v>
      </x:c>
      <x:c r="F27" s="45" t="n">
        <x:f>IF($Q$2="NO",ROUND(Despiece!L25,2),Despiece!E25)</x:f>
        <x:v>537</x:v>
      </x:c>
      <x:c r="G27" s="45" t="n">
        <x:f>IF($Q$2="NO",ROUND(Despiece!M25,2),Despiece!F25)</x:f>
        <x:v>332</x:v>
      </x:c>
      <x:c r="H27" s="42" t="str">
        <x:f>IF(Despiece!H25="2","R",IF(Despiece!H25="0.45","F","—"))</x:f>
        <x:v>R</x:v>
      </x:c>
      <x:c r="I27" s="42" t="str">
        <x:f>IF(Despiece!I25="2","R",IF(Despiece!I25="0.45","F","—"))</x:f>
        <x:v>R</x:v>
      </x:c>
      <x:c r="J27" s="42" t="str">
        <x:f>IF(Despiece!J25="2","R",IF(Despiece!J25="0.45","F","—"))</x:f>
        <x:v>R</x:v>
      </x:c>
      <x:c r="K27" s="42" t="str">
        <x:f>IF(Despiece!K25="2","R",IF(Despiece!K25="0.45","F","—"))</x:f>
        <x:v>R</x:v>
      </x:c>
      <x:c r="L27" s="42" t="str">
        <x:f>IF(SUMPRODUCT((Despiece!H25:K25="2")+(Despiece!H25:K25="0.45"))=0,"Sin canto",IF(OR(MIN(Despiece!L25,Despiece!M25)&lt;$Q$3,MAX(Despiece!L25,Despiece!M25)&lt;$Q$4),"Pequeña","Normal"))</x:f>
        <x:v>Normal</x:v>
      </x:c>
      <x:c r="M27" s="40" t="str">
        <x:f>Despiece!E25&amp;" × "&amp;Despiece!F25</x:f>
        <x:v>537 × 332</x:v>
      </x:c>
      <x:c r="N27" s="43" t="str">
        <x:f>IF(LEN(TRIM(IF($L27="Pequeña","Si no la cantean: cortar a "&amp;ROUND(Despiece!L25,2)&amp;" × "&amp;ROUND(Despiece!M25,2)&amp;" y cantear en el armado.","")&amp;" "&amp;IFERROR(VLOOKUP(Despiece!A25,$S$2:$T$40,2,FALSE),"")))=0,"—",TRIM(IF($L27="Pequeña","Si no la cantean: cortar a "&amp;ROUND(Despiece!L25,2)&amp;" × "&amp;ROUND(Despiece!M25,2)&amp;" y cantear en el armado.","")&amp;" "&amp;IFERROR(VLOOKUP(Despiece!A25,$S$2:$T$40,2,FALSE),"")))</x:f>
        <x:v>—</x:v>
      </x:c>
    </x:row>
    <x:row r="28">
      <x:c r="A28" s="40" t="str">
        <x:f>Despiece!A26</x:f>
        <x:v>P022</x:v>
      </x:c>
      <x:c r="B28" s="40" t="str">
        <x:f>Despiece!B26</x:f>
        <x:v>B3 Cubiertero y puertas 67</x:v>
      </x:c>
      <x:c r="C28" s="40" t="str">
        <x:f>Despiece!C26</x:f>
        <x:v>Entrepaño regulable inferior</x:v>
      </x:c>
      <x:c r="D28" s="40" t="str">
        <x:f>Despiece!D26</x:f>
        <x:v>Melamina Cartagena RH 15</x:v>
      </x:c>
      <x:c r="E28" s="41" t="n">
        <x:f>Despiece!G26</x:f>
        <x:v>1</x:v>
      </x:c>
      <x:c r="F28" s="45" t="n">
        <x:f>IF($Q$2="NO",ROUND(Despiece!L26,2),Despiece!E26)</x:f>
        <x:v>638</x:v>
      </x:c>
      <x:c r="G28" s="45" t="n">
        <x:f>IF($Q$2="NO",ROUND(Despiece!M26,2),Despiece!F26)</x:f>
        <x:v>550</x:v>
      </x:c>
      <x:c r="H28" s="42" t="str">
        <x:f>IF(Despiece!H26="2","R",IF(Despiece!H26="0.45","F","—"))</x:f>
        <x:v>F</x:v>
      </x:c>
      <x:c r="I28" s="42" t="str">
        <x:f>IF(Despiece!I26="2","R",IF(Despiece!I26="0.45","F","—"))</x:f>
        <x:v>—</x:v>
      </x:c>
      <x:c r="J28" s="42" t="str">
        <x:f>IF(Despiece!J26="2","R",IF(Despiece!J26="0.45","F","—"))</x:f>
        <x:v>—</x:v>
      </x:c>
      <x:c r="K28" s="42" t="str">
        <x:f>IF(Despiece!K26="2","R",IF(Despiece!K26="0.45","F","—"))</x:f>
        <x:v>—</x:v>
      </x:c>
      <x:c r="L28" s="42" t="str">
        <x:f>IF(SUMPRODUCT((Despiece!H26:K26="2")+(Despiece!H26:K26="0.45"))=0,"Sin canto",IF(OR(MIN(Despiece!L26,Despiece!M26)&lt;$Q$3,MAX(Despiece!L26,Despiece!M26)&lt;$Q$4),"Pequeña","Normal"))</x:f>
        <x:v>Normal</x:v>
      </x:c>
      <x:c r="M28" s="40" t="str">
        <x:f>Despiece!E26&amp;" × "&amp;Despiece!F26</x:f>
        <x:v>638 × 550</x:v>
      </x:c>
      <x:c r="N28" s="43" t="str">
        <x:f>IF(LEN(TRIM(IF($L28="Pequeña","Si no la cantean: cortar a "&amp;ROUND(Despiece!L26,2)&amp;" × "&amp;ROUND(Despiece!M26,2)&amp;" y cantear en el armado.","")&amp;" "&amp;IFERROR(VLOOKUP(Despiece!A26,$S$2:$T$40,2,FALSE),"")))=0,"—",TRIM(IF($L28="Pequeña","Si no la cantean: cortar a "&amp;ROUND(Despiece!L26,2)&amp;" × "&amp;ROUND(Despiece!M26,2)&amp;" y cantear en el armado.","")&amp;" "&amp;IFERROR(VLOOKUP(Despiece!A26,$S$2:$T$40,2,FALSE),"")))</x:f>
        <x:v>—</x:v>
      </x:c>
    </x:row>
    <x:row r="29">
      <x:c r="A29" s="40" t="str">
        <x:f>Despiece!A27</x:f>
        <x:v>P023</x:v>
      </x:c>
      <x:c r="B29" s="40" t="str">
        <x:f>Despiece!B27</x:f>
        <x:v>B5 Lavaplatos 70</x:v>
      </x:c>
      <x:c r="C29" s="40" t="str">
        <x:f>Despiece!C27</x:f>
        <x:v>Lateral</x:v>
      </x:c>
      <x:c r="D29" s="40" t="str">
        <x:f>Despiece!D27</x:f>
        <x:v>Melamina Cartagena RH 15</x:v>
      </x:c>
      <x:c r="E29" s="41" t="n">
        <x:f>Despiece!G27</x:f>
        <x:v>2</x:v>
      </x:c>
      <x:c r="F29" s="45" t="n">
        <x:f>IF($Q$2="NO",ROUND(Despiece!L27,2),Despiece!E27)</x:f>
        <x:v>785</x:v>
      </x:c>
      <x:c r="G29" s="45" t="n">
        <x:f>IF($Q$2="NO",ROUND(Despiece!M27,2),Despiece!F27)</x:f>
        <x:v>580</x:v>
      </x:c>
      <x:c r="H29" s="42" t="str">
        <x:f>IF(Despiece!H27="2","R",IF(Despiece!H27="0.45","F","—"))</x:f>
        <x:v>F</x:v>
      </x:c>
      <x:c r="I29" s="42" t="str">
        <x:f>IF(Despiece!I27="2","R",IF(Despiece!I27="0.45","F","—"))</x:f>
        <x:v>—</x:v>
      </x:c>
      <x:c r="J29" s="42" t="str">
        <x:f>IF(Despiece!J27="2","R",IF(Despiece!J27="0.45","F","—"))</x:f>
        <x:v>F</x:v>
      </x:c>
      <x:c r="K29" s="42" t="str">
        <x:f>IF(Despiece!K27="2","R",IF(Despiece!K27="0.45","F","—"))</x:f>
        <x:v>—</x:v>
      </x:c>
      <x:c r="L29" s="42" t="str">
        <x:f>IF(SUMPRODUCT((Despiece!H27:K27="2")+(Despiece!H27:K27="0.45"))=0,"Sin canto",IF(OR(MIN(Despiece!L27,Despiece!M27)&lt;$Q$3,MAX(Despiece!L27,Despiece!M27)&lt;$Q$4),"Pequeña","Normal"))</x:f>
        <x:v>Normal</x:v>
      </x:c>
      <x:c r="M29" s="40" t="str">
        <x:f>Despiece!E27&amp;" × "&amp;Despiece!F27</x:f>
        <x:v>785 × 580</x:v>
      </x:c>
      <x:c r="N29" s="43" t="str">
        <x:f>IF(LEN(TRIM(IF($L29="Pequeña","Si no la cantean: cortar a "&amp;ROUND(Despiece!L27,2)&amp;" × "&amp;ROUND(Despiece!M27,2)&amp;" y cantear en el armado.","")&amp;" "&amp;IFERROR(VLOOKUP(Despiece!A27,$S$2:$T$40,2,FALSE),"")))=0,"—",TRIM(IF($L29="Pequeña","Si no la cantean: cortar a "&amp;ROUND(Despiece!L27,2)&amp;" × "&amp;ROUND(Despiece!M27,2)&amp;" y cantear en el armado.","")&amp;" "&amp;IFERROR(VLOOKUP(Despiece!A27,$S$2:$T$40,2,FALSE),"")))</x:f>
        <x:v>Rebaje para la gola en el armado, cuando se defina el borde del granito; no lo hace el proveedor.</x:v>
      </x:c>
    </x:row>
    <x:row r="30">
      <x:c r="A30" s="40" t="str">
        <x:f>Despiece!A28</x:f>
        <x:v>P024</x:v>
      </x:c>
      <x:c r="B30" s="40" t="str">
        <x:f>Despiece!B28</x:f>
        <x:v>B5 Lavaplatos 70</x:v>
      </x:c>
      <x:c r="C30" s="40" t="str">
        <x:f>Despiece!C28</x:f>
        <x:v>Piso</x:v>
      </x:c>
      <x:c r="D30" s="40" t="str">
        <x:f>Despiece!D28</x:f>
        <x:v>Melamina Cartagena RH 15</x:v>
      </x:c>
      <x:c r="E30" s="41" t="n">
        <x:f>Despiece!G28</x:f>
        <x:v>1</x:v>
      </x:c>
      <x:c r="F30" s="45" t="n">
        <x:f>IF($Q$2="NO",ROUND(Despiece!L28,2),Despiece!E28)</x:f>
        <x:v>670</x:v>
      </x:c>
      <x:c r="G30" s="45" t="n">
        <x:f>IF($Q$2="NO",ROUND(Despiece!M28,2),Despiece!F28)</x:f>
        <x:v>580</x:v>
      </x:c>
      <x:c r="H30" s="42" t="str">
        <x:f>IF(Despiece!H28="2","R",IF(Despiece!H28="0.45","F","—"))</x:f>
        <x:v>F</x:v>
      </x:c>
      <x:c r="I30" s="42" t="str">
        <x:f>IF(Despiece!I28="2","R",IF(Despiece!I28="0.45","F","—"))</x:f>
        <x:v>—</x:v>
      </x:c>
      <x:c r="J30" s="42" t="str">
        <x:f>IF(Despiece!J28="2","R",IF(Despiece!J28="0.45","F","—"))</x:f>
        <x:v>—</x:v>
      </x:c>
      <x:c r="K30" s="42" t="str">
        <x:f>IF(Despiece!K28="2","R",IF(Despiece!K28="0.45","F","—"))</x:f>
        <x:v>—</x:v>
      </x:c>
      <x:c r="L30" s="42" t="str">
        <x:f>IF(SUMPRODUCT((Despiece!H28:K28="2")+(Despiece!H28:K28="0.45"))=0,"Sin canto",IF(OR(MIN(Despiece!L28,Despiece!M28)&lt;$Q$3,MAX(Despiece!L28,Despiece!M28)&lt;$Q$4),"Pequeña","Normal"))</x:f>
        <x:v>Normal</x:v>
      </x:c>
      <x:c r="M30" s="40" t="str">
        <x:f>Despiece!E28&amp;" × "&amp;Despiece!F28</x:f>
        <x:v>670 × 580</x:v>
      </x:c>
      <x:c r="N30" s="43" t="str">
        <x:f>IF(LEN(TRIM(IF($L30="Pequeña","Si no la cantean: cortar a "&amp;ROUND(Despiece!L28,2)&amp;" × "&amp;ROUND(Despiece!M28,2)&amp;" y cantear en el armado.","")&amp;" "&amp;IFERROR(VLOOKUP(Despiece!A28,$S$2:$T$40,2,FALSE),"")))=0,"—",TRIM(IF($L30="Pequeña","Si no la cantean: cortar a "&amp;ROUND(Despiece!L28,2)&amp;" × "&amp;ROUND(Despiece!M28,2)&amp;" y cantear en el armado.","")&amp;" "&amp;IFERROR(VLOOKUP(Despiece!A28,$S$2:$T$40,2,FALSE),"")))</x:f>
        <x:v>—</x:v>
      </x:c>
    </x:row>
    <x:row r="31" ht="88.05000305175781" customHeight="1">
      <x:c r="A31" s="40" t="str">
        <x:f>Despiece!A29</x:f>
        <x:v>P025</x:v>
      </x:c>
      <x:c r="B31" s="40" t="str">
        <x:f>Despiece!B29</x:f>
        <x:v>B5 Lavaplatos 70</x:v>
      </x:c>
      <x:c r="C31" s="40" t="str">
        <x:f>Despiece!C29</x:f>
        <x:v>Travesaño de canto</x:v>
      </x:c>
      <x:c r="D31" s="40" t="str">
        <x:f>Despiece!D29</x:f>
        <x:v>Melamina Cartagena RH 15</x:v>
      </x:c>
      <x:c r="E31" s="41" t="n">
        <x:f>Despiece!G29</x:f>
        <x:v>2</x:v>
      </x:c>
      <x:c r="F31" s="45" t="n">
        <x:f>IF($Q$2="NO",ROUND(Despiece!L29,2),Despiece!E29)</x:f>
        <x:v>670</x:v>
      </x:c>
      <x:c r="G31" s="45" t="n">
        <x:f>IF($Q$2="NO",ROUND(Despiece!M29,2),Despiece!F29)</x:f>
        <x:v>100</x:v>
      </x:c>
      <x:c r="H31" s="42" t="str">
        <x:f>IF(Despiece!H29="2","R",IF(Despiece!H29="0.45","F","—"))</x:f>
        <x:v>F</x:v>
      </x:c>
      <x:c r="I31" s="42" t="str">
        <x:f>IF(Despiece!I29="2","R",IF(Despiece!I29="0.45","F","—"))</x:f>
        <x:v>F</x:v>
      </x:c>
      <x:c r="J31" s="42" t="str">
        <x:f>IF(Despiece!J29="2","R",IF(Despiece!J29="0.45","F","—"))</x:f>
        <x:v>F</x:v>
      </x:c>
      <x:c r="K31" s="42" t="str">
        <x:f>IF(Despiece!K29="2","R",IF(Despiece!K29="0.45","F","—"))</x:f>
        <x:v>F</x:v>
      </x:c>
      <x:c r="L31" s="42" t="str">
        <x:f>IF(SUMPRODUCT((Despiece!H29:K29="2")+(Despiece!H29:K29="0.45"))=0,"Sin canto",IF(OR(MIN(Despiece!L29,Despiece!M29)&lt;$Q$3,MAX(Despiece!L29,Despiece!M29)&lt;$Q$4),"Pequeña","Normal"))</x:f>
        <x:v>Pequeña</x:v>
      </x:c>
      <x:c r="M31" s="40" t="str">
        <x:f>Despiece!E29&amp;" × "&amp;Despiece!F29</x:f>
        <x:v>670 × 100</x:v>
      </x:c>
      <x:c r="N31" s="43" t="str">
        <x:f>IF(LEN(TRIM(IF($L31="Pequeña","Si no la cantean: cortar a "&amp;ROUND(Despiece!L29,2)&amp;" × "&amp;ROUND(Despiece!M29,2)&amp;" y cantear en el armado.","")&amp;" "&amp;IFERROR(VLOOKUP(Despiece!A29,$S$2:$T$40,2,FALSE),"")))=0,"—",TRIM(IF($L31="Pequeña","Si no la cantean: cortar a "&amp;ROUND(Despiece!L29,2)&amp;" × "&amp;ROUND(Despiece!M29,2)&amp;" y cantear en el armado.","")&amp;" "&amp;IFERROR(VLOOKUP(Despiece!A29,$S$2:$T$40,2,FALSE),"")))</x:f>
        <x:v>Si no la cantean: cortar a 669.1 × 99.1 y cantear en el armado. Rebaje para la gola en el armado, cuando se defina el borde del granito; no lo hace el proveedor.</x:v>
      </x:c>
    </x:row>
    <x:row r="32">
      <x:c r="A32" s="40" t="str">
        <x:f>Despiece!A30</x:f>
        <x:v>P026</x:v>
      </x:c>
      <x:c r="B32" s="40" t="str">
        <x:f>Despiece!B30</x:f>
        <x:v>B5 Lavaplatos 70</x:v>
      </x:c>
      <x:c r="C32" s="40" t="str">
        <x:f>Despiece!C30</x:f>
        <x:v>Fondo clavado atrás</x:v>
      </x:c>
      <x:c r="D32" s="40" t="str">
        <x:f>Despiece!D30</x:f>
        <x:v>Fondo melamina 6</x:v>
      </x:c>
      <x:c r="E32" s="41" t="n">
        <x:f>Despiece!G30</x:f>
        <x:v>1</x:v>
      </x:c>
      <x:c r="F32" s="45" t="n">
        <x:f>IF($Q$2="NO",ROUND(Despiece!L30,2),Despiece!E30)</x:f>
        <x:v>696</x:v>
      </x:c>
      <x:c r="G32" s="45" t="n">
        <x:f>IF($Q$2="NO",ROUND(Despiece!M30,2),Despiece!F30)</x:f>
        <x:v>781</x:v>
      </x:c>
      <x:c r="H32" s="42" t="str">
        <x:f>IF(Despiece!H30="2","R",IF(Despiece!H30="0.45","F","—"))</x:f>
        <x:v>—</x:v>
      </x:c>
      <x:c r="I32" s="42" t="str">
        <x:f>IF(Despiece!I30="2","R",IF(Despiece!I30="0.45","F","—"))</x:f>
        <x:v>—</x:v>
      </x:c>
      <x:c r="J32" s="42" t="str">
        <x:f>IF(Despiece!J30="2","R",IF(Despiece!J30="0.45","F","—"))</x:f>
        <x:v>—</x:v>
      </x:c>
      <x:c r="K32" s="42" t="str">
        <x:f>IF(Despiece!K30="2","R",IF(Despiece!K30="0.45","F","—"))</x:f>
        <x:v>—</x:v>
      </x:c>
      <x:c r="L32" s="42" t="str">
        <x:f>IF(SUMPRODUCT((Despiece!H30:K30="2")+(Despiece!H30:K30="0.45"))=0,"Sin canto",IF(OR(MIN(Despiece!L30,Despiece!M30)&lt;$Q$3,MAX(Despiece!L30,Despiece!M30)&lt;$Q$4),"Pequeña","Normal"))</x:f>
        <x:v>Sin canto</x:v>
      </x:c>
      <x:c r="M32" s="40" t="str">
        <x:f>Despiece!E30&amp;" × "&amp;Despiece!F30</x:f>
        <x:v>696 × 781</x:v>
      </x:c>
      <x:c r="N32" s="43" t="str">
        <x:f>IF(LEN(TRIM(IF($L32="Pequeña","Si no la cantean: cortar a "&amp;ROUND(Despiece!L30,2)&amp;" × "&amp;ROUND(Despiece!M30,2)&amp;" y cantear en el armado.","")&amp;" "&amp;IFERROR(VLOOKUP(Despiece!A30,$S$2:$T$40,2,FALSE),"")))=0,"—",TRIM(IF($L32="Pequeña","Si no la cantean: cortar a "&amp;ROUND(Despiece!L30,2)&amp;" × "&amp;ROUND(Despiece!M30,2)&amp;" y cantear en el armado.","")&amp;" "&amp;IFERROR(VLOOKUP(Despiece!A30,$S$2:$T$40,2,FALSE),"")))</x:f>
        <x:v>—</x:v>
      </x:c>
    </x:row>
    <x:row r="33">
      <x:c r="A33" s="40" t="str">
        <x:f>Despiece!A31</x:f>
        <x:v>P027</x:v>
      </x:c>
      <x:c r="B33" s="40" t="str">
        <x:f>Despiece!B31</x:f>
        <x:v>B5 Lavaplatos 70</x:v>
      </x:c>
      <x:c r="C33" s="40" t="str">
        <x:f>Despiece!C31</x:f>
        <x:v>Puerta izquierda</x:v>
      </x:c>
      <x:c r="D33" s="40" t="str">
        <x:f>Despiece!D31</x:f>
        <x:v>Melamina Cartagena RH 15</x:v>
      </x:c>
      <x:c r="E33" s="41" t="n">
        <x:f>Despiece!G31</x:f>
        <x:v>1</x:v>
      </x:c>
      <x:c r="F33" s="45" t="n">
        <x:f>IF($Q$2="NO",ROUND(Despiece!L31,2),Despiece!E31)</x:f>
        <x:v>732</x:v>
      </x:c>
      <x:c r="G33" s="45" t="n">
        <x:f>IF($Q$2="NO",ROUND(Despiece!M31,2),Despiece!F31)</x:f>
        <x:v>347</x:v>
      </x:c>
      <x:c r="H33" s="42" t="str">
        <x:f>IF(Despiece!H31="2","R",IF(Despiece!H31="0.45","F","—"))</x:f>
        <x:v>R</x:v>
      </x:c>
      <x:c r="I33" s="42" t="str">
        <x:f>IF(Despiece!I31="2","R",IF(Despiece!I31="0.45","F","—"))</x:f>
        <x:v>R</x:v>
      </x:c>
      <x:c r="J33" s="42" t="str">
        <x:f>IF(Despiece!J31="2","R",IF(Despiece!J31="0.45","F","—"))</x:f>
        <x:v>R</x:v>
      </x:c>
      <x:c r="K33" s="42" t="str">
        <x:f>IF(Despiece!K31="2","R",IF(Despiece!K31="0.45","F","—"))</x:f>
        <x:v>R</x:v>
      </x:c>
      <x:c r="L33" s="42" t="str">
        <x:f>IF(SUMPRODUCT((Despiece!H31:K31="2")+(Despiece!H31:K31="0.45"))=0,"Sin canto",IF(OR(MIN(Despiece!L31,Despiece!M31)&lt;$Q$3,MAX(Despiece!L31,Despiece!M31)&lt;$Q$4),"Pequeña","Normal"))</x:f>
        <x:v>Normal</x:v>
      </x:c>
      <x:c r="M33" s="40" t="str">
        <x:f>Despiece!E31&amp;" × "&amp;Despiece!F31</x:f>
        <x:v>732 × 347</x:v>
      </x:c>
      <x:c r="N33" s="43" t="str">
        <x:f>IF(LEN(TRIM(IF($L33="Pequeña","Si no la cantean: cortar a "&amp;ROUND(Despiece!L31,2)&amp;" × "&amp;ROUND(Despiece!M31,2)&amp;" y cantear en el armado.","")&amp;" "&amp;IFERROR(VLOOKUP(Despiece!A31,$S$2:$T$40,2,FALSE),"")))=0,"—",TRIM(IF($L33="Pequeña","Si no la cantean: cortar a "&amp;ROUND(Despiece!L31,2)&amp;" × "&amp;ROUND(Despiece!M31,2)&amp;" y cantear en el armado.","")&amp;" "&amp;IFERROR(VLOOKUP(Despiece!A31,$S$2:$T$40,2,FALSE),"")))</x:f>
        <x:v>—</x:v>
      </x:c>
    </x:row>
    <x:row r="34">
      <x:c r="A34" s="40" t="str">
        <x:f>Despiece!A32</x:f>
        <x:v>P028</x:v>
      </x:c>
      <x:c r="B34" s="40" t="str">
        <x:f>Despiece!B32</x:f>
        <x:v>B5 Lavaplatos 70</x:v>
      </x:c>
      <x:c r="C34" s="40" t="str">
        <x:f>Despiece!C32</x:f>
        <x:v>Puerta derecha</x:v>
      </x:c>
      <x:c r="D34" s="40" t="str">
        <x:f>Despiece!D32</x:f>
        <x:v>Melamina Cartagena RH 15</x:v>
      </x:c>
      <x:c r="E34" s="41" t="n">
        <x:f>Despiece!G32</x:f>
        <x:v>1</x:v>
      </x:c>
      <x:c r="F34" s="45" t="n">
        <x:f>IF($Q$2="NO",ROUND(Despiece!L32,2),Despiece!E32)</x:f>
        <x:v>732</x:v>
      </x:c>
      <x:c r="G34" s="45" t="n">
        <x:f>IF($Q$2="NO",ROUND(Despiece!M32,2),Despiece!F32)</x:f>
        <x:v>347</x:v>
      </x:c>
      <x:c r="H34" s="42" t="str">
        <x:f>IF(Despiece!H32="2","R",IF(Despiece!H32="0.45","F","—"))</x:f>
        <x:v>R</x:v>
      </x:c>
      <x:c r="I34" s="42" t="str">
        <x:f>IF(Despiece!I32="2","R",IF(Despiece!I32="0.45","F","—"))</x:f>
        <x:v>R</x:v>
      </x:c>
      <x:c r="J34" s="42" t="str">
        <x:f>IF(Despiece!J32="2","R",IF(Despiece!J32="0.45","F","—"))</x:f>
        <x:v>R</x:v>
      </x:c>
      <x:c r="K34" s="42" t="str">
        <x:f>IF(Despiece!K32="2","R",IF(Despiece!K32="0.45","F","—"))</x:f>
        <x:v>R</x:v>
      </x:c>
      <x:c r="L34" s="42" t="str">
        <x:f>IF(SUMPRODUCT((Despiece!H32:K32="2")+(Despiece!H32:K32="0.45"))=0,"Sin canto",IF(OR(MIN(Despiece!L32,Despiece!M32)&lt;$Q$3,MAX(Despiece!L32,Despiece!M32)&lt;$Q$4),"Pequeña","Normal"))</x:f>
        <x:v>Normal</x:v>
      </x:c>
      <x:c r="M34" s="40" t="str">
        <x:f>Despiece!E32&amp;" × "&amp;Despiece!F32</x:f>
        <x:v>732 × 347</x:v>
      </x:c>
      <x:c r="N34" s="43" t="str">
        <x:f>IF(LEN(TRIM(IF($L34="Pequeña","Si no la cantean: cortar a "&amp;ROUND(Despiece!L32,2)&amp;" × "&amp;ROUND(Despiece!M32,2)&amp;" y cantear en el armado.","")&amp;" "&amp;IFERROR(VLOOKUP(Despiece!A32,$S$2:$T$40,2,FALSE),"")))=0,"—",TRIM(IF($L34="Pequeña","Si no la cantean: cortar a "&amp;ROUND(Despiece!L32,2)&amp;" × "&amp;ROUND(Despiece!M32,2)&amp;" y cantear en el armado.","")&amp;" "&amp;IFERROR(VLOOKUP(Despiece!A32,$S$2:$T$40,2,FALSE),"")))</x:f>
        <x:v>—</x:v>
      </x:c>
    </x:row>
    <x:row r="35" ht="43.20000076293945">
      <x:c r="A35" s="40" t="str">
        <x:f>Despiece!A33</x:f>
        <x:v>P029</x:v>
      </x:c>
      <x:c r="B35" s="40" t="str">
        <x:f>Despiece!B33</x:f>
        <x:v>B5 Lavaplatos 70</x:v>
      </x:c>
      <x:c r="C35" s="40" t="str">
        <x:f>Despiece!C33</x:f>
        <x:v>Entrepaño desmontable; recortar sifón en obra</x:v>
      </x:c>
      <x:c r="D35" s="40" t="str">
        <x:f>Despiece!D33</x:f>
        <x:v>Melamina Cartagena RH 15</x:v>
      </x:c>
      <x:c r="E35" s="41" t="n">
        <x:f>Despiece!G33</x:f>
        <x:v>1</x:v>
      </x:c>
      <x:c r="F35" s="45" t="n">
        <x:f>IF($Q$2="NO",ROUND(Despiece!L33,2),Despiece!E33)</x:f>
        <x:v>668</x:v>
      </x:c>
      <x:c r="G35" s="45" t="n">
        <x:f>IF($Q$2="NO",ROUND(Despiece!M33,2),Despiece!F33)</x:f>
        <x:v>520</x:v>
      </x:c>
      <x:c r="H35" s="42" t="str">
        <x:f>IF(Despiece!H33="2","R",IF(Despiece!H33="0.45","F","—"))</x:f>
        <x:v>F</x:v>
      </x:c>
      <x:c r="I35" s="42" t="str">
        <x:f>IF(Despiece!I33="2","R",IF(Despiece!I33="0.45","F","—"))</x:f>
        <x:v>F</x:v>
      </x:c>
      <x:c r="J35" s="42" t="str">
        <x:f>IF(Despiece!J33="2","R",IF(Despiece!J33="0.45","F","—"))</x:f>
        <x:v>F</x:v>
      </x:c>
      <x:c r="K35" s="42" t="str">
        <x:f>IF(Despiece!K33="2","R",IF(Despiece!K33="0.45","F","—"))</x:f>
        <x:v>F</x:v>
      </x:c>
      <x:c r="L35" s="42" t="str">
        <x:f>IF(SUMPRODUCT((Despiece!H33:K33="2")+(Despiece!H33:K33="0.45"))=0,"Sin canto",IF(OR(MIN(Despiece!L33,Despiece!M33)&lt;$Q$3,MAX(Despiece!L33,Despiece!M33)&lt;$Q$4),"Pequeña","Normal"))</x:f>
        <x:v>Normal</x:v>
      </x:c>
      <x:c r="M35" s="40" t="str">
        <x:f>Despiece!E33&amp;" × "&amp;Despiece!F33</x:f>
        <x:v>668 × 520</x:v>
      </x:c>
      <x:c r="N35" s="43" t="str">
        <x:f>IF(LEN(TRIM(IF($L35="Pequeña","Si no la cantean: cortar a "&amp;ROUND(Despiece!L33,2)&amp;" × "&amp;ROUND(Despiece!M33,2)&amp;" y cantear en el armado.","")&amp;" "&amp;IFERROR(VLOOKUP(Despiece!A33,$S$2:$T$40,2,FALSE),"")))=0,"—",TRIM(IF($L35="Pequeña","Si no la cantean: cortar a "&amp;ROUND(Despiece!L33,2)&amp;" × "&amp;ROUND(Despiece!M33,2)&amp;" y cantear en el armado.","")&amp;" "&amp;IFERROR(VLOOKUP(Despiece!A33,$S$2:$T$40,2,FALSE),"")))</x:f>
        <x:v>P029: flexible 0,45 mm en los cuatro bordes. Recorte de sifón y tuberías en obra: sellar el corte.</x:v>
      </x:c>
    </x:row>
    <x:row r="36" ht="28.799999237060547">
      <x:c r="A36" s="40" t="str">
        <x:f>Despiece!A34</x:f>
        <x:v>P030</x:v>
      </x:c>
      <x:c r="B36" s="40" t="str">
        <x:f>Despiece!B34</x:f>
        <x:v>B4 Basurero y puerta 40</x:v>
      </x:c>
      <x:c r="C36" s="40" t="str">
        <x:f>Despiece!C34</x:f>
        <x:v>Lateral</x:v>
      </x:c>
      <x:c r="D36" s="40" t="str">
        <x:f>Despiece!D34</x:f>
        <x:v>Melamina Cartagena RH 15</x:v>
      </x:c>
      <x:c r="E36" s="41" t="n">
        <x:f>Despiece!G34</x:f>
        <x:v>2</x:v>
      </x:c>
      <x:c r="F36" s="45" t="n">
        <x:f>IF($Q$2="NO",ROUND(Despiece!L34,2),Despiece!E34)</x:f>
        <x:v>785</x:v>
      </x:c>
      <x:c r="G36" s="45" t="n">
        <x:f>IF($Q$2="NO",ROUND(Despiece!M34,2),Despiece!F34)</x:f>
        <x:v>580</x:v>
      </x:c>
      <x:c r="H36" s="42" t="str">
        <x:f>IF(Despiece!H34="2","R",IF(Despiece!H34="0.45","F","—"))</x:f>
        <x:v>F</x:v>
      </x:c>
      <x:c r="I36" s="42" t="str">
        <x:f>IF(Despiece!I34="2","R",IF(Despiece!I34="0.45","F","—"))</x:f>
        <x:v>—</x:v>
      </x:c>
      <x:c r="J36" s="42" t="str">
        <x:f>IF(Despiece!J34="2","R",IF(Despiece!J34="0.45","F","—"))</x:f>
        <x:v>F</x:v>
      </x:c>
      <x:c r="K36" s="42" t="str">
        <x:f>IF(Despiece!K34="2","R",IF(Despiece!K34="0.45","F","—"))</x:f>
        <x:v>—</x:v>
      </x:c>
      <x:c r="L36" s="42" t="str">
        <x:f>IF(SUMPRODUCT((Despiece!H34:K34="2")+(Despiece!H34:K34="0.45"))=0,"Sin canto",IF(OR(MIN(Despiece!L34,Despiece!M34)&lt;$Q$3,MAX(Despiece!L34,Despiece!M34)&lt;$Q$4),"Pequeña","Normal"))</x:f>
        <x:v>Normal</x:v>
      </x:c>
      <x:c r="M36" s="40" t="str">
        <x:f>Despiece!E34&amp;" × "&amp;Despiece!F34</x:f>
        <x:v>785 × 580</x:v>
      </x:c>
      <x:c r="N36" s="43" t="str">
        <x:f>IF(LEN(TRIM(IF($L36="Pequeña","Si no la cantean: cortar a "&amp;ROUND(Despiece!L34,2)&amp;" × "&amp;ROUND(Despiece!M34,2)&amp;" y cantear en el armado.","")&amp;" "&amp;IFERROR(VLOOKUP(Despiece!A34,$S$2:$T$40,2,FALSE),"")))=0,"—",TRIM(IF($L36="Pequeña","Si no la cantean: cortar a "&amp;ROUND(Despiece!L34,2)&amp;" × "&amp;ROUND(Despiece!M34,2)&amp;" y cantear en el armado.","")&amp;" "&amp;IFERROR(VLOOKUP(Despiece!A34,$S$2:$T$40,2,FALSE),"")))</x:f>
        <x:v>Rebaje para la gola en el armado, cuando se defina el borde del granito; no lo hace el proveedor.</x:v>
      </x:c>
    </x:row>
    <x:row r="37">
      <x:c r="A37" s="40" t="str">
        <x:f>Despiece!A35</x:f>
        <x:v>P031</x:v>
      </x:c>
      <x:c r="B37" s="40" t="str">
        <x:f>Despiece!B35</x:f>
        <x:v>B4 Basurero y puerta 40</x:v>
      </x:c>
      <x:c r="C37" s="40" t="str">
        <x:f>Despiece!C35</x:f>
        <x:v>Piso</x:v>
      </x:c>
      <x:c r="D37" s="40" t="str">
        <x:f>Despiece!D35</x:f>
        <x:v>Melamina Cartagena RH 15</x:v>
      </x:c>
      <x:c r="E37" s="41" t="n">
        <x:f>Despiece!G35</x:f>
        <x:v>1</x:v>
      </x:c>
      <x:c r="F37" s="45" t="n">
        <x:f>IF($Q$2="NO",ROUND(Despiece!L35,2),Despiece!E35)</x:f>
        <x:v>370</x:v>
      </x:c>
      <x:c r="G37" s="45" t="n">
        <x:f>IF($Q$2="NO",ROUND(Despiece!M35,2),Despiece!F35)</x:f>
        <x:v>580</x:v>
      </x:c>
      <x:c r="H37" s="42" t="str">
        <x:f>IF(Despiece!H35="2","R",IF(Despiece!H35="0.45","F","—"))</x:f>
        <x:v>F</x:v>
      </x:c>
      <x:c r="I37" s="42" t="str">
        <x:f>IF(Despiece!I35="2","R",IF(Despiece!I35="0.45","F","—"))</x:f>
        <x:v>—</x:v>
      </x:c>
      <x:c r="J37" s="42" t="str">
        <x:f>IF(Despiece!J35="2","R",IF(Despiece!J35="0.45","F","—"))</x:f>
        <x:v>—</x:v>
      </x:c>
      <x:c r="K37" s="42" t="str">
        <x:f>IF(Despiece!K35="2","R",IF(Despiece!K35="0.45","F","—"))</x:f>
        <x:v>—</x:v>
      </x:c>
      <x:c r="L37" s="42" t="str">
        <x:f>IF(SUMPRODUCT((Despiece!H35:K35="2")+(Despiece!H35:K35="0.45"))=0,"Sin canto",IF(OR(MIN(Despiece!L35,Despiece!M35)&lt;$Q$3,MAX(Despiece!L35,Despiece!M35)&lt;$Q$4),"Pequeña","Normal"))</x:f>
        <x:v>Normal</x:v>
      </x:c>
      <x:c r="M37" s="40" t="str">
        <x:f>Despiece!E35&amp;" × "&amp;Despiece!F35</x:f>
        <x:v>370 × 580</x:v>
      </x:c>
      <x:c r="N37" s="43" t="str">
        <x:f>IF(LEN(TRIM(IF($L37="Pequeña","Si no la cantean: cortar a "&amp;ROUND(Despiece!L35,2)&amp;" × "&amp;ROUND(Despiece!M35,2)&amp;" y cantear en el armado.","")&amp;" "&amp;IFERROR(VLOOKUP(Despiece!A35,$S$2:$T$40,2,FALSE),"")))=0,"—",TRIM(IF($L37="Pequeña","Si no la cantean: cortar a "&amp;ROUND(Despiece!L35,2)&amp;" × "&amp;ROUND(Despiece!M35,2)&amp;" y cantear en el armado.","")&amp;" "&amp;IFERROR(VLOOKUP(Despiece!A35,$S$2:$T$40,2,FALSE),"")))</x:f>
        <x:v>—</x:v>
      </x:c>
    </x:row>
    <x:row r="38" ht="88.05000305175781" customHeight="1">
      <x:c r="A38" s="40" t="str">
        <x:f>Despiece!A36</x:f>
        <x:v>P032</x:v>
      </x:c>
      <x:c r="B38" s="40" t="str">
        <x:f>Despiece!B36</x:f>
        <x:v>B4 Basurero y puerta 40</x:v>
      </x:c>
      <x:c r="C38" s="40" t="str">
        <x:f>Despiece!C36</x:f>
        <x:v>Travesaño horizontal</x:v>
      </x:c>
      <x:c r="D38" s="40" t="str">
        <x:f>Despiece!D36</x:f>
        <x:v>Melamina Cartagena RH 15</x:v>
      </x:c>
      <x:c r="E38" s="41" t="n">
        <x:f>Despiece!G36</x:f>
        <x:v>2</x:v>
      </x:c>
      <x:c r="F38" s="45" t="n">
        <x:f>IF($Q$2="NO",ROUND(Despiece!L36,2),Despiece!E36)</x:f>
        <x:v>370</x:v>
      </x:c>
      <x:c r="G38" s="45" t="n">
        <x:f>IF($Q$2="NO",ROUND(Despiece!M36,2),Despiece!F36)</x:f>
        <x:v>100</x:v>
      </x:c>
      <x:c r="H38" s="42" t="str">
        <x:f>IF(Despiece!H36="2","R",IF(Despiece!H36="0.45","F","—"))</x:f>
        <x:v>F</x:v>
      </x:c>
      <x:c r="I38" s="42" t="str">
        <x:f>IF(Despiece!I36="2","R",IF(Despiece!I36="0.45","F","—"))</x:f>
        <x:v>F</x:v>
      </x:c>
      <x:c r="J38" s="42" t="str">
        <x:f>IF(Despiece!J36="2","R",IF(Despiece!J36="0.45","F","—"))</x:f>
        <x:v>—</x:v>
      </x:c>
      <x:c r="K38" s="42" t="str">
        <x:f>IF(Despiece!K36="2","R",IF(Despiece!K36="0.45","F","—"))</x:f>
        <x:v>—</x:v>
      </x:c>
      <x:c r="L38" s="42" t="str">
        <x:f>IF(SUMPRODUCT((Despiece!H36:K36="2")+(Despiece!H36:K36="0.45"))=0,"Sin canto",IF(OR(MIN(Despiece!L36,Despiece!M36)&lt;$Q$3,MAX(Despiece!L36,Despiece!M36)&lt;$Q$4),"Pequeña","Normal"))</x:f>
        <x:v>Pequeña</x:v>
      </x:c>
      <x:c r="M38" s="40" t="str">
        <x:f>Despiece!E36&amp;" × "&amp;Despiece!F36</x:f>
        <x:v>370 × 100</x:v>
      </x:c>
      <x:c r="N38" s="43" t="str">
        <x:f>IF(LEN(TRIM(IF($L38="Pequeña","Si no la cantean: cortar a "&amp;ROUND(Despiece!L36,2)&amp;" × "&amp;ROUND(Despiece!M36,2)&amp;" y cantear en el armado.","")&amp;" "&amp;IFERROR(VLOOKUP(Despiece!A36,$S$2:$T$40,2,FALSE),"")))=0,"—",TRIM(IF($L38="Pequeña","Si no la cantean: cortar a "&amp;ROUND(Despiece!L36,2)&amp;" × "&amp;ROUND(Despiece!M36,2)&amp;" y cantear en el armado.","")&amp;" "&amp;IFERROR(VLOOKUP(Despiece!A36,$S$2:$T$40,2,FALSE),"")))</x:f>
        <x:v>Si no la cantean: cortar a 370 × 99.1 y cantear en el armado. Rebaje para la gola en el armado, cuando se defina el borde del granito; no lo hace el proveedor.</x:v>
      </x:c>
    </x:row>
    <x:row r="39">
      <x:c r="A39" s="40" t="str">
        <x:f>Despiece!A37</x:f>
        <x:v>P033</x:v>
      </x:c>
      <x:c r="B39" s="40" t="str">
        <x:f>Despiece!B37</x:f>
        <x:v>B4 Basurero y puerta 40</x:v>
      </x:c>
      <x:c r="C39" s="40" t="str">
        <x:f>Despiece!C37</x:f>
        <x:v>Fondo clavado atrás</x:v>
      </x:c>
      <x:c r="D39" s="40" t="str">
        <x:f>Despiece!D37</x:f>
        <x:v>Fondo melamina 6</x:v>
      </x:c>
      <x:c r="E39" s="41" t="n">
        <x:f>Despiece!G37</x:f>
        <x:v>1</x:v>
      </x:c>
      <x:c r="F39" s="45" t="n">
        <x:f>IF($Q$2="NO",ROUND(Despiece!L37,2),Despiece!E37)</x:f>
        <x:v>396</x:v>
      </x:c>
      <x:c r="G39" s="45" t="n">
        <x:f>IF($Q$2="NO",ROUND(Despiece!M37,2),Despiece!F37)</x:f>
        <x:v>781</x:v>
      </x:c>
      <x:c r="H39" s="42" t="str">
        <x:f>IF(Despiece!H37="2","R",IF(Despiece!H37="0.45","F","—"))</x:f>
        <x:v>—</x:v>
      </x:c>
      <x:c r="I39" s="42" t="str">
        <x:f>IF(Despiece!I37="2","R",IF(Despiece!I37="0.45","F","—"))</x:f>
        <x:v>—</x:v>
      </x:c>
      <x:c r="J39" s="42" t="str">
        <x:f>IF(Despiece!J37="2","R",IF(Despiece!J37="0.45","F","—"))</x:f>
        <x:v>—</x:v>
      </x:c>
      <x:c r="K39" s="42" t="str">
        <x:f>IF(Despiece!K37="2","R",IF(Despiece!K37="0.45","F","—"))</x:f>
        <x:v>—</x:v>
      </x:c>
      <x:c r="L39" s="42" t="str">
        <x:f>IF(SUMPRODUCT((Despiece!H37:K37="2")+(Despiece!H37:K37="0.45"))=0,"Sin canto",IF(OR(MIN(Despiece!L37,Despiece!M37)&lt;$Q$3,MAX(Despiece!L37,Despiece!M37)&lt;$Q$4),"Pequeña","Normal"))</x:f>
        <x:v>Sin canto</x:v>
      </x:c>
      <x:c r="M39" s="40" t="str">
        <x:f>Despiece!E37&amp;" × "&amp;Despiece!F37</x:f>
        <x:v>396 × 781</x:v>
      </x:c>
      <x:c r="N39" s="43" t="str">
        <x:f>IF(LEN(TRIM(IF($L39="Pequeña","Si no la cantean: cortar a "&amp;ROUND(Despiece!L37,2)&amp;" × "&amp;ROUND(Despiece!M37,2)&amp;" y cantear en el armado.","")&amp;" "&amp;IFERROR(VLOOKUP(Despiece!A37,$S$2:$T$40,2,FALSE),"")))=0,"—",TRIM(IF($L39="Pequeña","Si no la cantean: cortar a "&amp;ROUND(Despiece!L37,2)&amp;" × "&amp;ROUND(Despiece!M37,2)&amp;" y cantear en el armado.","")&amp;" "&amp;IFERROR(VLOOKUP(Despiece!A37,$S$2:$T$40,2,FALSE),"")))</x:f>
        <x:v>—</x:v>
      </x:c>
    </x:row>
    <x:row r="40" ht="28.799999237060547">
      <x:c r="A40" s="40" t="str">
        <x:f>Despiece!A38</x:f>
        <x:v>P034</x:v>
      </x:c>
      <x:c r="B40" s="40" t="str">
        <x:f>Despiece!B38</x:f>
        <x:v>B4 Basurero y puerta 40</x:v>
      </x:c>
      <x:c r="C40" s="40" t="str">
        <x:f>Despiece!C38</x:f>
        <x:v>Entrepaño FIJO separador superior/basurero</x:v>
      </x:c>
      <x:c r="D40" s="40" t="str">
        <x:f>Despiece!D38</x:f>
        <x:v>Melamina Cartagena RH 15</x:v>
      </x:c>
      <x:c r="E40" s="41" t="n">
        <x:f>Despiece!G38</x:f>
        <x:v>1</x:v>
      </x:c>
      <x:c r="F40" s="45" t="n">
        <x:f>IF($Q$2="NO",ROUND(Despiece!L38,2),Despiece!E38)</x:f>
        <x:v>370</x:v>
      </x:c>
      <x:c r="G40" s="45" t="n">
        <x:f>IF($Q$2="NO",ROUND(Despiece!M38,2),Despiece!F38)</x:f>
        <x:v>550</x:v>
      </x:c>
      <x:c r="H40" s="42" t="str">
        <x:f>IF(Despiece!H38="2","R",IF(Despiece!H38="0.45","F","—"))</x:f>
        <x:v>F</x:v>
      </x:c>
      <x:c r="I40" s="42" t="str">
        <x:f>IF(Despiece!I38="2","R",IF(Despiece!I38="0.45","F","—"))</x:f>
        <x:v>—</x:v>
      </x:c>
      <x:c r="J40" s="42" t="str">
        <x:f>IF(Despiece!J38="2","R",IF(Despiece!J38="0.45","F","—"))</x:f>
        <x:v>—</x:v>
      </x:c>
      <x:c r="K40" s="42" t="str">
        <x:f>IF(Despiece!K38="2","R",IF(Despiece!K38="0.45","F","—"))</x:f>
        <x:v>—</x:v>
      </x:c>
      <x:c r="L40" s="42" t="str">
        <x:f>IF(SUMPRODUCT((Despiece!H38:K38="2")+(Despiece!H38:K38="0.45"))=0,"Sin canto",IF(OR(MIN(Despiece!L38,Despiece!M38)&lt;$Q$3,MAX(Despiece!L38,Despiece!M38)&lt;$Q$4),"Pequeña","Normal"))</x:f>
        <x:v>Normal</x:v>
      </x:c>
      <x:c r="M40" s="40" t="str">
        <x:f>Despiece!E38&amp;" × "&amp;Despiece!F38</x:f>
        <x:v>370 × 550</x:v>
      </x:c>
      <x:c r="N40" s="43" t="str">
        <x:f>IF(LEN(TRIM(IF($L40="Pequeña","Si no la cantean: cortar a "&amp;ROUND(Despiece!L38,2)&amp;" × "&amp;ROUND(Despiece!M38,2)&amp;" y cantear en el armado.","")&amp;" "&amp;IFERROR(VLOOKUP(Despiece!A38,$S$2:$T$40,2,FALSE),"")))=0,"—",TRIM(IF($L40="Pequeña","Si no la cantean: cortar a "&amp;ROUND(Despiece!L38,2)&amp;" × "&amp;ROUND(Despiece!M38,2)&amp;" y cantear en el armado.","")&amp;" "&amp;IFERROR(VLOOKUP(Despiece!A38,$S$2:$T$40,2,FALSE),"")))</x:f>
        <x:v>Rebaje para la gola en el armado, cuando se defina el borde del granito; no lo hace el proveedor.</x:v>
      </x:c>
    </x:row>
    <x:row r="41">
      <x:c r="A41" s="40" t="str">
        <x:f>Despiece!A39</x:f>
        <x:v>P035</x:v>
      </x:c>
      <x:c r="B41" s="40" t="str">
        <x:f>Despiece!B39</x:f>
        <x:v>B4 Basurero y puerta 40</x:v>
      </x:c>
      <x:c r="C41" s="40" t="str">
        <x:f>Despiece!C39</x:f>
        <x:v>Puerta superior</x:v>
      </x:c>
      <x:c r="D41" s="40" t="str">
        <x:f>Despiece!D39</x:f>
        <x:v>Melamina Cartagena RH 15</x:v>
      </x:c>
      <x:c r="E41" s="41" t="n">
        <x:f>Despiece!G39</x:f>
        <x:v>1</x:v>
      </x:c>
      <x:c r="F41" s="45" t="n">
        <x:f>IF($Q$2="NO",ROUND(Despiece!L39,2),Despiece!E39)</x:f>
        <x:v>402</x:v>
      </x:c>
      <x:c r="G41" s="45" t="n">
        <x:f>IF($Q$2="NO",ROUND(Despiece!M39,2),Despiece!F39)</x:f>
        <x:v>397</x:v>
      </x:c>
      <x:c r="H41" s="42" t="str">
        <x:f>IF(Despiece!H39="2","R",IF(Despiece!H39="0.45","F","—"))</x:f>
        <x:v>R</x:v>
      </x:c>
      <x:c r="I41" s="42" t="str">
        <x:f>IF(Despiece!I39="2","R",IF(Despiece!I39="0.45","F","—"))</x:f>
        <x:v>R</x:v>
      </x:c>
      <x:c r="J41" s="42" t="str">
        <x:f>IF(Despiece!J39="2","R",IF(Despiece!J39="0.45","F","—"))</x:f>
        <x:v>R</x:v>
      </x:c>
      <x:c r="K41" s="42" t="str">
        <x:f>IF(Despiece!K39="2","R",IF(Despiece!K39="0.45","F","—"))</x:f>
        <x:v>R</x:v>
      </x:c>
      <x:c r="L41" s="42" t="str">
        <x:f>IF(SUMPRODUCT((Despiece!H39:K39="2")+(Despiece!H39:K39="0.45"))=0,"Sin canto",IF(OR(MIN(Despiece!L39,Despiece!M39)&lt;$Q$3,MAX(Despiece!L39,Despiece!M39)&lt;$Q$4),"Pequeña","Normal"))</x:f>
        <x:v>Normal</x:v>
      </x:c>
      <x:c r="M41" s="40" t="str">
        <x:f>Despiece!E39&amp;" × "&amp;Despiece!F39</x:f>
        <x:v>402 × 397</x:v>
      </x:c>
      <x:c r="N41" s="43" t="str">
        <x:f>IF(LEN(TRIM(IF($L41="Pequeña","Si no la cantean: cortar a "&amp;ROUND(Despiece!L39,2)&amp;" × "&amp;ROUND(Despiece!M39,2)&amp;" y cantear en el armado.","")&amp;" "&amp;IFERROR(VLOOKUP(Despiece!A39,$S$2:$T$40,2,FALSE),"")))=0,"—",TRIM(IF($L41="Pequeña","Si no la cantean: cortar a "&amp;ROUND(Despiece!L39,2)&amp;" × "&amp;ROUND(Despiece!M39,2)&amp;" y cantear en el armado.","")&amp;" "&amp;IFERROR(VLOOKUP(Despiece!A39,$S$2:$T$40,2,FALSE),"")))</x:f>
        <x:v>—</x:v>
      </x:c>
    </x:row>
    <x:row r="42">
      <x:c r="A42" s="40" t="str">
        <x:f>Despiece!A40</x:f>
        <x:v>P036</x:v>
      </x:c>
      <x:c r="B42" s="40" t="str">
        <x:f>Despiece!B40</x:f>
        <x:v>B4 Basurero y puerta 40</x:v>
      </x:c>
      <x:c r="C42" s="40" t="str">
        <x:f>Despiece!C40</x:f>
        <x:v>Frente inferior extraíble basurero</x:v>
      </x:c>
      <x:c r="D42" s="40" t="str">
        <x:f>Despiece!D40</x:f>
        <x:v>Melamina Cartagena RH 15</x:v>
      </x:c>
      <x:c r="E42" s="41" t="n">
        <x:f>Despiece!G40</x:f>
        <x:v>1</x:v>
      </x:c>
      <x:c r="F42" s="45" t="n">
        <x:f>IF($Q$2="NO",ROUND(Despiece!L40,2),Despiece!E40)</x:f>
        <x:v>302</x:v>
      </x:c>
      <x:c r="G42" s="45" t="n">
        <x:f>IF($Q$2="NO",ROUND(Despiece!M40,2),Despiece!F40)</x:f>
        <x:v>397</x:v>
      </x:c>
      <x:c r="H42" s="42" t="str">
        <x:f>IF(Despiece!H40="2","R",IF(Despiece!H40="0.45","F","—"))</x:f>
        <x:v>R</x:v>
      </x:c>
      <x:c r="I42" s="42" t="str">
        <x:f>IF(Despiece!I40="2","R",IF(Despiece!I40="0.45","F","—"))</x:f>
        <x:v>R</x:v>
      </x:c>
      <x:c r="J42" s="42" t="str">
        <x:f>IF(Despiece!J40="2","R",IF(Despiece!J40="0.45","F","—"))</x:f>
        <x:v>R</x:v>
      </x:c>
      <x:c r="K42" s="42" t="str">
        <x:f>IF(Despiece!K40="2","R",IF(Despiece!K40="0.45","F","—"))</x:f>
        <x:v>R</x:v>
      </x:c>
      <x:c r="L42" s="42" t="str">
        <x:f>IF(SUMPRODUCT((Despiece!H40:K40="2")+(Despiece!H40:K40="0.45"))=0,"Sin canto",IF(OR(MIN(Despiece!L40,Despiece!M40)&lt;$Q$3,MAX(Despiece!L40,Despiece!M40)&lt;$Q$4),"Pequeña","Normal"))</x:f>
        <x:v>Normal</x:v>
      </x:c>
      <x:c r="M42" s="40" t="str">
        <x:f>Despiece!E40&amp;" × "&amp;Despiece!F40</x:f>
        <x:v>302 × 397</x:v>
      </x:c>
      <x:c r="N42" s="43" t="str">
        <x:f>IF(LEN(TRIM(IF($L42="Pequeña","Si no la cantean: cortar a "&amp;ROUND(Despiece!L40,2)&amp;" × "&amp;ROUND(Despiece!M40,2)&amp;" y cantear en el armado.","")&amp;" "&amp;IFERROR(VLOOKUP(Despiece!A40,$S$2:$T$40,2,FALSE),"")))=0,"—",TRIM(IF($L42="Pequeña","Si no la cantean: cortar a "&amp;ROUND(Despiece!L40,2)&amp;" × "&amp;ROUND(Despiece!M40,2)&amp;" y cantear en el armado.","")&amp;" "&amp;IFERROR(VLOOKUP(Despiece!A40,$S$2:$T$40,2,FALSE),"")))</x:f>
        <x:v>—</x:v>
      </x:c>
    </x:row>
    <x:row r="43" ht="28.799999237060547">
      <x:c r="A43" s="40" t="str">
        <x:f>Despiece!A41</x:f>
        <x:v>P072</x:v>
      </x:c>
      <x:c r="B43" s="40" t="str">
        <x:f>Despiece!B41</x:f>
        <x:v>B4 Basurero y puerta 40</x:v>
      </x:c>
      <x:c r="C43" s="40" t="str">
        <x:f>Despiece!C41</x:f>
        <x:v>PROVISIONAL plataforma basurero; confirmar ancho por riel</x:v>
      </x:c>
      <x:c r="D43" s="40" t="str">
        <x:f>Despiece!D41</x:f>
        <x:v>Melamina Cartagena RH 15</x:v>
      </x:c>
      <x:c r="E43" s="41" t="n">
        <x:f>Despiece!G41</x:f>
        <x:v>1</x:v>
      </x:c>
      <x:c r="F43" s="45" t="n">
        <x:f>IF($Q$2="NO",ROUND(Despiece!L41,2),Despiece!E41)</x:f>
        <x:v>343</x:v>
      </x:c>
      <x:c r="G43" s="45" t="n">
        <x:f>IF($Q$2="NO",ROUND(Despiece!M41,2),Despiece!F41)</x:f>
        <x:v>550</x:v>
      </x:c>
      <x:c r="H43" s="42" t="str">
        <x:f>IF(Despiece!H41="2","R",IF(Despiece!H41="0.45","F","—"))</x:f>
        <x:v>F</x:v>
      </x:c>
      <x:c r="I43" s="42" t="str">
        <x:f>IF(Despiece!I41="2","R",IF(Despiece!I41="0.45","F","—"))</x:f>
        <x:v>F</x:v>
      </x:c>
      <x:c r="J43" s="42" t="str">
        <x:f>IF(Despiece!J41="2","R",IF(Despiece!J41="0.45","F","—"))</x:f>
        <x:v>F</x:v>
      </x:c>
      <x:c r="K43" s="42" t="str">
        <x:f>IF(Despiece!K41="2","R",IF(Despiece!K41="0.45","F","—"))</x:f>
        <x:v>F</x:v>
      </x:c>
      <x:c r="L43" s="42" t="str">
        <x:f>IF(SUMPRODUCT((Despiece!H41:K41="2")+(Despiece!H41:K41="0.45"))=0,"Sin canto",IF(OR(MIN(Despiece!L41,Despiece!M41)&lt;$Q$3,MAX(Despiece!L41,Despiece!M41)&lt;$Q$4),"Pequeña","Normal"))</x:f>
        <x:v>Normal</x:v>
      </x:c>
      <x:c r="M43" s="40" t="str">
        <x:f>Despiece!E41&amp;" × "&amp;Despiece!F41</x:f>
        <x:v>343 × 550</x:v>
      </x:c>
      <x:c r="N43" s="43" t="str">
        <x:f>IF(LEN(TRIM(IF($L43="Pequeña","Si no la cantean: cortar a "&amp;ROUND(Despiece!L41,2)&amp;" × "&amp;ROUND(Despiece!M41,2)&amp;" y cantear en el armado.","")&amp;" "&amp;IFERROR(VLOOKUP(Despiece!A41,$S$2:$T$40,2,FALSE),"")))=0,"—",TRIM(IF($L43="Pequeña","Si no la cantean: cortar a "&amp;ROUND(Despiece!L41,2)&amp;" × "&amp;ROUND(Despiece!M41,2)&amp;" y cantear en el armado.","")&amp;" "&amp;IFERROR(VLOOKUP(Despiece!A41,$S$2:$T$40,2,FALSE),"")))</x:f>
        <x:v>NO PEDIR: se corta en el armado de un sobrante, con el riel HRE126-55 y la bandeja en mano. Pedir a la sucursal que entregue los sobrantes.</x:v>
      </x:c>
    </x:row>
    <x:row r="44" ht="43.20000076293945">
      <x:c r="A44" s="40" t="str">
        <x:f>Despiece!A42</x:f>
        <x:v>P073</x:v>
      </x:c>
      <x:c r="B44" s="40" t="str">
        <x:f>Despiece!B42</x:f>
        <x:v>B4 Basurero y puerta 40</x:v>
      </x:c>
      <x:c r="C44" s="40" t="str">
        <x:f>Despiece!C42</x:f>
        <x:v>PROVISIONAL larguero bajo plataforma basurero</x:v>
      </x:c>
      <x:c r="D44" s="40" t="str">
        <x:f>Despiece!D42</x:f>
        <x:v>Melamina Cartagena RH 15</x:v>
      </x:c>
      <x:c r="E44" s="41" t="n">
        <x:f>Despiece!G42</x:f>
        <x:v>2</x:v>
      </x:c>
      <x:c r="F44" s="45" t="n">
        <x:f>IF($Q$2="NO",ROUND(Despiece!L42,2),Despiece!E42)</x:f>
        <x:v>550</x:v>
      </x:c>
      <x:c r="G44" s="45" t="n">
        <x:f>IF($Q$2="NO",ROUND(Despiece!M42,2),Despiece!F42)</x:f>
        <x:v>60</x:v>
      </x:c>
      <x:c r="H44" s="42" t="str">
        <x:f>IF(Despiece!H42="2","R",IF(Despiece!H42="0.45","F","—"))</x:f>
        <x:v>F</x:v>
      </x:c>
      <x:c r="I44" s="42" t="str">
        <x:f>IF(Despiece!I42="2","R",IF(Despiece!I42="0.45","F","—"))</x:f>
        <x:v>F</x:v>
      </x:c>
      <x:c r="J44" s="42" t="str">
        <x:f>IF(Despiece!J42="2","R",IF(Despiece!J42="0.45","F","—"))</x:f>
        <x:v>F</x:v>
      </x:c>
      <x:c r="K44" s="42" t="str">
        <x:f>IF(Despiece!K42="2","R",IF(Despiece!K42="0.45","F","—"))</x:f>
        <x:v>F</x:v>
      </x:c>
      <x:c r="L44" s="42" t="str">
        <x:f>IF(SUMPRODUCT((Despiece!H42:K42="2")+(Despiece!H42:K42="0.45"))=0,"Sin canto",IF(OR(MIN(Despiece!L42,Despiece!M42)&lt;$Q$3,MAX(Despiece!L42,Despiece!M42)&lt;$Q$4),"Pequeña","Normal"))</x:f>
        <x:v>Pequeña</x:v>
      </x:c>
      <x:c r="M44" s="40" t="str">
        <x:f>Despiece!E42&amp;" × "&amp;Despiece!F42</x:f>
        <x:v>550 × 60</x:v>
      </x:c>
      <x:c r="N44" s="43" t="str">
        <x:f>IF(LEN(TRIM(IF($L44="Pequeña","Si no la cantean: cortar a "&amp;ROUND(Despiece!L42,2)&amp;" × "&amp;ROUND(Despiece!M42,2)&amp;" y cantear en el armado.","")&amp;" "&amp;IFERROR(VLOOKUP(Despiece!A42,$S$2:$T$40,2,FALSE),"")))=0,"—",TRIM(IF($L44="Pequeña","Si no la cantean: cortar a "&amp;ROUND(Despiece!L42,2)&amp;" × "&amp;ROUND(Despiece!M42,2)&amp;" y cantear en el armado.","")&amp;" "&amp;IFERROR(VLOOKUP(Despiece!A42,$S$2:$T$40,2,FALSE),"")))</x:f>
        <x:v>Si no la cantean: cortar a 549.1 × 59.1 y cantear en el armado. NO PEDIR: se corta en el armado de un sobrante, con el riel HRE126-55 y la bandeja en mano. Pedir a la sucursal que entregue los sobrantes.</x:v>
      </x:c>
    </x:row>
    <x:row r="45" ht="43.20000076293945">
      <x:c r="A45" s="40" t="str">
        <x:f>Despiece!A43</x:f>
        <x:v>P074</x:v>
      </x:c>
      <x:c r="B45" s="40" t="str">
        <x:f>Despiece!B43</x:f>
        <x:v>B4 Basurero y puerta 40</x:v>
      </x:c>
      <x:c r="C45" s="40" t="str">
        <x:f>Despiece!C43</x:f>
        <x:v>PROVISIONAL travesaño bajo plataforma basurero</x:v>
      </x:c>
      <x:c r="D45" s="40" t="str">
        <x:f>Despiece!D43</x:f>
        <x:v>Melamina Cartagena RH 15</x:v>
      </x:c>
      <x:c r="E45" s="41" t="n">
        <x:f>Despiece!G43</x:f>
        <x:v>2</x:v>
      </x:c>
      <x:c r="F45" s="45" t="n">
        <x:f>IF($Q$2="NO",ROUND(Despiece!L43,2),Despiece!E43)</x:f>
        <x:v>313</x:v>
      </x:c>
      <x:c r="G45" s="45" t="n">
        <x:f>IF($Q$2="NO",ROUND(Despiece!M43,2),Despiece!F43)</x:f>
        <x:v>60</x:v>
      </x:c>
      <x:c r="H45" s="42" t="str">
        <x:f>IF(Despiece!H43="2","R",IF(Despiece!H43="0.45","F","—"))</x:f>
        <x:v>F</x:v>
      </x:c>
      <x:c r="I45" s="42" t="str">
        <x:f>IF(Despiece!I43="2","R",IF(Despiece!I43="0.45","F","—"))</x:f>
        <x:v>F</x:v>
      </x:c>
      <x:c r="J45" s="42" t="str">
        <x:f>IF(Despiece!J43="2","R",IF(Despiece!J43="0.45","F","—"))</x:f>
        <x:v>F</x:v>
      </x:c>
      <x:c r="K45" s="42" t="str">
        <x:f>IF(Despiece!K43="2","R",IF(Despiece!K43="0.45","F","—"))</x:f>
        <x:v>F</x:v>
      </x:c>
      <x:c r="L45" s="42" t="str">
        <x:f>IF(SUMPRODUCT((Despiece!H43:K43="2")+(Despiece!H43:K43="0.45"))=0,"Sin canto",IF(OR(MIN(Despiece!L43,Despiece!M43)&lt;$Q$3,MAX(Despiece!L43,Despiece!M43)&lt;$Q$4),"Pequeña","Normal"))</x:f>
        <x:v>Pequeña</x:v>
      </x:c>
      <x:c r="M45" s="40" t="str">
        <x:f>Despiece!E43&amp;" × "&amp;Despiece!F43</x:f>
        <x:v>313 × 60</x:v>
      </x:c>
      <x:c r="N45" s="43" t="str">
        <x:f>IF(LEN(TRIM(IF($L45="Pequeña","Si no la cantean: cortar a "&amp;ROUND(Despiece!L43,2)&amp;" × "&amp;ROUND(Despiece!M43,2)&amp;" y cantear en el armado.","")&amp;" "&amp;IFERROR(VLOOKUP(Despiece!A43,$S$2:$T$40,2,FALSE),"")))=0,"—",TRIM(IF($L45="Pequeña","Si no la cantean: cortar a "&amp;ROUND(Despiece!L43,2)&amp;" × "&amp;ROUND(Despiece!M43,2)&amp;" y cantear en el armado.","")&amp;" "&amp;IFERROR(VLOOKUP(Despiece!A43,$S$2:$T$40,2,FALSE),"")))</x:f>
        <x:v>Si no la cantean: cortar a 312.1 × 59.1 y cantear en el armado. NO PEDIR: se corta en el armado de un sobrante, con el riel HRE126-55 y la bandeja en mano. Pedir a la sucursal que entregue los sobrantes.</x:v>
      </x:c>
    </x:row>
    <x:row r="46">
      <x:c r="A46" s="40" t="str">
        <x:f>Despiece!A44</x:f>
        <x:v>P037</x:v>
      </x:c>
      <x:c r="B46" s="40" t="str">
        <x:f>Despiece!B44</x:f>
        <x:v>B6 Terminación</x:v>
      </x:c>
      <x:c r="C46" s="40" t="str">
        <x:f>Despiece!C44</x:f>
        <x:v>Costado de terminación</x:v>
      </x:c>
      <x:c r="D46" s="40" t="str">
        <x:f>Despiece!D44</x:f>
        <x:v>Melamina Cartagena RH 15</x:v>
      </x:c>
      <x:c r="E46" s="41" t="n">
        <x:f>Despiece!G44</x:f>
        <x:v>1</x:v>
      </x:c>
      <x:c r="F46" s="45" t="n">
        <x:f>IF($Q$2="NO",ROUND(Despiece!L44,2),Despiece!E44)</x:f>
        <x:v>882</x:v>
      </x:c>
      <x:c r="G46" s="45" t="n">
        <x:f>IF($Q$2="NO",ROUND(Despiece!M44,2),Despiece!F44)</x:f>
        <x:v>595</x:v>
      </x:c>
      <x:c r="H46" s="42" t="str">
        <x:f>IF(Despiece!H44="2","R",IF(Despiece!H44="0.45","F","—"))</x:f>
        <x:v>R</x:v>
      </x:c>
      <x:c r="I46" s="42" t="str">
        <x:f>IF(Despiece!I44="2","R",IF(Despiece!I44="0.45","F","—"))</x:f>
        <x:v>—</x:v>
      </x:c>
      <x:c r="J46" s="42" t="str">
        <x:f>IF(Despiece!J44="2","R",IF(Despiece!J44="0.45","F","—"))</x:f>
        <x:v>R</x:v>
      </x:c>
      <x:c r="K46" s="42" t="str">
        <x:f>IF(Despiece!K44="2","R",IF(Despiece!K44="0.45","F","—"))</x:f>
        <x:v>—</x:v>
      </x:c>
      <x:c r="L46" s="42" t="str">
        <x:f>IF(SUMPRODUCT((Despiece!H44:K44="2")+(Despiece!H44:K44="0.45"))=0,"Sin canto",IF(OR(MIN(Despiece!L44,Despiece!M44)&lt;$Q$3,MAX(Despiece!L44,Despiece!M44)&lt;$Q$4),"Pequeña","Normal"))</x:f>
        <x:v>Normal</x:v>
      </x:c>
      <x:c r="M46" s="40" t="str">
        <x:f>Despiece!E44&amp;" × "&amp;Despiece!F44</x:f>
        <x:v>882 × 595</x:v>
      </x:c>
      <x:c r="N46" s="43" t="str">
        <x:f>IF(LEN(TRIM(IF($L46="Pequeña","Si no la cantean: cortar a "&amp;ROUND(Despiece!L44,2)&amp;" × "&amp;ROUND(Despiece!M44,2)&amp;" y cantear en el armado.","")&amp;" "&amp;IFERROR(VLOOKUP(Despiece!A44,$S$2:$T$40,2,FALSE),"")))=0,"—",TRIM(IF($L46="Pequeña","Si no la cantean: cortar a "&amp;ROUND(Despiece!L44,2)&amp;" × "&amp;ROUND(Despiece!M44,2)&amp;" y cantear en el armado.","")&amp;" "&amp;IFERROR(VLOOKUP(Despiece!A44,$S$2:$T$40,2,FALSE),"")))</x:f>
        <x:v>—</x:v>
      </x:c>
    </x:row>
    <x:row r="47" ht="28.799999237060547">
      <x:c r="A47" s="40" t="str">
        <x:f>Despiece!A45</x:f>
        <x:v>P038</x:v>
      </x:c>
      <x:c r="B47" s="40" t="str">
        <x:f>Despiece!B45</x:f>
        <x:v>B6 Terminación</x:v>
      </x:c>
      <x:c r="C47" s="40" t="str">
        <x:f>Despiece!C45</x:f>
        <x:v>Zócalo retranqueado (dos tramos)</x:v>
      </x:c>
      <x:c r="D47" s="40" t="str">
        <x:f>Despiece!D45</x:f>
        <x:v>Melamina Cartagena RH 15</x:v>
      </x:c>
      <x:c r="E47" s="41" t="n">
        <x:f>Despiece!G45</x:f>
        <x:v>2</x:v>
      </x:c>
      <x:c r="F47" s="45" t="n">
        <x:f>IF($Q$2="NO",ROUND(Despiece!L45,2),Despiece!E45)</x:f>
        <x:v>1275</x:v>
      </x:c>
      <x:c r="G47" s="45" t="n">
        <x:f>IF($Q$2="NO",ROUND(Despiece!M45,2),Despiece!F45)</x:f>
        <x:v>97</x:v>
      </x:c>
      <x:c r="H47" s="42" t="str">
        <x:f>IF(Despiece!H45="2","R",IF(Despiece!H45="0.45","F","—"))</x:f>
        <x:v>F</x:v>
      </x:c>
      <x:c r="I47" s="42" t="str">
        <x:f>IF(Despiece!I45="2","R",IF(Despiece!I45="0.45","F","—"))</x:f>
        <x:v>F</x:v>
      </x:c>
      <x:c r="J47" s="42" t="str">
        <x:f>IF(Despiece!J45="2","R",IF(Despiece!J45="0.45","F","—"))</x:f>
        <x:v>F</x:v>
      </x:c>
      <x:c r="K47" s="42" t="str">
        <x:f>IF(Despiece!K45="2","R",IF(Despiece!K45="0.45","F","—"))</x:f>
        <x:v>F</x:v>
      </x:c>
      <x:c r="L47" s="42" t="str">
        <x:f>IF(SUMPRODUCT((Despiece!H45:K45="2")+(Despiece!H45:K45="0.45"))=0,"Sin canto",IF(OR(MIN(Despiece!L45,Despiece!M45)&lt;$Q$3,MAX(Despiece!L45,Despiece!M45)&lt;$Q$4),"Pequeña","Normal"))</x:f>
        <x:v>Pequeña</x:v>
      </x:c>
      <x:c r="M47" s="40" t="str">
        <x:f>Despiece!E45&amp;" × "&amp;Despiece!F45</x:f>
        <x:v>1275 × 97</x:v>
      </x:c>
      <x:c r="N47" s="43" t="str">
        <x:f>IF(LEN(TRIM(IF($L47="Pequeña","Si no la cantean: cortar a "&amp;ROUND(Despiece!L45,2)&amp;" × "&amp;ROUND(Despiece!M45,2)&amp;" y cantear en el armado.","")&amp;" "&amp;IFERROR(VLOOKUP(Despiece!A45,$S$2:$T$40,2,FALSE),"")))=0,"—",TRIM(IF($L47="Pequeña","Si no la cantean: cortar a "&amp;ROUND(Despiece!L45,2)&amp;" × "&amp;ROUND(Despiece!M45,2)&amp;" y cantear en el armado.","")&amp;" "&amp;IFERROR(VLOOKUP(Despiece!A45,$S$2:$T$40,2,FALSE),"")))</x:f>
        <x:v>Si no la cantean: cortar a 1274.1 × 96.1 y cantear en el armado.</x:v>
      </x:c>
    </x:row>
    <x:row r="48">
      <x:c r="A48" s="40" t="str">
        <x:f>Despiece!A46</x:f>
        <x:v>P039</x:v>
      </x:c>
      <x:c r="B48" s="40" t="str">
        <x:f>Despiece!B46</x:f>
        <x:v>S1 Alacena 19,5</x:v>
      </x:c>
      <x:c r="C48" s="40" t="str">
        <x:f>Despiece!C46</x:f>
        <x:v>Lateral</x:v>
      </x:c>
      <x:c r="D48" s="40" t="str">
        <x:f>Despiece!D46</x:f>
        <x:v>Melamina Cartagena RH 15</x:v>
      </x:c>
      <x:c r="E48" s="41" t="n">
        <x:f>Despiece!G46</x:f>
        <x:v>2</x:v>
      </x:c>
      <x:c r="F48" s="45" t="n">
        <x:f>IF($Q$2="NO",ROUND(Despiece!L46,2),Despiece!E46)</x:f>
        <x:v>700</x:v>
      </x:c>
      <x:c r="G48" s="45" t="n">
        <x:f>IF($Q$2="NO",ROUND(Despiece!M46,2),Despiece!F46)</x:f>
        <x:v>320</x:v>
      </x:c>
      <x:c r="H48" s="42" t="str">
        <x:f>IF(Despiece!H46="2","R",IF(Despiece!H46="0.45","F","—"))</x:f>
        <x:v>F</x:v>
      </x:c>
      <x:c r="I48" s="42" t="str">
        <x:f>IF(Despiece!I46="2","R",IF(Despiece!I46="0.45","F","—"))</x:f>
        <x:v>—</x:v>
      </x:c>
      <x:c r="J48" s="42" t="str">
        <x:f>IF(Despiece!J46="2","R",IF(Despiece!J46="0.45","F","—"))</x:f>
        <x:v>F</x:v>
      </x:c>
      <x:c r="K48" s="42" t="str">
        <x:f>IF(Despiece!K46="2","R",IF(Despiece!K46="0.45","F","—"))</x:f>
        <x:v>F</x:v>
      </x:c>
      <x:c r="L48" s="42" t="str">
        <x:f>IF(SUMPRODUCT((Despiece!H46:K46="2")+(Despiece!H46:K46="0.45"))=0,"Sin canto",IF(OR(MIN(Despiece!L46,Despiece!M46)&lt;$Q$3,MAX(Despiece!L46,Despiece!M46)&lt;$Q$4),"Pequeña","Normal"))</x:f>
        <x:v>Normal</x:v>
      </x:c>
      <x:c r="M48" s="40" t="str">
        <x:f>Despiece!E46&amp;" × "&amp;Despiece!F46</x:f>
        <x:v>700 × 320</x:v>
      </x:c>
      <x:c r="N48" s="43" t="str">
        <x:f>IF(LEN(TRIM(IF($L48="Pequeña","Si no la cantean: cortar a "&amp;ROUND(Despiece!L46,2)&amp;" × "&amp;ROUND(Despiece!M46,2)&amp;" y cantear en el armado.","")&amp;" "&amp;IFERROR(VLOOKUP(Despiece!A46,$S$2:$T$40,2,FALSE),"")))=0,"—",TRIM(IF($L48="Pequeña","Si no la cantean: cortar a "&amp;ROUND(Despiece!L46,2)&amp;" × "&amp;ROUND(Despiece!M46,2)&amp;" y cantear en el armado.","")&amp;" "&amp;IFERROR(VLOOKUP(Despiece!A46,$S$2:$T$40,2,FALSE),"")))</x:f>
        <x:v>—</x:v>
      </x:c>
    </x:row>
    <x:row r="49">
      <x:c r="A49" s="40" t="str">
        <x:f>Despiece!A47</x:f>
        <x:v>P040</x:v>
      </x:c>
      <x:c r="B49" s="40" t="str">
        <x:f>Despiece!B47</x:f>
        <x:v>S1 Alacena 19,5</x:v>
      </x:c>
      <x:c r="C49" s="40" t="str">
        <x:f>Despiece!C47</x:f>
        <x:v>Techo</x:v>
      </x:c>
      <x:c r="D49" s="40" t="str">
        <x:f>Despiece!D47</x:f>
        <x:v>Melamina Cartagena RH 15</x:v>
      </x:c>
      <x:c r="E49" s="41" t="n">
        <x:f>Despiece!G47</x:f>
        <x:v>1</x:v>
      </x:c>
      <x:c r="F49" s="45" t="n">
        <x:f>IF($Q$2="NO",ROUND(Despiece!L47,2),Despiece!E47)</x:f>
        <x:v>165</x:v>
      </x:c>
      <x:c r="G49" s="45" t="n">
        <x:f>IF($Q$2="NO",ROUND(Despiece!M47,2),Despiece!F47)</x:f>
        <x:v>320</x:v>
      </x:c>
      <x:c r="H49" s="42" t="str">
        <x:f>IF(Despiece!H47="2","R",IF(Despiece!H47="0.45","F","—"))</x:f>
        <x:v>F</x:v>
      </x:c>
      <x:c r="I49" s="42" t="str">
        <x:f>IF(Despiece!I47="2","R",IF(Despiece!I47="0.45","F","—"))</x:f>
        <x:v>—</x:v>
      </x:c>
      <x:c r="J49" s="42" t="str">
        <x:f>IF(Despiece!J47="2","R",IF(Despiece!J47="0.45","F","—"))</x:f>
        <x:v>—</x:v>
      </x:c>
      <x:c r="K49" s="42" t="str">
        <x:f>IF(Despiece!K47="2","R",IF(Despiece!K47="0.45","F","—"))</x:f>
        <x:v>—</x:v>
      </x:c>
      <x:c r="L49" s="42" t="str">
        <x:f>IF(SUMPRODUCT((Despiece!H47:K47="2")+(Despiece!H47:K47="0.45"))=0,"Sin canto",IF(OR(MIN(Despiece!L47,Despiece!M47)&lt;$Q$3,MAX(Despiece!L47,Despiece!M47)&lt;$Q$4),"Pequeña","Normal"))</x:f>
        <x:v>Normal</x:v>
      </x:c>
      <x:c r="M49" s="40" t="str">
        <x:f>Despiece!E47&amp;" × "&amp;Despiece!F47</x:f>
        <x:v>165 × 320</x:v>
      </x:c>
      <x:c r="N49" s="43" t="str">
        <x:f>IF(LEN(TRIM(IF($L49="Pequeña","Si no la cantean: cortar a "&amp;ROUND(Despiece!L47,2)&amp;" × "&amp;ROUND(Despiece!M47,2)&amp;" y cantear en el armado.","")&amp;" "&amp;IFERROR(VLOOKUP(Despiece!A47,$S$2:$T$40,2,FALSE),"")))=0,"—",TRIM(IF($L49="Pequeña","Si no la cantean: cortar a "&amp;ROUND(Despiece!L47,2)&amp;" × "&amp;ROUND(Despiece!M47,2)&amp;" y cantear en el armado.","")&amp;" "&amp;IFERROR(VLOOKUP(Despiece!A47,$S$2:$T$40,2,FALSE),"")))</x:f>
        <x:v>—</x:v>
      </x:c>
    </x:row>
    <x:row r="50">
      <x:c r="A50" s="40" t="str">
        <x:f>Despiece!A48</x:f>
        <x:v>P041</x:v>
      </x:c>
      <x:c r="B50" s="40" t="str">
        <x:f>Despiece!B48</x:f>
        <x:v>S1 Alacena 19,5</x:v>
      </x:c>
      <x:c r="C50" s="40" t="str">
        <x:f>Despiece!C48</x:f>
        <x:v>Piso</x:v>
      </x:c>
      <x:c r="D50" s="40" t="str">
        <x:f>Despiece!D48</x:f>
        <x:v>Melamina Cartagena RH 15</x:v>
      </x:c>
      <x:c r="E50" s="41" t="n">
        <x:f>Despiece!G48</x:f>
        <x:v>1</x:v>
      </x:c>
      <x:c r="F50" s="45" t="n">
        <x:f>IF($Q$2="NO",ROUND(Despiece!L48,2),Despiece!E48)</x:f>
        <x:v>165</x:v>
      </x:c>
      <x:c r="G50" s="45" t="n">
        <x:f>IF($Q$2="NO",ROUND(Despiece!M48,2),Despiece!F48)</x:f>
        <x:v>320</x:v>
      </x:c>
      <x:c r="H50" s="42" t="str">
        <x:f>IF(Despiece!H48="2","R",IF(Despiece!H48="0.45","F","—"))</x:f>
        <x:v>F</x:v>
      </x:c>
      <x:c r="I50" s="42" t="str">
        <x:f>IF(Despiece!I48="2","R",IF(Despiece!I48="0.45","F","—"))</x:f>
        <x:v>—</x:v>
      </x:c>
      <x:c r="J50" s="42" t="str">
        <x:f>IF(Despiece!J48="2","R",IF(Despiece!J48="0.45","F","—"))</x:f>
        <x:v>—</x:v>
      </x:c>
      <x:c r="K50" s="42" t="str">
        <x:f>IF(Despiece!K48="2","R",IF(Despiece!K48="0.45","F","—"))</x:f>
        <x:v>—</x:v>
      </x:c>
      <x:c r="L50" s="42" t="str">
        <x:f>IF(SUMPRODUCT((Despiece!H48:K48="2")+(Despiece!H48:K48="0.45"))=0,"Sin canto",IF(OR(MIN(Despiece!L48,Despiece!M48)&lt;$Q$3,MAX(Despiece!L48,Despiece!M48)&lt;$Q$4),"Pequeña","Normal"))</x:f>
        <x:v>Normal</x:v>
      </x:c>
      <x:c r="M50" s="40" t="str">
        <x:f>Despiece!E48&amp;" × "&amp;Despiece!F48</x:f>
        <x:v>165 × 320</x:v>
      </x:c>
      <x:c r="N50" s="43" t="str">
        <x:f>IF(LEN(TRIM(IF($L50="Pequeña","Si no la cantean: cortar a "&amp;ROUND(Despiece!L48,2)&amp;" × "&amp;ROUND(Despiece!M48,2)&amp;" y cantear en el armado.","")&amp;" "&amp;IFERROR(VLOOKUP(Despiece!A48,$S$2:$T$40,2,FALSE),"")))=0,"—",TRIM(IF($L50="Pequeña","Si no la cantean: cortar a "&amp;ROUND(Despiece!L48,2)&amp;" × "&amp;ROUND(Despiece!M48,2)&amp;" y cantear en el armado.","")&amp;" "&amp;IFERROR(VLOOKUP(Despiece!A48,$S$2:$T$40,2,FALSE),"")))</x:f>
        <x:v>—</x:v>
      </x:c>
    </x:row>
    <x:row r="51">
      <x:c r="A51" s="40" t="str">
        <x:f>Despiece!A49</x:f>
        <x:v>P042</x:v>
      </x:c>
      <x:c r="B51" s="40" t="str">
        <x:f>Despiece!B49</x:f>
        <x:v>S1 Alacena 19,5</x:v>
      </x:c>
      <x:c r="C51" s="40" t="str">
        <x:f>Despiece!C49</x:f>
        <x:v>Fondo</x:v>
      </x:c>
      <x:c r="D51" s="40" t="str">
        <x:f>Despiece!D49</x:f>
        <x:v>Fondo melamina 6</x:v>
      </x:c>
      <x:c r="E51" s="41" t="n">
        <x:f>Despiece!G49</x:f>
        <x:v>1</x:v>
      </x:c>
      <x:c r="F51" s="45" t="n">
        <x:f>IF($Q$2="NO",ROUND(Despiece!L49,2),Despiece!E49)</x:f>
        <x:v>191</x:v>
      </x:c>
      <x:c r="G51" s="45" t="n">
        <x:f>IF($Q$2="NO",ROUND(Despiece!M49,2),Despiece!F49)</x:f>
        <x:v>696</x:v>
      </x:c>
      <x:c r="H51" s="42" t="str">
        <x:f>IF(Despiece!H49="2","R",IF(Despiece!H49="0.45","F","—"))</x:f>
        <x:v>—</x:v>
      </x:c>
      <x:c r="I51" s="42" t="str">
        <x:f>IF(Despiece!I49="2","R",IF(Despiece!I49="0.45","F","—"))</x:f>
        <x:v>—</x:v>
      </x:c>
      <x:c r="J51" s="42" t="str">
        <x:f>IF(Despiece!J49="2","R",IF(Despiece!J49="0.45","F","—"))</x:f>
        <x:v>—</x:v>
      </x:c>
      <x:c r="K51" s="42" t="str">
        <x:f>IF(Despiece!K49="2","R",IF(Despiece!K49="0.45","F","—"))</x:f>
        <x:v>—</x:v>
      </x:c>
      <x:c r="L51" s="42" t="str">
        <x:f>IF(SUMPRODUCT((Despiece!H49:K49="2")+(Despiece!H49:K49="0.45"))=0,"Sin canto",IF(OR(MIN(Despiece!L49,Despiece!M49)&lt;$Q$3,MAX(Despiece!L49,Despiece!M49)&lt;$Q$4),"Pequeña","Normal"))</x:f>
        <x:v>Sin canto</x:v>
      </x:c>
      <x:c r="M51" s="40" t="str">
        <x:f>Despiece!E49&amp;" × "&amp;Despiece!F49</x:f>
        <x:v>191 × 696</x:v>
      </x:c>
      <x:c r="N51" s="43" t="str">
        <x:f>IF(LEN(TRIM(IF($L51="Pequeña","Si no la cantean: cortar a "&amp;ROUND(Despiece!L49,2)&amp;" × "&amp;ROUND(Despiece!M49,2)&amp;" y cantear en el armado.","")&amp;" "&amp;IFERROR(VLOOKUP(Despiece!A49,$S$2:$T$40,2,FALSE),"")))=0,"—",TRIM(IF($L51="Pequeña","Si no la cantean: cortar a "&amp;ROUND(Despiece!L49,2)&amp;" × "&amp;ROUND(Despiece!M49,2)&amp;" y cantear en el armado.","")&amp;" "&amp;IFERROR(VLOOKUP(Despiece!A49,$S$2:$T$40,2,FALSE),"")))</x:f>
        <x:v>—</x:v>
      </x:c>
    </x:row>
    <x:row r="52">
      <x:c r="A52" s="40" t="str">
        <x:f>Despiece!A50</x:f>
        <x:v>P043</x:v>
      </x:c>
      <x:c r="B52" s="40" t="str">
        <x:f>Despiece!B50</x:f>
        <x:v>S1 Alacena 19,5</x:v>
      </x:c>
      <x:c r="C52" s="40" t="str">
        <x:f>Despiece!C50</x:f>
        <x:v>Entrepaño regulable</x:v>
      </x:c>
      <x:c r="D52" s="40" t="str">
        <x:f>Despiece!D50</x:f>
        <x:v>Melamina Cartagena RH 15</x:v>
      </x:c>
      <x:c r="E52" s="41" t="n">
        <x:f>Despiece!G50</x:f>
        <x:v>1</x:v>
      </x:c>
      <x:c r="F52" s="45" t="n">
        <x:f>IF($Q$2="NO",ROUND(Despiece!L50,2),Despiece!E50)</x:f>
        <x:v>163</x:v>
      </x:c>
      <x:c r="G52" s="45" t="n">
        <x:f>IF($Q$2="NO",ROUND(Despiece!M50,2),Despiece!F50)</x:f>
        <x:v>300</x:v>
      </x:c>
      <x:c r="H52" s="42" t="str">
        <x:f>IF(Despiece!H50="2","R",IF(Despiece!H50="0.45","F","—"))</x:f>
        <x:v>F</x:v>
      </x:c>
      <x:c r="I52" s="42" t="str">
        <x:f>IF(Despiece!I50="2","R",IF(Despiece!I50="0.45","F","—"))</x:f>
        <x:v>—</x:v>
      </x:c>
      <x:c r="J52" s="42" t="str">
        <x:f>IF(Despiece!J50="2","R",IF(Despiece!J50="0.45","F","—"))</x:f>
        <x:v>—</x:v>
      </x:c>
      <x:c r="K52" s="42" t="str">
        <x:f>IF(Despiece!K50="2","R",IF(Despiece!K50="0.45","F","—"))</x:f>
        <x:v>—</x:v>
      </x:c>
      <x:c r="L52" s="42" t="str">
        <x:f>IF(SUMPRODUCT((Despiece!H50:K50="2")+(Despiece!H50:K50="0.45"))=0,"Sin canto",IF(OR(MIN(Despiece!L50,Despiece!M50)&lt;$Q$3,MAX(Despiece!L50,Despiece!M50)&lt;$Q$4),"Pequeña","Normal"))</x:f>
        <x:v>Normal</x:v>
      </x:c>
      <x:c r="M52" s="40" t="str">
        <x:f>Despiece!E50&amp;" × "&amp;Despiece!F50</x:f>
        <x:v>163 × 300</x:v>
      </x:c>
      <x:c r="N52" s="43" t="str">
        <x:f>IF(LEN(TRIM(IF($L52="Pequeña","Si no la cantean: cortar a "&amp;ROUND(Despiece!L50,2)&amp;" × "&amp;ROUND(Despiece!M50,2)&amp;" y cantear en el armado.","")&amp;" "&amp;IFERROR(VLOOKUP(Despiece!A50,$S$2:$T$40,2,FALSE),"")))=0,"—",TRIM(IF($L52="Pequeña","Si no la cantean: cortar a "&amp;ROUND(Despiece!L50,2)&amp;" × "&amp;ROUND(Despiece!M50,2)&amp;" y cantear en el armado.","")&amp;" "&amp;IFERROR(VLOOKUP(Despiece!A50,$S$2:$T$40,2,FALSE),"")))</x:f>
        <x:v>—</x:v>
      </x:c>
    </x:row>
    <x:row r="53">
      <x:c r="A53" s="40" t="str">
        <x:f>Despiece!A51</x:f>
        <x:v>P044</x:v>
      </x:c>
      <x:c r="B53" s="40" t="str">
        <x:f>Despiece!B51</x:f>
        <x:v>S1 Alacena 19,5</x:v>
      </x:c>
      <x:c r="C53" s="40" t="str">
        <x:f>Despiece!C51</x:f>
        <x:v>Puerta</x:v>
      </x:c>
      <x:c r="D53" s="40" t="str">
        <x:f>Despiece!D51</x:f>
        <x:v>Melamina Cartagena RH 15</x:v>
      </x:c>
      <x:c r="E53" s="41" t="n">
        <x:f>Despiece!G51</x:f>
        <x:v>1</x:v>
      </x:c>
      <x:c r="F53" s="45" t="n">
        <x:f>IF($Q$2="NO",ROUND(Despiece!L51,2),Despiece!E51)</x:f>
        <x:v>717</x:v>
      </x:c>
      <x:c r="G53" s="45" t="n">
        <x:f>IF($Q$2="NO",ROUND(Despiece!M51,2),Despiece!F51)</x:f>
        <x:v>192</x:v>
      </x:c>
      <x:c r="H53" s="42" t="str">
        <x:f>IF(Despiece!H51="2","R",IF(Despiece!H51="0.45","F","—"))</x:f>
        <x:v>R</x:v>
      </x:c>
      <x:c r="I53" s="42" t="str">
        <x:f>IF(Despiece!I51="2","R",IF(Despiece!I51="0.45","F","—"))</x:f>
        <x:v>R</x:v>
      </x:c>
      <x:c r="J53" s="42" t="str">
        <x:f>IF(Despiece!J51="2","R",IF(Despiece!J51="0.45","F","—"))</x:f>
        <x:v>R</x:v>
      </x:c>
      <x:c r="K53" s="42" t="str">
        <x:f>IF(Despiece!K51="2","R",IF(Despiece!K51="0.45","F","—"))</x:f>
        <x:v>R</x:v>
      </x:c>
      <x:c r="L53" s="42" t="str">
        <x:f>IF(SUMPRODUCT((Despiece!H51:K51="2")+(Despiece!H51:K51="0.45"))=0,"Sin canto",IF(OR(MIN(Despiece!L51,Despiece!M51)&lt;$Q$3,MAX(Despiece!L51,Despiece!M51)&lt;$Q$4),"Pequeña","Normal"))</x:f>
        <x:v>Normal</x:v>
      </x:c>
      <x:c r="M53" s="40" t="str">
        <x:f>Despiece!E51&amp;" × "&amp;Despiece!F51</x:f>
        <x:v>717 × 192</x:v>
      </x:c>
      <x:c r="N53" s="43" t="str">
        <x:f>IF(LEN(TRIM(IF($L53="Pequeña","Si no la cantean: cortar a "&amp;ROUND(Despiece!L51,2)&amp;" × "&amp;ROUND(Despiece!M51,2)&amp;" y cantear en el armado.","")&amp;" "&amp;IFERROR(VLOOKUP(Despiece!A51,$S$2:$T$40,2,FALSE),"")))=0,"—",TRIM(IF($L53="Pequeña","Si no la cantean: cortar a "&amp;ROUND(Despiece!L51,2)&amp;" × "&amp;ROUND(Despiece!M51,2)&amp;" y cantear en el armado.","")&amp;" "&amp;IFERROR(VLOOKUP(Despiece!A51,$S$2:$T$40,2,FALSE),"")))</x:f>
        <x:v>—</x:v>
      </x:c>
    </x:row>
    <x:row r="54">
      <x:c r="A54" s="40" t="str">
        <x:f>Despiece!A52</x:f>
        <x:v>P045</x:v>
      </x:c>
      <x:c r="B54" s="40" t="str">
        <x:f>Despiece!B52</x:f>
        <x:v>S2 Gabinete ducto 60</x:v>
      </x:c>
      <x:c r="C54" s="40" t="str">
        <x:f>Despiece!C52</x:f>
        <x:v>Lateral</x:v>
      </x:c>
      <x:c r="D54" s="40" t="str">
        <x:f>Despiece!D52</x:f>
        <x:v>Melamina Cartagena RH 15</x:v>
      </x:c>
      <x:c r="E54" s="41" t="n">
        <x:f>Despiece!G52</x:f>
        <x:v>2</x:v>
      </x:c>
      <x:c r="F54" s="45" t="n">
        <x:f>IF($Q$2="NO",ROUND(Despiece!L52,2),Despiece!E52)</x:f>
        <x:v>350</x:v>
      </x:c>
      <x:c r="G54" s="45" t="n">
        <x:f>IF($Q$2="NO",ROUND(Despiece!M52,2),Despiece!F52)</x:f>
        <x:v>320</x:v>
      </x:c>
      <x:c r="H54" s="42" t="str">
        <x:f>IF(Despiece!H52="2","R",IF(Despiece!H52="0.45","F","—"))</x:f>
        <x:v>F</x:v>
      </x:c>
      <x:c r="I54" s="42" t="str">
        <x:f>IF(Despiece!I52="2","R",IF(Despiece!I52="0.45","F","—"))</x:f>
        <x:v>—</x:v>
      </x:c>
      <x:c r="J54" s="42" t="str">
        <x:f>IF(Despiece!J52="2","R",IF(Despiece!J52="0.45","F","—"))</x:f>
        <x:v>F</x:v>
      </x:c>
      <x:c r="K54" s="42" t="str">
        <x:f>IF(Despiece!K52="2","R",IF(Despiece!K52="0.45","F","—"))</x:f>
        <x:v>F</x:v>
      </x:c>
      <x:c r="L54" s="42" t="str">
        <x:f>IF(SUMPRODUCT((Despiece!H52:K52="2")+(Despiece!H52:K52="0.45"))=0,"Sin canto",IF(OR(MIN(Despiece!L52,Despiece!M52)&lt;$Q$3,MAX(Despiece!L52,Despiece!M52)&lt;$Q$4),"Pequeña","Normal"))</x:f>
        <x:v>Normal</x:v>
      </x:c>
      <x:c r="M54" s="40" t="str">
        <x:f>Despiece!E52&amp;" × "&amp;Despiece!F52</x:f>
        <x:v>350 × 320</x:v>
      </x:c>
      <x:c r="N54" s="43" t="str">
        <x:f>IF(LEN(TRIM(IF($L54="Pequeña","Si no la cantean: cortar a "&amp;ROUND(Despiece!L52,2)&amp;" × "&amp;ROUND(Despiece!M52,2)&amp;" y cantear en el armado.","")&amp;" "&amp;IFERROR(VLOOKUP(Despiece!A52,$S$2:$T$40,2,FALSE),"")))=0,"—",TRIM(IF($L54="Pequeña","Si no la cantean: cortar a "&amp;ROUND(Despiece!L52,2)&amp;" × "&amp;ROUND(Despiece!M52,2)&amp;" y cantear en el armado.","")&amp;" "&amp;IFERROR(VLOOKUP(Despiece!A52,$S$2:$T$40,2,FALSE),"")))</x:f>
        <x:v>—</x:v>
      </x:c>
    </x:row>
    <x:row r="55" ht="28.799999237060547">
      <x:c r="A55" s="40" t="str">
        <x:f>Despiece!A53</x:f>
        <x:v>P046</x:v>
      </x:c>
      <x:c r="B55" s="40" t="str">
        <x:f>Despiece!B53</x:f>
        <x:v>S2 Gabinete ducto 60</x:v>
      </x:c>
      <x:c r="C55" s="40" t="str">
        <x:f>Despiece!C53</x:f>
        <x:v>Techo (perforar solo si el ducto sale hacia arriba; definir con manual)</x:v>
      </x:c>
      <x:c r="D55" s="40" t="str">
        <x:f>Despiece!D53</x:f>
        <x:v>Melamina Cartagena RH 15</x:v>
      </x:c>
      <x:c r="E55" s="41" t="n">
        <x:f>Despiece!G53</x:f>
        <x:v>1</x:v>
      </x:c>
      <x:c r="F55" s="45" t="n">
        <x:f>IF($Q$2="NO",ROUND(Despiece!L53,2),Despiece!E53)</x:f>
        <x:v>570</x:v>
      </x:c>
      <x:c r="G55" s="45" t="n">
        <x:f>IF($Q$2="NO",ROUND(Despiece!M53,2),Despiece!F53)</x:f>
        <x:v>320</x:v>
      </x:c>
      <x:c r="H55" s="42" t="str">
        <x:f>IF(Despiece!H53="2","R",IF(Despiece!H53="0.45","F","—"))</x:f>
        <x:v>F</x:v>
      </x:c>
      <x:c r="I55" s="42" t="str">
        <x:f>IF(Despiece!I53="2","R",IF(Despiece!I53="0.45","F","—"))</x:f>
        <x:v>—</x:v>
      </x:c>
      <x:c r="J55" s="42" t="str">
        <x:f>IF(Despiece!J53="2","R",IF(Despiece!J53="0.45","F","—"))</x:f>
        <x:v>—</x:v>
      </x:c>
      <x:c r="K55" s="42" t="str">
        <x:f>IF(Despiece!K53="2","R",IF(Despiece!K53="0.45","F","—"))</x:f>
        <x:v>—</x:v>
      </x:c>
      <x:c r="L55" s="42" t="str">
        <x:f>IF(SUMPRODUCT((Despiece!H53:K53="2")+(Despiece!H53:K53="0.45"))=0,"Sin canto",IF(OR(MIN(Despiece!L53,Despiece!M53)&lt;$Q$3,MAX(Despiece!L53,Despiece!M53)&lt;$Q$4),"Pequeña","Normal"))</x:f>
        <x:v>Normal</x:v>
      </x:c>
      <x:c r="M55" s="40" t="str">
        <x:f>Despiece!E53&amp;" × "&amp;Despiece!F53</x:f>
        <x:v>570 × 320</x:v>
      </x:c>
      <x:c r="N55" s="43" t="str">
        <x:f>IF(LEN(TRIM(IF($L55="Pequeña","Si no la cantean: cortar a "&amp;ROUND(Despiece!L53,2)&amp;" × "&amp;ROUND(Despiece!M53,2)&amp;" y cantear en el armado.","")&amp;" "&amp;IFERROR(VLOOKUP(Despiece!A53,$S$2:$T$40,2,FALSE),"")))=0,"—",TRIM(IF($L55="Pequeña","Si no la cantean: cortar a "&amp;ROUND(Despiece!L53,2)&amp;" × "&amp;ROUND(Despiece!M53,2)&amp;" y cantear en el armado.","")&amp;" "&amp;IFERROR(VLOOKUP(Despiece!A53,$S$2:$T$40,2,FALSE),"")))</x:f>
        <x:v>Perforación del ducto en obra, según manual de la campana.</x:v>
      </x:c>
    </x:row>
    <x:row r="56" ht="28.799999237060547">
      <x:c r="A56" s="40" t="str">
        <x:f>Despiece!A54</x:f>
        <x:v>P047</x:v>
      </x:c>
      <x:c r="B56" s="40" t="str">
        <x:f>Despiece!B54</x:f>
        <x:v>S2 Gabinete ducto 60</x:v>
      </x:c>
      <x:c r="C56" s="40" t="str">
        <x:f>Despiece!C54</x:f>
        <x:v>Piso elevado 40 mm para agarre inferior; perforar para ducto (diámetro y posición según manual de campana)</x:v>
      </x:c>
      <x:c r="D56" s="40" t="str">
        <x:f>Despiece!D54</x:f>
        <x:v>Melamina Cartagena RH 15</x:v>
      </x:c>
      <x:c r="E56" s="41" t="n">
        <x:f>Despiece!G54</x:f>
        <x:v>1</x:v>
      </x:c>
      <x:c r="F56" s="45" t="n">
        <x:f>IF($Q$2="NO",ROUND(Despiece!L54,2),Despiece!E54)</x:f>
        <x:v>570</x:v>
      </x:c>
      <x:c r="G56" s="45" t="n">
        <x:f>IF($Q$2="NO",ROUND(Despiece!M54,2),Despiece!F54)</x:f>
        <x:v>320</x:v>
      </x:c>
      <x:c r="H56" s="42" t="str">
        <x:f>IF(Despiece!H54="2","R",IF(Despiece!H54="0.45","F","—"))</x:f>
        <x:v>F</x:v>
      </x:c>
      <x:c r="I56" s="42" t="str">
        <x:f>IF(Despiece!I54="2","R",IF(Despiece!I54="0.45","F","—"))</x:f>
        <x:v>—</x:v>
      </x:c>
      <x:c r="J56" s="42" t="str">
        <x:f>IF(Despiece!J54="2","R",IF(Despiece!J54="0.45","F","—"))</x:f>
        <x:v>—</x:v>
      </x:c>
      <x:c r="K56" s="42" t="str">
        <x:f>IF(Despiece!K54="2","R",IF(Despiece!K54="0.45","F","—"))</x:f>
        <x:v>—</x:v>
      </x:c>
      <x:c r="L56" s="42" t="str">
        <x:f>IF(SUMPRODUCT((Despiece!H54:K54="2")+(Despiece!H54:K54="0.45"))=0,"Sin canto",IF(OR(MIN(Despiece!L54,Despiece!M54)&lt;$Q$3,MAX(Despiece!L54,Despiece!M54)&lt;$Q$4),"Pequeña","Normal"))</x:f>
        <x:v>Normal</x:v>
      </x:c>
      <x:c r="M56" s="40" t="str">
        <x:f>Despiece!E54&amp;" × "&amp;Despiece!F54</x:f>
        <x:v>570 × 320</x:v>
      </x:c>
      <x:c r="N56" s="43" t="str">
        <x:f>IF(LEN(TRIM(IF($L56="Pequeña","Si no la cantean: cortar a "&amp;ROUND(Despiece!L54,2)&amp;" × "&amp;ROUND(Despiece!M54,2)&amp;" y cantear en el armado.","")&amp;" "&amp;IFERROR(VLOOKUP(Despiece!A54,$S$2:$T$40,2,FALSE),"")))=0,"—",TRIM(IF($L56="Pequeña","Si no la cantean: cortar a "&amp;ROUND(Despiece!L54,2)&amp;" × "&amp;ROUND(Despiece!M54,2)&amp;" y cantear en el armado.","")&amp;" "&amp;IFERROR(VLOOKUP(Despiece!A54,$S$2:$T$40,2,FALSE),"")))</x:f>
        <x:v>Perforación del ducto en obra, según manual de la campana.</x:v>
      </x:c>
    </x:row>
    <x:row r="57">
      <x:c r="A57" s="40" t="str">
        <x:f>Despiece!A55</x:f>
        <x:v>P048</x:v>
      </x:c>
      <x:c r="B57" s="40" t="str">
        <x:f>Despiece!B55</x:f>
        <x:v>S2 Gabinete ducto 60</x:v>
      </x:c>
      <x:c r="C57" s="40" t="str">
        <x:f>Despiece!C55</x:f>
        <x:v>Fondo</x:v>
      </x:c>
      <x:c r="D57" s="40" t="str">
        <x:f>Despiece!D55</x:f>
        <x:v>Fondo melamina 6</x:v>
      </x:c>
      <x:c r="E57" s="41" t="n">
        <x:f>Despiece!G55</x:f>
        <x:v>1</x:v>
      </x:c>
      <x:c r="F57" s="45" t="n">
        <x:f>IF($Q$2="NO",ROUND(Despiece!L55,2),Despiece!E55)</x:f>
        <x:v>596</x:v>
      </x:c>
      <x:c r="G57" s="45" t="n">
        <x:f>IF($Q$2="NO",ROUND(Despiece!M55,2),Despiece!F55)</x:f>
        <x:v>346</x:v>
      </x:c>
      <x:c r="H57" s="42" t="str">
        <x:f>IF(Despiece!H55="2","R",IF(Despiece!H55="0.45","F","—"))</x:f>
        <x:v>—</x:v>
      </x:c>
      <x:c r="I57" s="42" t="str">
        <x:f>IF(Despiece!I55="2","R",IF(Despiece!I55="0.45","F","—"))</x:f>
        <x:v>—</x:v>
      </x:c>
      <x:c r="J57" s="42" t="str">
        <x:f>IF(Despiece!J55="2","R",IF(Despiece!J55="0.45","F","—"))</x:f>
        <x:v>—</x:v>
      </x:c>
      <x:c r="K57" s="42" t="str">
        <x:f>IF(Despiece!K55="2","R",IF(Despiece!K55="0.45","F","—"))</x:f>
        <x:v>—</x:v>
      </x:c>
      <x:c r="L57" s="42" t="str">
        <x:f>IF(SUMPRODUCT((Despiece!H55:K55="2")+(Despiece!H55:K55="0.45"))=0,"Sin canto",IF(OR(MIN(Despiece!L55,Despiece!M55)&lt;$Q$3,MAX(Despiece!L55,Despiece!M55)&lt;$Q$4),"Pequeña","Normal"))</x:f>
        <x:v>Sin canto</x:v>
      </x:c>
      <x:c r="M57" s="40" t="str">
        <x:f>Despiece!E55&amp;" × "&amp;Despiece!F55</x:f>
        <x:v>596 × 346</x:v>
      </x:c>
      <x:c r="N57" s="43" t="str">
        <x:f>IF(LEN(TRIM(IF($L57="Pequeña","Si no la cantean: cortar a "&amp;ROUND(Despiece!L55,2)&amp;" × "&amp;ROUND(Despiece!M55,2)&amp;" y cantear en el armado.","")&amp;" "&amp;IFERROR(VLOOKUP(Despiece!A55,$S$2:$T$40,2,FALSE),"")))=0,"—",TRIM(IF($L57="Pequeña","Si no la cantean: cortar a "&amp;ROUND(Despiece!L55,2)&amp;" × "&amp;ROUND(Despiece!M55,2)&amp;" y cantear en el armado.","")&amp;" "&amp;IFERROR(VLOOKUP(Despiece!A55,$S$2:$T$40,2,FALSE),"")))</x:f>
        <x:v>—</x:v>
      </x:c>
    </x:row>
    <x:row r="58">
      <x:c r="A58" s="40" t="str">
        <x:f>Despiece!A56</x:f>
        <x:v>P049</x:v>
      </x:c>
      <x:c r="B58" s="40" t="str">
        <x:f>Despiece!B56</x:f>
        <x:v>S2 Gabinete ducto 60</x:v>
      </x:c>
      <x:c r="C58" s="40" t="str">
        <x:f>Despiece!C56</x:f>
        <x:v>Puerta abatible superior</x:v>
      </x:c>
      <x:c r="D58" s="40" t="str">
        <x:f>Despiece!D56</x:f>
        <x:v>Melamina Cartagena RH 15</x:v>
      </x:c>
      <x:c r="E58" s="41" t="n">
        <x:f>Despiece!G56</x:f>
        <x:v>1</x:v>
      </x:c>
      <x:c r="F58" s="45" t="n">
        <x:f>IF($Q$2="NO",ROUND(Despiece!L56,2),Despiece!E56)</x:f>
        <x:v>347</x:v>
      </x:c>
      <x:c r="G58" s="45" t="n">
        <x:f>IF($Q$2="NO",ROUND(Despiece!M56,2),Despiece!F56)</x:f>
        <x:v>597</x:v>
      </x:c>
      <x:c r="H58" s="42" t="str">
        <x:f>IF(Despiece!H56="2","R",IF(Despiece!H56="0.45","F","—"))</x:f>
        <x:v>R</x:v>
      </x:c>
      <x:c r="I58" s="42" t="str">
        <x:f>IF(Despiece!I56="2","R",IF(Despiece!I56="0.45","F","—"))</x:f>
        <x:v>R</x:v>
      </x:c>
      <x:c r="J58" s="42" t="str">
        <x:f>IF(Despiece!J56="2","R",IF(Despiece!J56="0.45","F","—"))</x:f>
        <x:v>R</x:v>
      </x:c>
      <x:c r="K58" s="42" t="str">
        <x:f>IF(Despiece!K56="2","R",IF(Despiece!K56="0.45","F","—"))</x:f>
        <x:v>R</x:v>
      </x:c>
      <x:c r="L58" s="42" t="str">
        <x:f>IF(SUMPRODUCT((Despiece!H56:K56="2")+(Despiece!H56:K56="0.45"))=0,"Sin canto",IF(OR(MIN(Despiece!L56,Despiece!M56)&lt;$Q$3,MAX(Despiece!L56,Despiece!M56)&lt;$Q$4),"Pequeña","Normal"))</x:f>
        <x:v>Normal</x:v>
      </x:c>
      <x:c r="M58" s="40" t="str">
        <x:f>Despiece!E56&amp;" × "&amp;Despiece!F56</x:f>
        <x:v>347 × 597</x:v>
      </x:c>
      <x:c r="N58" s="43" t="str">
        <x:f>IF(LEN(TRIM(IF($L58="Pequeña","Si no la cantean: cortar a "&amp;ROUND(Despiece!L56,2)&amp;" × "&amp;ROUND(Despiece!M56,2)&amp;" y cantear en el armado.","")&amp;" "&amp;IFERROR(VLOOKUP(Despiece!A56,$S$2:$T$40,2,FALSE),"")))=0,"—",TRIM(IF($L58="Pequeña","Si no la cantean: cortar a "&amp;ROUND(Despiece!L56,2)&amp;" × "&amp;ROUND(Despiece!M56,2)&amp;" y cantear en el armado.","")&amp;" "&amp;IFERROR(VLOOKUP(Despiece!A56,$S$2:$T$40,2,FALSE),"")))</x:f>
        <x:v>—</x:v>
      </x:c>
    </x:row>
    <x:row r="59" ht="57.599998474121094">
      <x:c r="A59" s="40" t="str">
        <x:f>Despiece!A57</x:f>
        <x:v>P071</x:v>
      </x:c>
      <x:c r="B59" s="40" t="str">
        <x:f>Despiece!B57</x:f>
        <x:v>S2 Gabinete ducto 60</x:v>
      </x:c>
      <x:c r="C59" s="40" t="str">
        <x:f>Despiece!C57</x:f>
        <x:v>Faja retranqueada de agarre sobre campana</x:v>
      </x:c>
      <x:c r="D59" s="40" t="str">
        <x:f>Despiece!D57</x:f>
        <x:v>Melamina Cartagena RH 15</x:v>
      </x:c>
      <x:c r="E59" s="41" t="n">
        <x:f>Despiece!G57</x:f>
        <x:v>1</x:v>
      </x:c>
      <x:c r="F59" s="45" t="n">
        <x:f>IF($Q$2="NO",ROUND(Despiece!L57,2),Despiece!E57)</x:f>
        <x:v>570</x:v>
      </x:c>
      <x:c r="G59" s="45" t="n">
        <x:f>IF($Q$2="NO",ROUND(Despiece!M57,2),Despiece!F57)</x:f>
        <x:v>60</x:v>
      </x:c>
      <x:c r="H59" s="42" t="str">
        <x:f>IF(Despiece!H57="2","R",IF(Despiece!H57="0.45","F","—"))</x:f>
        <x:v>F</x:v>
      </x:c>
      <x:c r="I59" s="42" t="str">
        <x:f>IF(Despiece!I57="2","R",IF(Despiece!I57="0.45","F","—"))</x:f>
        <x:v>F</x:v>
      </x:c>
      <x:c r="J59" s="42" t="str">
        <x:f>IF(Despiece!J57="2","R",IF(Despiece!J57="0.45","F","—"))</x:f>
        <x:v>F</x:v>
      </x:c>
      <x:c r="K59" s="42" t="str">
        <x:f>IF(Despiece!K57="2","R",IF(Despiece!K57="0.45","F","—"))</x:f>
        <x:v>F</x:v>
      </x:c>
      <x:c r="L59" s="42" t="str">
        <x:f>IF(SUMPRODUCT((Despiece!H57:K57="2")+(Despiece!H57:K57="0.45"))=0,"Sin canto",IF(OR(MIN(Despiece!L57,Despiece!M57)&lt;$Q$3,MAX(Despiece!L57,Despiece!M57)&lt;$Q$4),"Pequeña","Normal"))</x:f>
        <x:v>Pequeña</x:v>
      </x:c>
      <x:c r="M59" s="40" t="str">
        <x:f>Despiece!E57&amp;" × "&amp;Despiece!F57</x:f>
        <x:v>570 × 60</x:v>
      </x:c>
      <x:c r="N59" s="43" t="str">
        <x:f>IF(LEN(TRIM(IF($L59="Pequeña","Si no la cantean: cortar a "&amp;ROUND(Despiece!L57,2)&amp;" × "&amp;ROUND(Despiece!M57,2)&amp;" y cantear en el armado.","")&amp;" "&amp;IFERROR(VLOOKUP(Despiece!A57,$S$2:$T$40,2,FALSE),"")))=0,"—",TRIM(IF($L59="Pequeña","Si no la cantean: cortar a "&amp;ROUND(Despiece!L57,2)&amp;" × "&amp;ROUND(Despiece!M57,2)&amp;" y cantear en el armado.","")&amp;" "&amp;IFERROR(VLOOKUP(Despiece!A57,$S$2:$T$40,2,FALSE),"")))</x:f>
        <x:v>Si no la cantean: cortar a 569.1 × 59.1 y cantear en el armado. P071: flexible 0,45 mm en los cuatro bordes. Confirmar cabida en canteadora; si la rechaza, cantear en taller con el descuento correspondiente.</x:v>
      </x:c>
    </x:row>
    <x:row r="60">
      <x:c r="A60" s="40" t="str">
        <x:f>Despiece!A58</x:f>
        <x:v>P050</x:v>
      </x:c>
      <x:c r="B60" s="40" t="str">
        <x:f>Despiece!B58</x:f>
        <x:v>S3 Alacena 65,5</x:v>
      </x:c>
      <x:c r="C60" s="40" t="str">
        <x:f>Despiece!C58</x:f>
        <x:v>Lateral</x:v>
      </x:c>
      <x:c r="D60" s="40" t="str">
        <x:f>Despiece!D58</x:f>
        <x:v>Melamina Cartagena RH 15</x:v>
      </x:c>
      <x:c r="E60" s="41" t="n">
        <x:f>Despiece!G58</x:f>
        <x:v>2</x:v>
      </x:c>
      <x:c r="F60" s="45" t="n">
        <x:f>IF($Q$2="NO",ROUND(Despiece!L58,2),Despiece!E58)</x:f>
        <x:v>700</x:v>
      </x:c>
      <x:c r="G60" s="45" t="n">
        <x:f>IF($Q$2="NO",ROUND(Despiece!M58,2),Despiece!F58)</x:f>
        <x:v>320</x:v>
      </x:c>
      <x:c r="H60" s="42" t="str">
        <x:f>IF(Despiece!H58="2","R",IF(Despiece!H58="0.45","F","—"))</x:f>
        <x:v>F</x:v>
      </x:c>
      <x:c r="I60" s="42" t="str">
        <x:f>IF(Despiece!I58="2","R",IF(Despiece!I58="0.45","F","—"))</x:f>
        <x:v>—</x:v>
      </x:c>
      <x:c r="J60" s="42" t="str">
        <x:f>IF(Despiece!J58="2","R",IF(Despiece!J58="0.45","F","—"))</x:f>
        <x:v>F</x:v>
      </x:c>
      <x:c r="K60" s="42" t="str">
        <x:f>IF(Despiece!K58="2","R",IF(Despiece!K58="0.45","F","—"))</x:f>
        <x:v>F</x:v>
      </x:c>
      <x:c r="L60" s="42" t="str">
        <x:f>IF(SUMPRODUCT((Despiece!H58:K58="2")+(Despiece!H58:K58="0.45"))=0,"Sin canto",IF(OR(MIN(Despiece!L58,Despiece!M58)&lt;$Q$3,MAX(Despiece!L58,Despiece!M58)&lt;$Q$4),"Pequeña","Normal"))</x:f>
        <x:v>Normal</x:v>
      </x:c>
      <x:c r="M60" s="40" t="str">
        <x:f>Despiece!E58&amp;" × "&amp;Despiece!F58</x:f>
        <x:v>700 × 320</x:v>
      </x:c>
      <x:c r="N60" s="43" t="str">
        <x:f>IF(LEN(TRIM(IF($L60="Pequeña","Si no la cantean: cortar a "&amp;ROUND(Despiece!L58,2)&amp;" × "&amp;ROUND(Despiece!M58,2)&amp;" y cantear en el armado.","")&amp;" "&amp;IFERROR(VLOOKUP(Despiece!A58,$S$2:$T$40,2,FALSE),"")))=0,"—",TRIM(IF($L60="Pequeña","Si no la cantean: cortar a "&amp;ROUND(Despiece!L58,2)&amp;" × "&amp;ROUND(Despiece!M58,2)&amp;" y cantear en el armado.","")&amp;" "&amp;IFERROR(VLOOKUP(Despiece!A58,$S$2:$T$40,2,FALSE),"")))</x:f>
        <x:v>—</x:v>
      </x:c>
    </x:row>
    <x:row r="61">
      <x:c r="A61" s="40" t="str">
        <x:f>Despiece!A59</x:f>
        <x:v>P051</x:v>
      </x:c>
      <x:c r="B61" s="40" t="str">
        <x:f>Despiece!B59</x:f>
        <x:v>S3 Alacena 65,5</x:v>
      </x:c>
      <x:c r="C61" s="40" t="str">
        <x:f>Despiece!C59</x:f>
        <x:v>Techo</x:v>
      </x:c>
      <x:c r="D61" s="40" t="str">
        <x:f>Despiece!D59</x:f>
        <x:v>Melamina Cartagena RH 15</x:v>
      </x:c>
      <x:c r="E61" s="41" t="n">
        <x:f>Despiece!G59</x:f>
        <x:v>1</x:v>
      </x:c>
      <x:c r="F61" s="45" t="n">
        <x:f>IF($Q$2="NO",ROUND(Despiece!L59,2),Despiece!E59)</x:f>
        <x:v>625</x:v>
      </x:c>
      <x:c r="G61" s="45" t="n">
        <x:f>IF($Q$2="NO",ROUND(Despiece!M59,2),Despiece!F59)</x:f>
        <x:v>320</x:v>
      </x:c>
      <x:c r="H61" s="42" t="str">
        <x:f>IF(Despiece!H59="2","R",IF(Despiece!H59="0.45","F","—"))</x:f>
        <x:v>F</x:v>
      </x:c>
      <x:c r="I61" s="42" t="str">
        <x:f>IF(Despiece!I59="2","R",IF(Despiece!I59="0.45","F","—"))</x:f>
        <x:v>—</x:v>
      </x:c>
      <x:c r="J61" s="42" t="str">
        <x:f>IF(Despiece!J59="2","R",IF(Despiece!J59="0.45","F","—"))</x:f>
        <x:v>—</x:v>
      </x:c>
      <x:c r="K61" s="42" t="str">
        <x:f>IF(Despiece!K59="2","R",IF(Despiece!K59="0.45","F","—"))</x:f>
        <x:v>—</x:v>
      </x:c>
      <x:c r="L61" s="42" t="str">
        <x:f>IF(SUMPRODUCT((Despiece!H59:K59="2")+(Despiece!H59:K59="0.45"))=0,"Sin canto",IF(OR(MIN(Despiece!L59,Despiece!M59)&lt;$Q$3,MAX(Despiece!L59,Despiece!M59)&lt;$Q$4),"Pequeña","Normal"))</x:f>
        <x:v>Normal</x:v>
      </x:c>
      <x:c r="M61" s="40" t="str">
        <x:f>Despiece!E59&amp;" × "&amp;Despiece!F59</x:f>
        <x:v>625 × 320</x:v>
      </x:c>
      <x:c r="N61" s="43" t="str">
        <x:f>IF(LEN(TRIM(IF($L61="Pequeña","Si no la cantean: cortar a "&amp;ROUND(Despiece!L59,2)&amp;" × "&amp;ROUND(Despiece!M59,2)&amp;" y cantear en el armado.","")&amp;" "&amp;IFERROR(VLOOKUP(Despiece!A59,$S$2:$T$40,2,FALSE),"")))=0,"—",TRIM(IF($L61="Pequeña","Si no la cantean: cortar a "&amp;ROUND(Despiece!L59,2)&amp;" × "&amp;ROUND(Despiece!M59,2)&amp;" y cantear en el armado.","")&amp;" "&amp;IFERROR(VLOOKUP(Despiece!A59,$S$2:$T$40,2,FALSE),"")))</x:f>
        <x:v>—</x:v>
      </x:c>
    </x:row>
    <x:row r="62">
      <x:c r="A62" s="40" t="str">
        <x:f>Despiece!A60</x:f>
        <x:v>P052</x:v>
      </x:c>
      <x:c r="B62" s="40" t="str">
        <x:f>Despiece!B60</x:f>
        <x:v>S3 Alacena 65,5</x:v>
      </x:c>
      <x:c r="C62" s="40" t="str">
        <x:f>Despiece!C60</x:f>
        <x:v>Piso</x:v>
      </x:c>
      <x:c r="D62" s="40" t="str">
        <x:f>Despiece!D60</x:f>
        <x:v>Melamina Cartagena RH 15</x:v>
      </x:c>
      <x:c r="E62" s="41" t="n">
        <x:f>Despiece!G60</x:f>
        <x:v>1</x:v>
      </x:c>
      <x:c r="F62" s="45" t="n">
        <x:f>IF($Q$2="NO",ROUND(Despiece!L60,2),Despiece!E60)</x:f>
        <x:v>625</x:v>
      </x:c>
      <x:c r="G62" s="45" t="n">
        <x:f>IF($Q$2="NO",ROUND(Despiece!M60,2),Despiece!F60)</x:f>
        <x:v>320</x:v>
      </x:c>
      <x:c r="H62" s="42" t="str">
        <x:f>IF(Despiece!H60="2","R",IF(Despiece!H60="0.45","F","—"))</x:f>
        <x:v>F</x:v>
      </x:c>
      <x:c r="I62" s="42" t="str">
        <x:f>IF(Despiece!I60="2","R",IF(Despiece!I60="0.45","F","—"))</x:f>
        <x:v>—</x:v>
      </x:c>
      <x:c r="J62" s="42" t="str">
        <x:f>IF(Despiece!J60="2","R",IF(Despiece!J60="0.45","F","—"))</x:f>
        <x:v>—</x:v>
      </x:c>
      <x:c r="K62" s="42" t="str">
        <x:f>IF(Despiece!K60="2","R",IF(Despiece!K60="0.45","F","—"))</x:f>
        <x:v>—</x:v>
      </x:c>
      <x:c r="L62" s="42" t="str">
        <x:f>IF(SUMPRODUCT((Despiece!H60:K60="2")+(Despiece!H60:K60="0.45"))=0,"Sin canto",IF(OR(MIN(Despiece!L60,Despiece!M60)&lt;$Q$3,MAX(Despiece!L60,Despiece!M60)&lt;$Q$4),"Pequeña","Normal"))</x:f>
        <x:v>Normal</x:v>
      </x:c>
      <x:c r="M62" s="40" t="str">
        <x:f>Despiece!E60&amp;" × "&amp;Despiece!F60</x:f>
        <x:v>625 × 320</x:v>
      </x:c>
      <x:c r="N62" s="43" t="str">
        <x:f>IF(LEN(TRIM(IF($L62="Pequeña","Si no la cantean: cortar a "&amp;ROUND(Despiece!L60,2)&amp;" × "&amp;ROUND(Despiece!M60,2)&amp;" y cantear en el armado.","")&amp;" "&amp;IFERROR(VLOOKUP(Despiece!A60,$S$2:$T$40,2,FALSE),"")))=0,"—",TRIM(IF($L62="Pequeña","Si no la cantean: cortar a "&amp;ROUND(Despiece!L60,2)&amp;" × "&amp;ROUND(Despiece!M60,2)&amp;" y cantear en el armado.","")&amp;" "&amp;IFERROR(VLOOKUP(Despiece!A60,$S$2:$T$40,2,FALSE),"")))</x:f>
        <x:v>—</x:v>
      </x:c>
    </x:row>
    <x:row r="63">
      <x:c r="A63" s="40" t="str">
        <x:f>Despiece!A61</x:f>
        <x:v>P053</x:v>
      </x:c>
      <x:c r="B63" s="40" t="str">
        <x:f>Despiece!B61</x:f>
        <x:v>S3 Alacena 65,5</x:v>
      </x:c>
      <x:c r="C63" s="40" t="str">
        <x:f>Despiece!C61</x:f>
        <x:v>Fondo</x:v>
      </x:c>
      <x:c r="D63" s="40" t="str">
        <x:f>Despiece!D61</x:f>
        <x:v>Fondo melamina 6</x:v>
      </x:c>
      <x:c r="E63" s="41" t="n">
        <x:f>Despiece!G61</x:f>
        <x:v>1</x:v>
      </x:c>
      <x:c r="F63" s="45" t="n">
        <x:f>IF($Q$2="NO",ROUND(Despiece!L61,2),Despiece!E61)</x:f>
        <x:v>651</x:v>
      </x:c>
      <x:c r="G63" s="45" t="n">
        <x:f>IF($Q$2="NO",ROUND(Despiece!M61,2),Despiece!F61)</x:f>
        <x:v>696</x:v>
      </x:c>
      <x:c r="H63" s="42" t="str">
        <x:f>IF(Despiece!H61="2","R",IF(Despiece!H61="0.45","F","—"))</x:f>
        <x:v>—</x:v>
      </x:c>
      <x:c r="I63" s="42" t="str">
        <x:f>IF(Despiece!I61="2","R",IF(Despiece!I61="0.45","F","—"))</x:f>
        <x:v>—</x:v>
      </x:c>
      <x:c r="J63" s="42" t="str">
        <x:f>IF(Despiece!J61="2","R",IF(Despiece!J61="0.45","F","—"))</x:f>
        <x:v>—</x:v>
      </x:c>
      <x:c r="K63" s="42" t="str">
        <x:f>IF(Despiece!K61="2","R",IF(Despiece!K61="0.45","F","—"))</x:f>
        <x:v>—</x:v>
      </x:c>
      <x:c r="L63" s="42" t="str">
        <x:f>IF(SUMPRODUCT((Despiece!H61:K61="2")+(Despiece!H61:K61="0.45"))=0,"Sin canto",IF(OR(MIN(Despiece!L61,Despiece!M61)&lt;$Q$3,MAX(Despiece!L61,Despiece!M61)&lt;$Q$4),"Pequeña","Normal"))</x:f>
        <x:v>Sin canto</x:v>
      </x:c>
      <x:c r="M63" s="40" t="str">
        <x:f>Despiece!E61&amp;" × "&amp;Despiece!F61</x:f>
        <x:v>651 × 696</x:v>
      </x:c>
      <x:c r="N63" s="43" t="str">
        <x:f>IF(LEN(TRIM(IF($L63="Pequeña","Si no la cantean: cortar a "&amp;ROUND(Despiece!L61,2)&amp;" × "&amp;ROUND(Despiece!M61,2)&amp;" y cantear en el armado.","")&amp;" "&amp;IFERROR(VLOOKUP(Despiece!A61,$S$2:$T$40,2,FALSE),"")))=0,"—",TRIM(IF($L63="Pequeña","Si no la cantean: cortar a "&amp;ROUND(Despiece!L61,2)&amp;" × "&amp;ROUND(Despiece!M61,2)&amp;" y cantear en el armado.","")&amp;" "&amp;IFERROR(VLOOKUP(Despiece!A61,$S$2:$T$40,2,FALSE),"")))</x:f>
        <x:v>—</x:v>
      </x:c>
    </x:row>
    <x:row r="64">
      <x:c r="A64" s="40" t="str">
        <x:f>Despiece!A62</x:f>
        <x:v>P054</x:v>
      </x:c>
      <x:c r="B64" s="40" t="str">
        <x:f>Despiece!B62</x:f>
        <x:v>S3 Alacena 65,5</x:v>
      </x:c>
      <x:c r="C64" s="40" t="str">
        <x:f>Despiece!C62</x:f>
        <x:v>División vertical</x:v>
      </x:c>
      <x:c r="D64" s="40" t="str">
        <x:f>Despiece!D62</x:f>
        <x:v>Melamina Cartagena RH 15</x:v>
      </x:c>
      <x:c r="E64" s="41" t="n">
        <x:f>Despiece!G62</x:f>
        <x:v>1</x:v>
      </x:c>
      <x:c r="F64" s="45" t="n">
        <x:f>IF($Q$2="NO",ROUND(Despiece!L62,2),Despiece!E62)</x:f>
        <x:v>670</x:v>
      </x:c>
      <x:c r="G64" s="45" t="n">
        <x:f>IF($Q$2="NO",ROUND(Despiece!M62,2),Despiece!F62)</x:f>
        <x:v>320</x:v>
      </x:c>
      <x:c r="H64" s="42" t="str">
        <x:f>IF(Despiece!H62="2","R",IF(Despiece!H62="0.45","F","—"))</x:f>
        <x:v>F</x:v>
      </x:c>
      <x:c r="I64" s="42" t="str">
        <x:f>IF(Despiece!I62="2","R",IF(Despiece!I62="0.45","F","—"))</x:f>
        <x:v>—</x:v>
      </x:c>
      <x:c r="J64" s="42" t="str">
        <x:f>IF(Despiece!J62="2","R",IF(Despiece!J62="0.45","F","—"))</x:f>
        <x:v>—</x:v>
      </x:c>
      <x:c r="K64" s="42" t="str">
        <x:f>IF(Despiece!K62="2","R",IF(Despiece!K62="0.45","F","—"))</x:f>
        <x:v>—</x:v>
      </x:c>
      <x:c r="L64" s="42" t="str">
        <x:f>IF(SUMPRODUCT((Despiece!H62:K62="2")+(Despiece!H62:K62="0.45"))=0,"Sin canto",IF(OR(MIN(Despiece!L62,Despiece!M62)&lt;$Q$3,MAX(Despiece!L62,Despiece!M62)&lt;$Q$4),"Pequeña","Normal"))</x:f>
        <x:v>Normal</x:v>
      </x:c>
      <x:c r="M64" s="40" t="str">
        <x:f>Despiece!E62&amp;" × "&amp;Despiece!F62</x:f>
        <x:v>670 × 320</x:v>
      </x:c>
      <x:c r="N64" s="43" t="str">
        <x:f>IF(LEN(TRIM(IF($L64="Pequeña","Si no la cantean: cortar a "&amp;ROUND(Despiece!L62,2)&amp;" × "&amp;ROUND(Despiece!M62,2)&amp;" y cantear en el armado.","")&amp;" "&amp;IFERROR(VLOOKUP(Despiece!A62,$S$2:$T$40,2,FALSE),"")))=0,"—",TRIM(IF($L64="Pequeña","Si no la cantean: cortar a "&amp;ROUND(Despiece!L62,2)&amp;" × "&amp;ROUND(Despiece!M62,2)&amp;" y cantear en el armado.","")&amp;" "&amp;IFERROR(VLOOKUP(Despiece!A62,$S$2:$T$40,2,FALSE),"")))</x:f>
        <x:v>—</x:v>
      </x:c>
    </x:row>
    <x:row r="65">
      <x:c r="A65" s="40" t="str">
        <x:f>Despiece!A63</x:f>
        <x:v>P055</x:v>
      </x:c>
      <x:c r="B65" s="40" t="str">
        <x:f>Despiece!B63</x:f>
        <x:v>S3 Alacena 65,5</x:v>
      </x:c>
      <x:c r="C65" s="40" t="str">
        <x:f>Despiece!C63</x:f>
        <x:v>Entrepaño regulable</x:v>
      </x:c>
      <x:c r="D65" s="40" t="str">
        <x:f>Despiece!D63</x:f>
        <x:v>Melamina Cartagena RH 15</x:v>
      </x:c>
      <x:c r="E65" s="41" t="n">
        <x:f>Despiece!G63</x:f>
        <x:v>2</x:v>
      </x:c>
      <x:c r="F65" s="45" t="n">
        <x:f>IF($Q$2="NO",ROUND(Despiece!L63,2),Despiece!E63)</x:f>
        <x:v>303</x:v>
      </x:c>
      <x:c r="G65" s="45" t="n">
        <x:f>IF($Q$2="NO",ROUND(Despiece!M63,2),Despiece!F63)</x:f>
        <x:v>300</x:v>
      </x:c>
      <x:c r="H65" s="42" t="str">
        <x:f>IF(Despiece!H63="2","R",IF(Despiece!H63="0.45","F","—"))</x:f>
        <x:v>F</x:v>
      </x:c>
      <x:c r="I65" s="42" t="str">
        <x:f>IF(Despiece!I63="2","R",IF(Despiece!I63="0.45","F","—"))</x:f>
        <x:v>—</x:v>
      </x:c>
      <x:c r="J65" s="42" t="str">
        <x:f>IF(Despiece!J63="2","R",IF(Despiece!J63="0.45","F","—"))</x:f>
        <x:v>—</x:v>
      </x:c>
      <x:c r="K65" s="42" t="str">
        <x:f>IF(Despiece!K63="2","R",IF(Despiece!K63="0.45","F","—"))</x:f>
        <x:v>—</x:v>
      </x:c>
      <x:c r="L65" s="42" t="str">
        <x:f>IF(SUMPRODUCT((Despiece!H63:K63="2")+(Despiece!H63:K63="0.45"))=0,"Sin canto",IF(OR(MIN(Despiece!L63,Despiece!M63)&lt;$Q$3,MAX(Despiece!L63,Despiece!M63)&lt;$Q$4),"Pequeña","Normal"))</x:f>
        <x:v>Normal</x:v>
      </x:c>
      <x:c r="M65" s="40" t="str">
        <x:f>Despiece!E63&amp;" × "&amp;Despiece!F63</x:f>
        <x:v>303 × 300</x:v>
      </x:c>
      <x:c r="N65" s="43" t="str">
        <x:f>IF(LEN(TRIM(IF($L65="Pequeña","Si no la cantean: cortar a "&amp;ROUND(Despiece!L63,2)&amp;" × "&amp;ROUND(Despiece!M63,2)&amp;" y cantear en el armado.","")&amp;" "&amp;IFERROR(VLOOKUP(Despiece!A63,$S$2:$T$40,2,FALSE),"")))=0,"—",TRIM(IF($L65="Pequeña","Si no la cantean: cortar a "&amp;ROUND(Despiece!L63,2)&amp;" × "&amp;ROUND(Despiece!M63,2)&amp;" y cantear en el armado.","")&amp;" "&amp;IFERROR(VLOOKUP(Despiece!A63,$S$2:$T$40,2,FALSE),"")))</x:f>
        <x:v>—</x:v>
      </x:c>
    </x:row>
    <x:row r="66">
      <x:c r="A66" s="40" t="str">
        <x:f>Despiece!A64</x:f>
        <x:v>P056</x:v>
      </x:c>
      <x:c r="B66" s="40" t="str">
        <x:f>Despiece!B64</x:f>
        <x:v>S3 Alacena 65,5</x:v>
      </x:c>
      <x:c r="C66" s="40" t="str">
        <x:f>Despiece!C64</x:f>
        <x:v>Puerta izquierda</x:v>
      </x:c>
      <x:c r="D66" s="40" t="str">
        <x:f>Despiece!D64</x:f>
        <x:v>Melamina Cartagena RH 15</x:v>
      </x:c>
      <x:c r="E66" s="41" t="n">
        <x:f>Despiece!G64</x:f>
        <x:v>1</x:v>
      </x:c>
      <x:c r="F66" s="45" t="n">
        <x:f>IF($Q$2="NO",ROUND(Despiece!L64,2),Despiece!E64)</x:f>
        <x:v>717</x:v>
      </x:c>
      <x:c r="G66" s="45" t="n">
        <x:f>IF($Q$2="NO",ROUND(Despiece!M64,2),Despiece!F64)</x:f>
        <x:v>324.5</x:v>
      </x:c>
      <x:c r="H66" s="42" t="str">
        <x:f>IF(Despiece!H64="2","R",IF(Despiece!H64="0.45","F","—"))</x:f>
        <x:v>R</x:v>
      </x:c>
      <x:c r="I66" s="42" t="str">
        <x:f>IF(Despiece!I64="2","R",IF(Despiece!I64="0.45","F","—"))</x:f>
        <x:v>R</x:v>
      </x:c>
      <x:c r="J66" s="42" t="str">
        <x:f>IF(Despiece!J64="2","R",IF(Despiece!J64="0.45","F","—"))</x:f>
        <x:v>R</x:v>
      </x:c>
      <x:c r="K66" s="42" t="str">
        <x:f>IF(Despiece!K64="2","R",IF(Despiece!K64="0.45","F","—"))</x:f>
        <x:v>R</x:v>
      </x:c>
      <x:c r="L66" s="42" t="str">
        <x:f>IF(SUMPRODUCT((Despiece!H64:K64="2")+(Despiece!H64:K64="0.45"))=0,"Sin canto",IF(OR(MIN(Despiece!L64,Despiece!M64)&lt;$Q$3,MAX(Despiece!L64,Despiece!M64)&lt;$Q$4),"Pequeña","Normal"))</x:f>
        <x:v>Normal</x:v>
      </x:c>
      <x:c r="M66" s="40" t="str">
        <x:f>Despiece!E64&amp;" × "&amp;Despiece!F64</x:f>
        <x:v>717 × 324.5</x:v>
      </x:c>
      <x:c r="N66" s="43" t="str">
        <x:f>IF(LEN(TRIM(IF($L66="Pequeña","Si no la cantean: cortar a "&amp;ROUND(Despiece!L64,2)&amp;" × "&amp;ROUND(Despiece!M64,2)&amp;" y cantear en el armado.","")&amp;" "&amp;IFERROR(VLOOKUP(Despiece!A64,$S$2:$T$40,2,FALSE),"")))=0,"—",TRIM(IF($L66="Pequeña","Si no la cantean: cortar a "&amp;ROUND(Despiece!L64,2)&amp;" × "&amp;ROUND(Despiece!M64,2)&amp;" y cantear en el armado.","")&amp;" "&amp;IFERROR(VLOOKUP(Despiece!A64,$S$2:$T$40,2,FALSE),"")))</x:f>
        <x:v>—</x:v>
      </x:c>
    </x:row>
    <x:row r="67">
      <x:c r="A67" s="40" t="str">
        <x:f>Despiece!A65</x:f>
        <x:v>P057</x:v>
      </x:c>
      <x:c r="B67" s="40" t="str">
        <x:f>Despiece!B65</x:f>
        <x:v>S3 Alacena 65,5</x:v>
      </x:c>
      <x:c r="C67" s="40" t="str">
        <x:f>Despiece!C65</x:f>
        <x:v>Puerta derecha</x:v>
      </x:c>
      <x:c r="D67" s="40" t="str">
        <x:f>Despiece!D65</x:f>
        <x:v>Melamina Cartagena RH 15</x:v>
      </x:c>
      <x:c r="E67" s="41" t="n">
        <x:f>Despiece!G65</x:f>
        <x:v>1</x:v>
      </x:c>
      <x:c r="F67" s="45" t="n">
        <x:f>IF($Q$2="NO",ROUND(Despiece!L65,2),Despiece!E65)</x:f>
        <x:v>717</x:v>
      </x:c>
      <x:c r="G67" s="45" t="n">
        <x:f>IF($Q$2="NO",ROUND(Despiece!M65,2),Despiece!F65)</x:f>
        <x:v>324.5</x:v>
      </x:c>
      <x:c r="H67" s="42" t="str">
        <x:f>IF(Despiece!H65="2","R",IF(Despiece!H65="0.45","F","—"))</x:f>
        <x:v>R</x:v>
      </x:c>
      <x:c r="I67" s="42" t="str">
        <x:f>IF(Despiece!I65="2","R",IF(Despiece!I65="0.45","F","—"))</x:f>
        <x:v>R</x:v>
      </x:c>
      <x:c r="J67" s="42" t="str">
        <x:f>IF(Despiece!J65="2","R",IF(Despiece!J65="0.45","F","—"))</x:f>
        <x:v>R</x:v>
      </x:c>
      <x:c r="K67" s="42" t="str">
        <x:f>IF(Despiece!K65="2","R",IF(Despiece!K65="0.45","F","—"))</x:f>
        <x:v>R</x:v>
      </x:c>
      <x:c r="L67" s="42" t="str">
        <x:f>IF(SUMPRODUCT((Despiece!H65:K65="2")+(Despiece!H65:K65="0.45"))=0,"Sin canto",IF(OR(MIN(Despiece!L65,Despiece!M65)&lt;$Q$3,MAX(Despiece!L65,Despiece!M65)&lt;$Q$4),"Pequeña","Normal"))</x:f>
        <x:v>Normal</x:v>
      </x:c>
      <x:c r="M67" s="40" t="str">
        <x:f>Despiece!E65&amp;" × "&amp;Despiece!F65</x:f>
        <x:v>717 × 324.5</x:v>
      </x:c>
      <x:c r="N67" s="43" t="str">
        <x:f>IF(LEN(TRIM(IF($L67="Pequeña","Si no la cantean: cortar a "&amp;ROUND(Despiece!L65,2)&amp;" × "&amp;ROUND(Despiece!M65,2)&amp;" y cantear en el armado.","")&amp;" "&amp;IFERROR(VLOOKUP(Despiece!A65,$S$2:$T$40,2,FALSE),"")))=0,"—",TRIM(IF($L67="Pequeña","Si no la cantean: cortar a "&amp;ROUND(Despiece!L65,2)&amp;" × "&amp;ROUND(Despiece!M65,2)&amp;" y cantear en el armado.","")&amp;" "&amp;IFERROR(VLOOKUP(Despiece!A65,$S$2:$T$40,2,FALSE),"")))</x:f>
        <x:v>—</x:v>
      </x:c>
    </x:row>
    <x:row r="68">
      <x:c r="A68" s="40" t="str">
        <x:f>Despiece!A66</x:f>
        <x:v>P058</x:v>
      </x:c>
      <x:c r="B68" s="40" t="str">
        <x:f>Despiece!B66</x:f>
        <x:v>S4 Platero 71,5</x:v>
      </x:c>
      <x:c r="C68" s="40" t="str">
        <x:f>Despiece!C66</x:f>
        <x:v>Lateral</x:v>
      </x:c>
      <x:c r="D68" s="40" t="str">
        <x:f>Despiece!D66</x:f>
        <x:v>Melamina Cartagena RH 15</x:v>
      </x:c>
      <x:c r="E68" s="41" t="n">
        <x:f>Despiece!G66</x:f>
        <x:v>2</x:v>
      </x:c>
      <x:c r="F68" s="45" t="n">
        <x:f>IF($Q$2="NO",ROUND(Despiece!L66,2),Despiece!E66)</x:f>
        <x:v>700</x:v>
      </x:c>
      <x:c r="G68" s="45" t="n">
        <x:f>IF($Q$2="NO",ROUND(Despiece!M66,2),Despiece!F66)</x:f>
        <x:v>320</x:v>
      </x:c>
      <x:c r="H68" s="42" t="str">
        <x:f>IF(Despiece!H66="2","R",IF(Despiece!H66="0.45","F","—"))</x:f>
        <x:v>F</x:v>
      </x:c>
      <x:c r="I68" s="42" t="str">
        <x:f>IF(Despiece!I66="2","R",IF(Despiece!I66="0.45","F","—"))</x:f>
        <x:v>—</x:v>
      </x:c>
      <x:c r="J68" s="42" t="str">
        <x:f>IF(Despiece!J66="2","R",IF(Despiece!J66="0.45","F","—"))</x:f>
        <x:v>F</x:v>
      </x:c>
      <x:c r="K68" s="42" t="str">
        <x:f>IF(Despiece!K66="2","R",IF(Despiece!K66="0.45","F","—"))</x:f>
        <x:v>F</x:v>
      </x:c>
      <x:c r="L68" s="42" t="str">
        <x:f>IF(SUMPRODUCT((Despiece!H66:K66="2")+(Despiece!H66:K66="0.45"))=0,"Sin canto",IF(OR(MIN(Despiece!L66,Despiece!M66)&lt;$Q$3,MAX(Despiece!L66,Despiece!M66)&lt;$Q$4),"Pequeña","Normal"))</x:f>
        <x:v>Normal</x:v>
      </x:c>
      <x:c r="M68" s="40" t="str">
        <x:f>Despiece!E66&amp;" × "&amp;Despiece!F66</x:f>
        <x:v>700 × 320</x:v>
      </x:c>
      <x:c r="N68" s="43" t="str">
        <x:f>IF(LEN(TRIM(IF($L68="Pequeña","Si no la cantean: cortar a "&amp;ROUND(Despiece!L66,2)&amp;" × "&amp;ROUND(Despiece!M66,2)&amp;" y cantear en el armado.","")&amp;" "&amp;IFERROR(VLOOKUP(Despiece!A66,$S$2:$T$40,2,FALSE),"")))=0,"—",TRIM(IF($L68="Pequeña","Si no la cantean: cortar a "&amp;ROUND(Despiece!L66,2)&amp;" × "&amp;ROUND(Despiece!M66,2)&amp;" y cantear en el armado.","")&amp;" "&amp;IFERROR(VLOOKUP(Despiece!A66,$S$2:$T$40,2,FALSE),"")))</x:f>
        <x:v>—</x:v>
      </x:c>
    </x:row>
    <x:row r="69">
      <x:c r="A69" s="40" t="str">
        <x:f>Despiece!A67</x:f>
        <x:v>P059</x:v>
      </x:c>
      <x:c r="B69" s="40" t="str">
        <x:f>Despiece!B67</x:f>
        <x:v>S4 Platero 71,5</x:v>
      </x:c>
      <x:c r="C69" s="40" t="str">
        <x:f>Despiece!C67</x:f>
        <x:v>Techo</x:v>
      </x:c>
      <x:c r="D69" s="40" t="str">
        <x:f>Despiece!D67</x:f>
        <x:v>Melamina Cartagena RH 15</x:v>
      </x:c>
      <x:c r="E69" s="41" t="n">
        <x:f>Despiece!G67</x:f>
        <x:v>1</x:v>
      </x:c>
      <x:c r="F69" s="45" t="n">
        <x:f>IF($Q$2="NO",ROUND(Despiece!L67,2),Despiece!E67)</x:f>
        <x:v>685</x:v>
      </x:c>
      <x:c r="G69" s="45" t="n">
        <x:f>IF($Q$2="NO",ROUND(Despiece!M67,2),Despiece!F67)</x:f>
        <x:v>320</x:v>
      </x:c>
      <x:c r="H69" s="42" t="str">
        <x:f>IF(Despiece!H67="2","R",IF(Despiece!H67="0.45","F","—"))</x:f>
        <x:v>F</x:v>
      </x:c>
      <x:c r="I69" s="42" t="str">
        <x:f>IF(Despiece!I67="2","R",IF(Despiece!I67="0.45","F","—"))</x:f>
        <x:v>—</x:v>
      </x:c>
      <x:c r="J69" s="42" t="str">
        <x:f>IF(Despiece!J67="2","R",IF(Despiece!J67="0.45","F","—"))</x:f>
        <x:v>—</x:v>
      </x:c>
      <x:c r="K69" s="42" t="str">
        <x:f>IF(Despiece!K67="2","R",IF(Despiece!K67="0.45","F","—"))</x:f>
        <x:v>—</x:v>
      </x:c>
      <x:c r="L69" s="42" t="str">
        <x:f>IF(SUMPRODUCT((Despiece!H67:K67="2")+(Despiece!H67:K67="0.45"))=0,"Sin canto",IF(OR(MIN(Despiece!L67,Despiece!M67)&lt;$Q$3,MAX(Despiece!L67,Despiece!M67)&lt;$Q$4),"Pequeña","Normal"))</x:f>
        <x:v>Normal</x:v>
      </x:c>
      <x:c r="M69" s="40" t="str">
        <x:f>Despiece!E67&amp;" × "&amp;Despiece!F67</x:f>
        <x:v>685 × 320</x:v>
      </x:c>
      <x:c r="N69" s="43" t="str">
        <x:f>IF(LEN(TRIM(IF($L69="Pequeña","Si no la cantean: cortar a "&amp;ROUND(Despiece!L67,2)&amp;" × "&amp;ROUND(Despiece!M67,2)&amp;" y cantear en el armado.","")&amp;" "&amp;IFERROR(VLOOKUP(Despiece!A67,$S$2:$T$40,2,FALSE),"")))=0,"—",TRIM(IF($L69="Pequeña","Si no la cantean: cortar a "&amp;ROUND(Despiece!L67,2)&amp;" × "&amp;ROUND(Despiece!M67,2)&amp;" y cantear en el armado.","")&amp;" "&amp;IFERROR(VLOOKUP(Despiece!A67,$S$2:$T$40,2,FALSE),"")))</x:f>
        <x:v>—</x:v>
      </x:c>
    </x:row>
    <x:row r="70" ht="28.799999237060547">
      <x:c r="A70" s="40" t="str">
        <x:f>Despiece!A68</x:f>
        <x:v>P060</x:v>
      </x:c>
      <x:c r="B70" s="40" t="str">
        <x:f>Despiece!B68</x:f>
        <x:v>S4 Platero 71,5</x:v>
      </x:c>
      <x:c r="C70" s="40" t="str">
        <x:f>Despiece!C68</x:f>
        <x:v>Listón inferior delantero</x:v>
      </x:c>
      <x:c r="D70" s="40" t="str">
        <x:f>Despiece!D68</x:f>
        <x:v>Melamina Cartagena RH 15</x:v>
      </x:c>
      <x:c r="E70" s="41" t="n">
        <x:f>Despiece!G68</x:f>
        <x:v>1</x:v>
      </x:c>
      <x:c r="F70" s="45" t="n">
        <x:f>IF($Q$2="NO",ROUND(Despiece!L68,2),Despiece!E68)</x:f>
        <x:v>685</x:v>
      </x:c>
      <x:c r="G70" s="45" t="n">
        <x:f>IF($Q$2="NO",ROUND(Despiece!M68,2),Despiece!F68)</x:f>
        <x:v>60</x:v>
      </x:c>
      <x:c r="H70" s="42" t="str">
        <x:f>IF(Despiece!H68="2","R",IF(Despiece!H68="0.45","F","—"))</x:f>
        <x:v>F</x:v>
      </x:c>
      <x:c r="I70" s="42" t="str">
        <x:f>IF(Despiece!I68="2","R",IF(Despiece!I68="0.45","F","—"))</x:f>
        <x:v>F</x:v>
      </x:c>
      <x:c r="J70" s="42" t="str">
        <x:f>IF(Despiece!J68="2","R",IF(Despiece!J68="0.45","F","—"))</x:f>
        <x:v>F</x:v>
      </x:c>
      <x:c r="K70" s="42" t="str">
        <x:f>IF(Despiece!K68="2","R",IF(Despiece!K68="0.45","F","—"))</x:f>
        <x:v>F</x:v>
      </x:c>
      <x:c r="L70" s="42" t="str">
        <x:f>IF(SUMPRODUCT((Despiece!H68:K68="2")+(Despiece!H68:K68="0.45"))=0,"Sin canto",IF(OR(MIN(Despiece!L68,Despiece!M68)&lt;$Q$3,MAX(Despiece!L68,Despiece!M68)&lt;$Q$4),"Pequeña","Normal"))</x:f>
        <x:v>Pequeña</x:v>
      </x:c>
      <x:c r="M70" s="40" t="str">
        <x:f>Despiece!E68&amp;" × "&amp;Despiece!F68</x:f>
        <x:v>685 × 60</x:v>
      </x:c>
      <x:c r="N70" s="43" t="str">
        <x:f>IF(LEN(TRIM(IF($L70="Pequeña","Si no la cantean: cortar a "&amp;ROUND(Despiece!L68,2)&amp;" × "&amp;ROUND(Despiece!M68,2)&amp;" y cantear en el armado.","")&amp;" "&amp;IFERROR(VLOOKUP(Despiece!A68,$S$2:$T$40,2,FALSE),"")))=0,"—",TRIM(IF($L70="Pequeña","Si no la cantean: cortar a "&amp;ROUND(Despiece!L68,2)&amp;" × "&amp;ROUND(Despiece!M68,2)&amp;" y cantear en el armado.","")&amp;" "&amp;IFERROR(VLOOKUP(Despiece!A68,$S$2:$T$40,2,FALSE),"")))</x:f>
        <x:v>Si no la cantean: cortar a 684.1 × 59.1 y cantear en el armado.</x:v>
      </x:c>
    </x:row>
    <x:row r="71" ht="28.799999237060547">
      <x:c r="A71" s="40" t="str">
        <x:f>Despiece!A69</x:f>
        <x:v>P061</x:v>
      </x:c>
      <x:c r="B71" s="40" t="str">
        <x:f>Despiece!B69</x:f>
        <x:v>S4 Platero 71,5</x:v>
      </x:c>
      <x:c r="C71" s="40" t="str">
        <x:f>Despiece!C69</x:f>
        <x:v>Listón inferior trasero</x:v>
      </x:c>
      <x:c r="D71" s="40" t="str">
        <x:f>Despiece!D69</x:f>
        <x:v>Melamina Cartagena RH 15</x:v>
      </x:c>
      <x:c r="E71" s="41" t="n">
        <x:f>Despiece!G69</x:f>
        <x:v>1</x:v>
      </x:c>
      <x:c r="F71" s="45" t="n">
        <x:f>IF($Q$2="NO",ROUND(Despiece!L69,2),Despiece!E69)</x:f>
        <x:v>685</x:v>
      </x:c>
      <x:c r="G71" s="45" t="n">
        <x:f>IF($Q$2="NO",ROUND(Despiece!M69,2),Despiece!F69)</x:f>
        <x:v>80</x:v>
      </x:c>
      <x:c r="H71" s="42" t="str">
        <x:f>IF(Despiece!H69="2","R",IF(Despiece!H69="0.45","F","—"))</x:f>
        <x:v>F</x:v>
      </x:c>
      <x:c r="I71" s="42" t="str">
        <x:f>IF(Despiece!I69="2","R",IF(Despiece!I69="0.45","F","—"))</x:f>
        <x:v>F</x:v>
      </x:c>
      <x:c r="J71" s="42" t="str">
        <x:f>IF(Despiece!J69="2","R",IF(Despiece!J69="0.45","F","—"))</x:f>
        <x:v>F</x:v>
      </x:c>
      <x:c r="K71" s="42" t="str">
        <x:f>IF(Despiece!K69="2","R",IF(Despiece!K69="0.45","F","—"))</x:f>
        <x:v>F</x:v>
      </x:c>
      <x:c r="L71" s="42" t="str">
        <x:f>IF(SUMPRODUCT((Despiece!H69:K69="2")+(Despiece!H69:K69="0.45"))=0,"Sin canto",IF(OR(MIN(Despiece!L69,Despiece!M69)&lt;$Q$3,MAX(Despiece!L69,Despiece!M69)&lt;$Q$4),"Pequeña","Normal"))</x:f>
        <x:v>Pequeña</x:v>
      </x:c>
      <x:c r="M71" s="40" t="str">
        <x:f>Despiece!E69&amp;" × "&amp;Despiece!F69</x:f>
        <x:v>685 × 80</x:v>
      </x:c>
      <x:c r="N71" s="43" t="str">
        <x:f>IF(LEN(TRIM(IF($L71="Pequeña","Si no la cantean: cortar a "&amp;ROUND(Despiece!L69,2)&amp;" × "&amp;ROUND(Despiece!M69,2)&amp;" y cantear en el armado.","")&amp;" "&amp;IFERROR(VLOOKUP(Despiece!A69,$S$2:$T$40,2,FALSE),"")))=0,"—",TRIM(IF($L71="Pequeña","Si no la cantean: cortar a "&amp;ROUND(Despiece!L69,2)&amp;" × "&amp;ROUND(Despiece!M69,2)&amp;" y cantear en el armado.","")&amp;" "&amp;IFERROR(VLOOKUP(Despiece!A69,$S$2:$T$40,2,FALSE),"")))</x:f>
        <x:v>Si no la cantean: cortar a 684.1 × 79.1 y cantear en el armado.</x:v>
      </x:c>
    </x:row>
    <x:row r="72">
      <x:c r="A72" s="40" t="str">
        <x:f>Despiece!A70</x:f>
        <x:v>P062</x:v>
      </x:c>
      <x:c r="B72" s="40" t="str">
        <x:f>Despiece!B70</x:f>
        <x:v>S4 Platero 71,5</x:v>
      </x:c>
      <x:c r="C72" s="40" t="str">
        <x:f>Despiece!C70</x:f>
        <x:v>Fondo</x:v>
      </x:c>
      <x:c r="D72" s="40" t="str">
        <x:f>Despiece!D70</x:f>
        <x:v>Fondo melamina 6</x:v>
      </x:c>
      <x:c r="E72" s="41" t="n">
        <x:f>Despiece!G70</x:f>
        <x:v>1</x:v>
      </x:c>
      <x:c r="F72" s="45" t="n">
        <x:f>IF($Q$2="NO",ROUND(Despiece!L70,2),Despiece!E70)</x:f>
        <x:v>711</x:v>
      </x:c>
      <x:c r="G72" s="45" t="n">
        <x:f>IF($Q$2="NO",ROUND(Despiece!M70,2),Despiece!F70)</x:f>
        <x:v>696</x:v>
      </x:c>
      <x:c r="H72" s="42" t="str">
        <x:f>IF(Despiece!H70="2","R",IF(Despiece!H70="0.45","F","—"))</x:f>
        <x:v>—</x:v>
      </x:c>
      <x:c r="I72" s="42" t="str">
        <x:f>IF(Despiece!I70="2","R",IF(Despiece!I70="0.45","F","—"))</x:f>
        <x:v>—</x:v>
      </x:c>
      <x:c r="J72" s="42" t="str">
        <x:f>IF(Despiece!J70="2","R",IF(Despiece!J70="0.45","F","—"))</x:f>
        <x:v>—</x:v>
      </x:c>
      <x:c r="K72" s="42" t="str">
        <x:f>IF(Despiece!K70="2","R",IF(Despiece!K70="0.45","F","—"))</x:f>
        <x:v>—</x:v>
      </x:c>
      <x:c r="L72" s="42" t="str">
        <x:f>IF(SUMPRODUCT((Despiece!H70:K70="2")+(Despiece!H70:K70="0.45"))=0,"Sin canto",IF(OR(MIN(Despiece!L70,Despiece!M70)&lt;$Q$3,MAX(Despiece!L70,Despiece!M70)&lt;$Q$4),"Pequeña","Normal"))</x:f>
        <x:v>Sin canto</x:v>
      </x:c>
      <x:c r="M72" s="40" t="str">
        <x:f>Despiece!E70&amp;" × "&amp;Despiece!F70</x:f>
        <x:v>711 × 696</x:v>
      </x:c>
      <x:c r="N72" s="43" t="str">
        <x:f>IF(LEN(TRIM(IF($L72="Pequeña","Si no la cantean: cortar a "&amp;ROUND(Despiece!L70,2)&amp;" × "&amp;ROUND(Despiece!M70,2)&amp;" y cantear en el armado.","")&amp;" "&amp;IFERROR(VLOOKUP(Despiece!A70,$S$2:$T$40,2,FALSE),"")))=0,"—",TRIM(IF($L72="Pequeña","Si no la cantean: cortar a "&amp;ROUND(Despiece!L70,2)&amp;" × "&amp;ROUND(Despiece!M70,2)&amp;" y cantear en el armado.","")&amp;" "&amp;IFERROR(VLOOKUP(Despiece!A70,$S$2:$T$40,2,FALSE),"")))</x:f>
        <x:v>—</x:v>
      </x:c>
    </x:row>
    <x:row r="73">
      <x:c r="A73" s="40" t="str">
        <x:f>Despiece!A71</x:f>
        <x:v>P063</x:v>
      </x:c>
      <x:c r="B73" s="40" t="str">
        <x:f>Despiece!B71</x:f>
        <x:v>S4 Platero 71,5</x:v>
      </x:c>
      <x:c r="C73" s="40" t="str">
        <x:f>Despiece!C71</x:f>
        <x:v>Puerta izquierda</x:v>
      </x:c>
      <x:c r="D73" s="40" t="str">
        <x:f>Despiece!D71</x:f>
        <x:v>Melamina Cartagena RH 15</x:v>
      </x:c>
      <x:c r="E73" s="41" t="n">
        <x:f>Despiece!G71</x:f>
        <x:v>1</x:v>
      </x:c>
      <x:c r="F73" s="45" t="n">
        <x:f>IF($Q$2="NO",ROUND(Despiece!L71,2),Despiece!E71)</x:f>
        <x:v>717</x:v>
      </x:c>
      <x:c r="G73" s="45" t="n">
        <x:f>IF($Q$2="NO",ROUND(Despiece!M71,2),Despiece!F71)</x:f>
        <x:v>354.5</x:v>
      </x:c>
      <x:c r="H73" s="42" t="str">
        <x:f>IF(Despiece!H71="2","R",IF(Despiece!H71="0.45","F","—"))</x:f>
        <x:v>R</x:v>
      </x:c>
      <x:c r="I73" s="42" t="str">
        <x:f>IF(Despiece!I71="2","R",IF(Despiece!I71="0.45","F","—"))</x:f>
        <x:v>R</x:v>
      </x:c>
      <x:c r="J73" s="42" t="str">
        <x:f>IF(Despiece!J71="2","R",IF(Despiece!J71="0.45","F","—"))</x:f>
        <x:v>R</x:v>
      </x:c>
      <x:c r="K73" s="42" t="str">
        <x:f>IF(Despiece!K71="2","R",IF(Despiece!K71="0.45","F","—"))</x:f>
        <x:v>R</x:v>
      </x:c>
      <x:c r="L73" s="42" t="str">
        <x:f>IF(SUMPRODUCT((Despiece!H71:K71="2")+(Despiece!H71:K71="0.45"))=0,"Sin canto",IF(OR(MIN(Despiece!L71,Despiece!M71)&lt;$Q$3,MAX(Despiece!L71,Despiece!M71)&lt;$Q$4),"Pequeña","Normal"))</x:f>
        <x:v>Normal</x:v>
      </x:c>
      <x:c r="M73" s="40" t="str">
        <x:f>Despiece!E71&amp;" × "&amp;Despiece!F71</x:f>
        <x:v>717 × 354.5</x:v>
      </x:c>
      <x:c r="N73" s="43" t="str">
        <x:f>IF(LEN(TRIM(IF($L73="Pequeña","Si no la cantean: cortar a "&amp;ROUND(Despiece!L71,2)&amp;" × "&amp;ROUND(Despiece!M71,2)&amp;" y cantear en el armado.","")&amp;" "&amp;IFERROR(VLOOKUP(Despiece!A71,$S$2:$T$40,2,FALSE),"")))=0,"—",TRIM(IF($L73="Pequeña","Si no la cantean: cortar a "&amp;ROUND(Despiece!L71,2)&amp;" × "&amp;ROUND(Despiece!M71,2)&amp;" y cantear en el armado.","")&amp;" "&amp;IFERROR(VLOOKUP(Despiece!A71,$S$2:$T$40,2,FALSE),"")))</x:f>
        <x:v>—</x:v>
      </x:c>
    </x:row>
    <x:row r="74">
      <x:c r="A74" s="40" t="str">
        <x:f>Despiece!A72</x:f>
        <x:v>P064</x:v>
      </x:c>
      <x:c r="B74" s="40" t="str">
        <x:f>Despiece!B72</x:f>
        <x:v>S4 Platero 71,5</x:v>
      </x:c>
      <x:c r="C74" s="40" t="str">
        <x:f>Despiece!C72</x:f>
        <x:v>Puerta derecha</x:v>
      </x:c>
      <x:c r="D74" s="40" t="str">
        <x:f>Despiece!D72</x:f>
        <x:v>Melamina Cartagena RH 15</x:v>
      </x:c>
      <x:c r="E74" s="41" t="n">
        <x:f>Despiece!G72</x:f>
        <x:v>1</x:v>
      </x:c>
      <x:c r="F74" s="45" t="n">
        <x:f>IF($Q$2="NO",ROUND(Despiece!L72,2),Despiece!E72)</x:f>
        <x:v>717</x:v>
      </x:c>
      <x:c r="G74" s="45" t="n">
        <x:f>IF($Q$2="NO",ROUND(Despiece!M72,2),Despiece!F72)</x:f>
        <x:v>354.5</x:v>
      </x:c>
      <x:c r="H74" s="42" t="str">
        <x:f>IF(Despiece!H72="2","R",IF(Despiece!H72="0.45","F","—"))</x:f>
        <x:v>R</x:v>
      </x:c>
      <x:c r="I74" s="42" t="str">
        <x:f>IF(Despiece!I72="2","R",IF(Despiece!I72="0.45","F","—"))</x:f>
        <x:v>R</x:v>
      </x:c>
      <x:c r="J74" s="42" t="str">
        <x:f>IF(Despiece!J72="2","R",IF(Despiece!J72="0.45","F","—"))</x:f>
        <x:v>R</x:v>
      </x:c>
      <x:c r="K74" s="42" t="str">
        <x:f>IF(Despiece!K72="2","R",IF(Despiece!K72="0.45","F","—"))</x:f>
        <x:v>R</x:v>
      </x:c>
      <x:c r="L74" s="42" t="str">
        <x:f>IF(SUMPRODUCT((Despiece!H72:K72="2")+(Despiece!H72:K72="0.45"))=0,"Sin canto",IF(OR(MIN(Despiece!L72,Despiece!M72)&lt;$Q$3,MAX(Despiece!L72,Despiece!M72)&lt;$Q$4),"Pequeña","Normal"))</x:f>
        <x:v>Normal</x:v>
      </x:c>
      <x:c r="M74" s="40" t="str">
        <x:f>Despiece!E72&amp;" × "&amp;Despiece!F72</x:f>
        <x:v>717 × 354.5</x:v>
      </x:c>
      <x:c r="N74" s="43" t="str">
        <x:f>IF(LEN(TRIM(IF($L74="Pequeña","Si no la cantean: cortar a "&amp;ROUND(Despiece!L72,2)&amp;" × "&amp;ROUND(Despiece!M72,2)&amp;" y cantear en el armado.","")&amp;" "&amp;IFERROR(VLOOKUP(Despiece!A72,$S$2:$T$40,2,FALSE),"")))=0,"—",TRIM(IF($L74="Pequeña","Si no la cantean: cortar a "&amp;ROUND(Despiece!L72,2)&amp;" × "&amp;ROUND(Despiece!M72,2)&amp;" y cantear en el armado.","")&amp;" "&amp;IFERROR(VLOOKUP(Despiece!A72,$S$2:$T$40,2,FALSE),"")))</x:f>
        <x:v>—</x:v>
      </x:c>
    </x:row>
    <x:row r="75">
      <x:c r="A75" s="40" t="str">
        <x:f>Despiece!A73</x:f>
        <x:v>P065</x:v>
      </x:c>
      <x:c r="B75" s="40" t="str">
        <x:f>Despiece!B73</x:f>
        <x:v>S5 Alacena 40</x:v>
      </x:c>
      <x:c r="C75" s="40" t="str">
        <x:f>Despiece!C73</x:f>
        <x:v>Lateral</x:v>
      </x:c>
      <x:c r="D75" s="40" t="str">
        <x:f>Despiece!D73</x:f>
        <x:v>Melamina Cartagena RH 15</x:v>
      </x:c>
      <x:c r="E75" s="41" t="n">
        <x:f>Despiece!G73</x:f>
        <x:v>2</x:v>
      </x:c>
      <x:c r="F75" s="45" t="n">
        <x:f>IF($Q$2="NO",ROUND(Despiece!L73,2),Despiece!E73)</x:f>
        <x:v>700</x:v>
      </x:c>
      <x:c r="G75" s="45" t="n">
        <x:f>IF($Q$2="NO",ROUND(Despiece!M73,2),Despiece!F73)</x:f>
        <x:v>320</x:v>
      </x:c>
      <x:c r="H75" s="42" t="str">
        <x:f>IF(Despiece!H73="2","R",IF(Despiece!H73="0.45","F","—"))</x:f>
        <x:v>F</x:v>
      </x:c>
      <x:c r="I75" s="42" t="str">
        <x:f>IF(Despiece!I73="2","R",IF(Despiece!I73="0.45","F","—"))</x:f>
        <x:v>—</x:v>
      </x:c>
      <x:c r="J75" s="42" t="str">
        <x:f>IF(Despiece!J73="2","R",IF(Despiece!J73="0.45","F","—"))</x:f>
        <x:v>F</x:v>
      </x:c>
      <x:c r="K75" s="42" t="str">
        <x:f>IF(Despiece!K73="2","R",IF(Despiece!K73="0.45","F","—"))</x:f>
        <x:v>F</x:v>
      </x:c>
      <x:c r="L75" s="42" t="str">
        <x:f>IF(SUMPRODUCT((Despiece!H73:K73="2")+(Despiece!H73:K73="0.45"))=0,"Sin canto",IF(OR(MIN(Despiece!L73,Despiece!M73)&lt;$Q$3,MAX(Despiece!L73,Despiece!M73)&lt;$Q$4),"Pequeña","Normal"))</x:f>
        <x:v>Normal</x:v>
      </x:c>
      <x:c r="M75" s="40" t="str">
        <x:f>Despiece!E73&amp;" × "&amp;Despiece!F73</x:f>
        <x:v>700 × 320</x:v>
      </x:c>
      <x:c r="N75" s="43" t="str">
        <x:f>IF(LEN(TRIM(IF($L75="Pequeña","Si no la cantean: cortar a "&amp;ROUND(Despiece!L73,2)&amp;" × "&amp;ROUND(Despiece!M73,2)&amp;" y cantear en el armado.","")&amp;" "&amp;IFERROR(VLOOKUP(Despiece!A73,$S$2:$T$40,2,FALSE),"")))=0,"—",TRIM(IF($L75="Pequeña","Si no la cantean: cortar a "&amp;ROUND(Despiece!L73,2)&amp;" × "&amp;ROUND(Despiece!M73,2)&amp;" y cantear en el armado.","")&amp;" "&amp;IFERROR(VLOOKUP(Despiece!A73,$S$2:$T$40,2,FALSE),"")))</x:f>
        <x:v>—</x:v>
      </x:c>
    </x:row>
    <x:row r="76">
      <x:c r="A76" s="40" t="str">
        <x:f>Despiece!A74</x:f>
        <x:v>P066</x:v>
      </x:c>
      <x:c r="B76" s="40" t="str">
        <x:f>Despiece!B74</x:f>
        <x:v>S5 Alacena 40</x:v>
      </x:c>
      <x:c r="C76" s="40" t="str">
        <x:f>Despiece!C74</x:f>
        <x:v>Techo</x:v>
      </x:c>
      <x:c r="D76" s="40" t="str">
        <x:f>Despiece!D74</x:f>
        <x:v>Melamina Cartagena RH 15</x:v>
      </x:c>
      <x:c r="E76" s="41" t="n">
        <x:f>Despiece!G74</x:f>
        <x:v>1</x:v>
      </x:c>
      <x:c r="F76" s="45" t="n">
        <x:f>IF($Q$2="NO",ROUND(Despiece!L74,2),Despiece!E74)</x:f>
        <x:v>370</x:v>
      </x:c>
      <x:c r="G76" s="45" t="n">
        <x:f>IF($Q$2="NO",ROUND(Despiece!M74,2),Despiece!F74)</x:f>
        <x:v>320</x:v>
      </x:c>
      <x:c r="H76" s="42" t="str">
        <x:f>IF(Despiece!H74="2","R",IF(Despiece!H74="0.45","F","—"))</x:f>
        <x:v>F</x:v>
      </x:c>
      <x:c r="I76" s="42" t="str">
        <x:f>IF(Despiece!I74="2","R",IF(Despiece!I74="0.45","F","—"))</x:f>
        <x:v>—</x:v>
      </x:c>
      <x:c r="J76" s="42" t="str">
        <x:f>IF(Despiece!J74="2","R",IF(Despiece!J74="0.45","F","—"))</x:f>
        <x:v>—</x:v>
      </x:c>
      <x:c r="K76" s="42" t="str">
        <x:f>IF(Despiece!K74="2","R",IF(Despiece!K74="0.45","F","—"))</x:f>
        <x:v>—</x:v>
      </x:c>
      <x:c r="L76" s="42" t="str">
        <x:f>IF(SUMPRODUCT((Despiece!H74:K74="2")+(Despiece!H74:K74="0.45"))=0,"Sin canto",IF(OR(MIN(Despiece!L74,Despiece!M74)&lt;$Q$3,MAX(Despiece!L74,Despiece!M74)&lt;$Q$4),"Pequeña","Normal"))</x:f>
        <x:v>Normal</x:v>
      </x:c>
      <x:c r="M76" s="40" t="str">
        <x:f>Despiece!E74&amp;" × "&amp;Despiece!F74</x:f>
        <x:v>370 × 320</x:v>
      </x:c>
      <x:c r="N76" s="43" t="str">
        <x:f>IF(LEN(TRIM(IF($L76="Pequeña","Si no la cantean: cortar a "&amp;ROUND(Despiece!L74,2)&amp;" × "&amp;ROUND(Despiece!M74,2)&amp;" y cantear en el armado.","")&amp;" "&amp;IFERROR(VLOOKUP(Despiece!A74,$S$2:$T$40,2,FALSE),"")))=0,"—",TRIM(IF($L76="Pequeña","Si no la cantean: cortar a "&amp;ROUND(Despiece!L74,2)&amp;" × "&amp;ROUND(Despiece!M74,2)&amp;" y cantear en el armado.","")&amp;" "&amp;IFERROR(VLOOKUP(Despiece!A74,$S$2:$T$40,2,FALSE),"")))</x:f>
        <x:v>—</x:v>
      </x:c>
    </x:row>
    <x:row r="77">
      <x:c r="A77" s="40" t="str">
        <x:f>Despiece!A75</x:f>
        <x:v>P067</x:v>
      </x:c>
      <x:c r="B77" s="40" t="str">
        <x:f>Despiece!B75</x:f>
        <x:v>S5 Alacena 40</x:v>
      </x:c>
      <x:c r="C77" s="40" t="str">
        <x:f>Despiece!C75</x:f>
        <x:v>Piso</x:v>
      </x:c>
      <x:c r="D77" s="40" t="str">
        <x:f>Despiece!D75</x:f>
        <x:v>Melamina Cartagena RH 15</x:v>
      </x:c>
      <x:c r="E77" s="41" t="n">
        <x:f>Despiece!G75</x:f>
        <x:v>1</x:v>
      </x:c>
      <x:c r="F77" s="45" t="n">
        <x:f>IF($Q$2="NO",ROUND(Despiece!L75,2),Despiece!E75)</x:f>
        <x:v>370</x:v>
      </x:c>
      <x:c r="G77" s="45" t="n">
        <x:f>IF($Q$2="NO",ROUND(Despiece!M75,2),Despiece!F75)</x:f>
        <x:v>320</x:v>
      </x:c>
      <x:c r="H77" s="42" t="str">
        <x:f>IF(Despiece!H75="2","R",IF(Despiece!H75="0.45","F","—"))</x:f>
        <x:v>F</x:v>
      </x:c>
      <x:c r="I77" s="42" t="str">
        <x:f>IF(Despiece!I75="2","R",IF(Despiece!I75="0.45","F","—"))</x:f>
        <x:v>—</x:v>
      </x:c>
      <x:c r="J77" s="42" t="str">
        <x:f>IF(Despiece!J75="2","R",IF(Despiece!J75="0.45","F","—"))</x:f>
        <x:v>—</x:v>
      </x:c>
      <x:c r="K77" s="42" t="str">
        <x:f>IF(Despiece!K75="2","R",IF(Despiece!K75="0.45","F","—"))</x:f>
        <x:v>—</x:v>
      </x:c>
      <x:c r="L77" s="42" t="str">
        <x:f>IF(SUMPRODUCT((Despiece!H75:K75="2")+(Despiece!H75:K75="0.45"))=0,"Sin canto",IF(OR(MIN(Despiece!L75,Despiece!M75)&lt;$Q$3,MAX(Despiece!L75,Despiece!M75)&lt;$Q$4),"Pequeña","Normal"))</x:f>
        <x:v>Normal</x:v>
      </x:c>
      <x:c r="M77" s="40" t="str">
        <x:f>Despiece!E75&amp;" × "&amp;Despiece!F75</x:f>
        <x:v>370 × 320</x:v>
      </x:c>
      <x:c r="N77" s="43" t="str">
        <x:f>IF(LEN(TRIM(IF($L77="Pequeña","Si no la cantean: cortar a "&amp;ROUND(Despiece!L75,2)&amp;" × "&amp;ROUND(Despiece!M75,2)&amp;" y cantear en el armado.","")&amp;" "&amp;IFERROR(VLOOKUP(Despiece!A75,$S$2:$T$40,2,FALSE),"")))=0,"—",TRIM(IF($L77="Pequeña","Si no la cantean: cortar a "&amp;ROUND(Despiece!L75,2)&amp;" × "&amp;ROUND(Despiece!M75,2)&amp;" y cantear en el armado.","")&amp;" "&amp;IFERROR(VLOOKUP(Despiece!A75,$S$2:$T$40,2,FALSE),"")))</x:f>
        <x:v>—</x:v>
      </x:c>
    </x:row>
    <x:row r="78">
      <x:c r="A78" s="40" t="str">
        <x:f>Despiece!A76</x:f>
        <x:v>P068</x:v>
      </x:c>
      <x:c r="B78" s="40" t="str">
        <x:f>Despiece!B76</x:f>
        <x:v>S5 Alacena 40</x:v>
      </x:c>
      <x:c r="C78" s="40" t="str">
        <x:f>Despiece!C76</x:f>
        <x:v>Fondo</x:v>
      </x:c>
      <x:c r="D78" s="40" t="str">
        <x:f>Despiece!D76</x:f>
        <x:v>Fondo melamina 6</x:v>
      </x:c>
      <x:c r="E78" s="41" t="n">
        <x:f>Despiece!G76</x:f>
        <x:v>1</x:v>
      </x:c>
      <x:c r="F78" s="45" t="n">
        <x:f>IF($Q$2="NO",ROUND(Despiece!L76,2),Despiece!E76)</x:f>
        <x:v>396</x:v>
      </x:c>
      <x:c r="G78" s="45" t="n">
        <x:f>IF($Q$2="NO",ROUND(Despiece!M76,2),Despiece!F76)</x:f>
        <x:v>696</x:v>
      </x:c>
      <x:c r="H78" s="42" t="str">
        <x:f>IF(Despiece!H76="2","R",IF(Despiece!H76="0.45","F","—"))</x:f>
        <x:v>—</x:v>
      </x:c>
      <x:c r="I78" s="42" t="str">
        <x:f>IF(Despiece!I76="2","R",IF(Despiece!I76="0.45","F","—"))</x:f>
        <x:v>—</x:v>
      </x:c>
      <x:c r="J78" s="42" t="str">
        <x:f>IF(Despiece!J76="2","R",IF(Despiece!J76="0.45","F","—"))</x:f>
        <x:v>—</x:v>
      </x:c>
      <x:c r="K78" s="42" t="str">
        <x:f>IF(Despiece!K76="2","R",IF(Despiece!K76="0.45","F","—"))</x:f>
        <x:v>—</x:v>
      </x:c>
      <x:c r="L78" s="42" t="str">
        <x:f>IF(SUMPRODUCT((Despiece!H76:K76="2")+(Despiece!H76:K76="0.45"))=0,"Sin canto",IF(OR(MIN(Despiece!L76,Despiece!M76)&lt;$Q$3,MAX(Despiece!L76,Despiece!M76)&lt;$Q$4),"Pequeña","Normal"))</x:f>
        <x:v>Sin canto</x:v>
      </x:c>
      <x:c r="M78" s="40" t="str">
        <x:f>Despiece!E76&amp;" × "&amp;Despiece!F76</x:f>
        <x:v>396 × 696</x:v>
      </x:c>
      <x:c r="N78" s="43" t="str">
        <x:f>IF(LEN(TRIM(IF($L78="Pequeña","Si no la cantean: cortar a "&amp;ROUND(Despiece!L76,2)&amp;" × "&amp;ROUND(Despiece!M76,2)&amp;" y cantear en el armado.","")&amp;" "&amp;IFERROR(VLOOKUP(Despiece!A76,$S$2:$T$40,2,FALSE),"")))=0,"—",TRIM(IF($L78="Pequeña","Si no la cantean: cortar a "&amp;ROUND(Despiece!L76,2)&amp;" × "&amp;ROUND(Despiece!M76,2)&amp;" y cantear en el armado.","")&amp;" "&amp;IFERROR(VLOOKUP(Despiece!A76,$S$2:$T$40,2,FALSE),"")))</x:f>
        <x:v>—</x:v>
      </x:c>
    </x:row>
    <x:row r="79">
      <x:c r="A79" s="40" t="str">
        <x:f>Despiece!A77</x:f>
        <x:v>P069</x:v>
      </x:c>
      <x:c r="B79" s="40" t="str">
        <x:f>Despiece!B77</x:f>
        <x:v>S5 Alacena 40</x:v>
      </x:c>
      <x:c r="C79" s="40" t="str">
        <x:f>Despiece!C77</x:f>
        <x:v>Entrepaño regulable</x:v>
      </x:c>
      <x:c r="D79" s="40" t="str">
        <x:f>Despiece!D77</x:f>
        <x:v>Melamina Cartagena RH 15</x:v>
      </x:c>
      <x:c r="E79" s="41" t="n">
        <x:f>Despiece!G77</x:f>
        <x:v>1</x:v>
      </x:c>
      <x:c r="F79" s="45" t="n">
        <x:f>IF($Q$2="NO",ROUND(Despiece!L77,2),Despiece!E77)</x:f>
        <x:v>368</x:v>
      </x:c>
      <x:c r="G79" s="45" t="n">
        <x:f>IF($Q$2="NO",ROUND(Despiece!M77,2),Despiece!F77)</x:f>
        <x:v>300</x:v>
      </x:c>
      <x:c r="H79" s="42" t="str">
        <x:f>IF(Despiece!H77="2","R",IF(Despiece!H77="0.45","F","—"))</x:f>
        <x:v>F</x:v>
      </x:c>
      <x:c r="I79" s="42" t="str">
        <x:f>IF(Despiece!I77="2","R",IF(Despiece!I77="0.45","F","—"))</x:f>
        <x:v>—</x:v>
      </x:c>
      <x:c r="J79" s="42" t="str">
        <x:f>IF(Despiece!J77="2","R",IF(Despiece!J77="0.45","F","—"))</x:f>
        <x:v>—</x:v>
      </x:c>
      <x:c r="K79" s="42" t="str">
        <x:f>IF(Despiece!K77="2","R",IF(Despiece!K77="0.45","F","—"))</x:f>
        <x:v>—</x:v>
      </x:c>
      <x:c r="L79" s="42" t="str">
        <x:f>IF(SUMPRODUCT((Despiece!H77:K77="2")+(Despiece!H77:K77="0.45"))=0,"Sin canto",IF(OR(MIN(Despiece!L77,Despiece!M77)&lt;$Q$3,MAX(Despiece!L77,Despiece!M77)&lt;$Q$4),"Pequeña","Normal"))</x:f>
        <x:v>Normal</x:v>
      </x:c>
      <x:c r="M79" s="40" t="str">
        <x:f>Despiece!E77&amp;" × "&amp;Despiece!F77</x:f>
        <x:v>368 × 300</x:v>
      </x:c>
      <x:c r="N79" s="43" t="str">
        <x:f>IF(LEN(TRIM(IF($L79="Pequeña","Si no la cantean: cortar a "&amp;ROUND(Despiece!L77,2)&amp;" × "&amp;ROUND(Despiece!M77,2)&amp;" y cantear en el armado.","")&amp;" "&amp;IFERROR(VLOOKUP(Despiece!A77,$S$2:$T$40,2,FALSE),"")))=0,"—",TRIM(IF($L79="Pequeña","Si no la cantean: cortar a "&amp;ROUND(Despiece!L77,2)&amp;" × "&amp;ROUND(Despiece!M77,2)&amp;" y cantear en el armado.","")&amp;" "&amp;IFERROR(VLOOKUP(Despiece!A77,$S$2:$T$40,2,FALSE),"")))</x:f>
        <x:v>—</x:v>
      </x:c>
    </x:row>
    <x:row r="80">
      <x:c r="A80" s="40" t="str">
        <x:f>Despiece!A78</x:f>
        <x:v>P070</x:v>
      </x:c>
      <x:c r="B80" s="40" t="str">
        <x:f>Despiece!B78</x:f>
        <x:v>S5 Alacena 40</x:v>
      </x:c>
      <x:c r="C80" s="40" t="str">
        <x:f>Despiece!C78</x:f>
        <x:v>Puerta</x:v>
      </x:c>
      <x:c r="D80" s="40" t="str">
        <x:f>Despiece!D78</x:f>
        <x:v>Melamina Cartagena RH 15</x:v>
      </x:c>
      <x:c r="E80" s="41" t="n">
        <x:f>Despiece!G78</x:f>
        <x:v>1</x:v>
      </x:c>
      <x:c r="F80" s="45" t="n">
        <x:f>IF($Q$2="NO",ROUND(Despiece!L78,2),Despiece!E78)</x:f>
        <x:v>717</x:v>
      </x:c>
      <x:c r="G80" s="45" t="n">
        <x:f>IF($Q$2="NO",ROUND(Despiece!M78,2),Despiece!F78)</x:f>
        <x:v>397</x:v>
      </x:c>
      <x:c r="H80" s="42" t="str">
        <x:f>IF(Despiece!H78="2","R",IF(Despiece!H78="0.45","F","—"))</x:f>
        <x:v>R</x:v>
      </x:c>
      <x:c r="I80" s="42" t="str">
        <x:f>IF(Despiece!I78="2","R",IF(Despiece!I78="0.45","F","—"))</x:f>
        <x:v>R</x:v>
      </x:c>
      <x:c r="J80" s="42" t="str">
        <x:f>IF(Despiece!J78="2","R",IF(Despiece!J78="0.45","F","—"))</x:f>
        <x:v>R</x:v>
      </x:c>
      <x:c r="K80" s="42" t="str">
        <x:f>IF(Despiece!K78="2","R",IF(Despiece!K78="0.45","F","—"))</x:f>
        <x:v>R</x:v>
      </x:c>
      <x:c r="L80" s="42" t="str">
        <x:f>IF(SUMPRODUCT((Despiece!H78:K78="2")+(Despiece!H78:K78="0.45"))=0,"Sin canto",IF(OR(MIN(Despiece!L78,Despiece!M78)&lt;$Q$3,MAX(Despiece!L78,Despiece!M78)&lt;$Q$4),"Pequeña","Normal"))</x:f>
        <x:v>Normal</x:v>
      </x:c>
      <x:c r="M80" s="40" t="str">
        <x:f>Despiece!E78&amp;" × "&amp;Despiece!F78</x:f>
        <x:v>717 × 397</x:v>
      </x:c>
      <x:c r="N80" s="43" t="str">
        <x:f>IF(LEN(TRIM(IF($L80="Pequeña","Si no la cantean: cortar a "&amp;ROUND(Despiece!L78,2)&amp;" × "&amp;ROUND(Despiece!M78,2)&amp;" y cantear en el armado.","")&amp;" "&amp;IFERROR(VLOOKUP(Despiece!A78,$S$2:$T$40,2,FALSE),"")))=0,"—",TRIM(IF($L80="Pequeña","Si no la cantean: cortar a "&amp;ROUND(Despiece!L78,2)&amp;" × "&amp;ROUND(Despiece!M78,2)&amp;" y cantear en el armado.","")&amp;" "&amp;IFERROR(VLOOKUP(Despiece!A78,$S$2:$T$40,2,FALSE),"")))</x:f>
        <x:v>—</x:v>
      </x:c>
    </x:row>
    <x:row r="82">
      <x:c r="C82" s="34" t="s">
        <x:v>170</x:v>
      </x:c>
      <x:c r="D82" s="35"/>
      <x:c r="E82" s="35"/>
      <x:c r="F82" s="34" t="s">
        <x:v>171</x:v>
      </x:c>
      <x:c r="G82" s="34" t="s">
        <x:v>172</x:v>
      </x:c>
    </x:row>
    <x:row r="83">
      <x:c r="C83" s="34" t="s">
        <x:v>173</x:v>
      </x:c>
      <x:c r="D83" s="35"/>
      <x:c r="E83" s="35"/>
      <x:c r="F83" s="44" t="n">
        <x:f>(SUMPRODUCT(Despiece!$G$5:$G$78,Despiece!$E$5:$E$78,(Despiece!$H$5:$H$78="2")+(Despiece!$I$5:$I$78="2"),--($L$7:$L$80="Normal"))+SUMPRODUCT(Despiece!$G$5:$G$78,Despiece!$F$5:$F$78,(Despiece!$J$5:$J$78="2")+(Despiece!$K$5:$K$78="2"),--($L$7:$L$80="Normal")))/1000</x:f>
        <x:v>30.137</x:v>
      </x:c>
      <x:c r="G83" s="44" t="n">
        <x:f>(SUMPRODUCT(Despiece!$G$5:$G$78,Despiece!$E$5:$E$78,(Despiece!$H$5:$H$78="2")+(Despiece!$I$5:$I$78="2"),--($L$7:$L$80="Pequeña"))+SUMPRODUCT(Despiece!$G$5:$G$78,Despiece!$F$5:$F$78,(Despiece!$J$5:$J$78="2")+(Despiece!$K$5:$K$78="2"),--($L$7:$L$80="Pequeña")))/1000</x:f>
        <x:v>0</x:v>
      </x:c>
    </x:row>
    <x:row r="84">
      <x:c r="C84" s="34" t="s">
        <x:v>174</x:v>
      </x:c>
      <x:c r="D84" s="35"/>
      <x:c r="E84" s="35"/>
      <x:c r="F84" s="44" t="n">
        <x:f>(SUMPRODUCT(Despiece!$G$5:$G$78,Despiece!$E$5:$E$78,(Despiece!$H$5:$H$78="0.45")+(Despiece!$I$5:$I$78="0.45"),--($L$7:$L$80="Normal"))+SUMPRODUCT(Despiece!$G$5:$G$78,Despiece!$F$5:$F$78,(Despiece!$J$5:$J$78="0.45")+(Despiece!$K$5:$K$78="0.45"),--($L$7:$L$80="Normal")))/1000</x:f>
        <x:v>43.042</x:v>
      </x:c>
      <x:c r="G84" s="44" t="n">
        <x:f>(SUMPRODUCT(Despiece!$G$5:$G$78,Despiece!$E$5:$E$78,(Despiece!$H$5:$H$78="0.45")+(Despiece!$I$5:$I$78="0.45"),--($L$7:$L$80="Pequeña"))+SUMPRODUCT(Despiece!$G$5:$G$78,Despiece!$F$5:$F$78,(Despiece!$J$5:$J$78="0.45")+(Despiece!$K$5:$K$78="0.45"),--($L$7:$L$80="Pequeña")))/1000</x:f>
        <x:v>24.976</x:v>
      </x:c>
    </x:row>
    <x:row r="85">
      <x:c r="C85" s="34" t="s">
        <x:v>175</x:v>
      </x:c>
      <x:c r="D85" s="35"/>
      <x:c r="E85" s="35"/>
      <x:c r="F85" s="36" t="n">
        <x:f>SUMPRODUCT($E$7:$E$80,--($L$7:$L$80&lt;&gt;"Pequeña"))</x:f>
        <x:v>71</x:v>
      </x:c>
      <x:c r="G85" s="36" t="n">
        <x:f>SUMIF($L$7:$L$80,"Pequeña",$E$7:$E$80)</x:f>
        <x:v>23</x:v>
      </x:c>
    </x:row>
    <x:row r="87">
      <x:c r="C87" s="34" t="s">
        <x:v>176</x:v>
      </x:c>
      <x:c r="D87" s="35"/>
      <x:c r="E87" s="35"/>
      <x:c r="F87" s="34" t="s">
        <x:v>173</x:v>
      </x:c>
      <x:c r="G87" s="34" t="s">
        <x:v>174</x:v>
      </x:c>
    </x:row>
    <x:row r="88">
      <x:c r="C88" s="28" t="s">
        <x:v>177</x:v>
      </x:c>
      <x:c r="F88" s="32" t="n">
        <x:f>SUMPRODUCT(Despiece!$G$5:$G$78,(Despiece!$H$5:$H$78="2")+(Despiece!$I$5:$I$78="2")+(Despiece!$J$5:$J$78="2")+(Despiece!$K$5:$K$78="2"),--($L$7:$L$80="Pequeña"))</x:f>
        <x:v>0</x:v>
      </x:c>
      <x:c r="G88" s="32" t="n">
        <x:f>SUMPRODUCT(Despiece!$G$5:$G$78,(Despiece!$H$5:$H$78="0.45")+(Despiece!$I$5:$I$78="0.45")+(Despiece!$J$5:$J$78="0.45")+(Despiece!$K$5:$K$78="0.45"),--($L$7:$L$80="Pequeña"))</x:f>
        <x:v>64</x:v>
      </x:c>
    </x:row>
    <x:row r="89">
      <x:c r="C89" s="28" t="s">
        <x:v>178</x:v>
      </x:c>
      <x:c r="F89" s="2" t="n">
        <x:f>G83</x:f>
        <x:v>0</x:v>
      </x:c>
      <x:c r="G89" s="2" t="n">
        <x:f>G84</x:f>
        <x:v>24.976</x:v>
      </x:c>
    </x:row>
    <x:row r="90">
      <x:c r="C90" s="28" t="s">
        <x:v>179</x:v>
      </x:c>
      <x:c r="F90" s="37">
        <x:v>0.1</x:v>
      </x:c>
      <x:c r="G90" s="37">
        <x:v>0.1</x:v>
      </x:c>
    </x:row>
    <x:row r="91">
      <x:c r="C91" s="28" t="s">
        <x:v>180</x:v>
      </x:c>
      <x:c r="F91" s="38">
        <x:v>0.2</x:v>
      </x:c>
      <x:c r="G91" s="38">
        <x:v>0.2</x:v>
      </x:c>
    </x:row>
    <x:row r="92">
      <x:c r="C92" s="34" t="s">
        <x:v>181</x:v>
      </x:c>
      <x:c r="D92" s="35"/>
      <x:c r="E92" s="35"/>
      <x:c r="F92" s="33" t="n">
        <x:f>IF(F88=0,0,ROUNDUP((F89+F88*F90)*(1+F91),0))</x:f>
        <x:v>0</x:v>
      </x:c>
      <x:c r="G92" s="33" t="n">
        <x:f>IF(G88=0,0,ROUNDUP((G89+G88*G90)*(1+G91),0))</x:f>
        <x:v>38</x:v>
      </x:c>
    </x:row>
    <x:row r="93" ht="49.95000076293945" customHeight="1">
      <x:c r="C93" s="56" t="s">
        <x:v>182</x:v>
      </x:c>
      <x:c r="D93" s="53"/>
      <x:c r="E93" s="53"/>
      <x:c r="F93" s="53"/>
      <x:c r="G93" s="53"/>
      <x:c r="H93" s="53"/>
      <x:c r="I93" s="53"/>
      <x:c r="J93" s="53"/>
      <x:c r="K93" s="53"/>
      <x:c r="L93" s="53"/>
      <x:c r="M93" s="53"/>
      <x:c r="N93" s="53"/>
    </x:row>
    <x:row r="94" ht="34.04999923706055" customHeight="1">
      <x:c r="C94" t="s">
        <x:v>183</x:v>
      </x:c>
      <x:c r="F94" s="46"/>
      <x:c r="G94" s="46"/>
    </x:row>
    <x:row r="95" ht="34.04999923706055" customHeight="1">
      <x:c r="C95" t="s">
        <x:v>184</x:v>
      </x:c>
      <x:c r="F95" s="46">
        <x:v>0</x:v>
      </x:c>
      <x:c r="G95" s="46">
        <x:v>0</x:v>
      </x:c>
    </x:row>
    <x:row r="96" ht="34.04999923706055" customHeight="1">
      <x:c r="C96" s="47" t="s">
        <x:v>185</x:v>
      </x:c>
      <x:c r="D96" s="47"/>
      <x:c r="E96" s="47"/>
      <x:c r="F96" s="48" t="n">
        <x:f>ROUNDUP(MAX(IF(ISNUMBER(F94),F94,F92)-F95,0),0)</x:f>
        <x:v>0</x:v>
      </x:c>
      <x:c r="G96" s="48" t="n">
        <x:f>ROUNDUP(MAX(IF(ISNUMBER(G94),G94,G92)-G95,0),0)</x:f>
        <x:v>38</x:v>
      </x:c>
    </x:row>
    <x:row r="97" ht="49.95000076293945" customHeight="1">
      <x:c r="C97" s="57" t="s">
        <x:v>186</x:v>
      </x:c>
      <x:c r="D97" s="53"/>
      <x:c r="E97" s="53"/>
      <x:c r="F97" s="53"/>
      <x:c r="G97" s="53"/>
      <x:c r="H97" s="53"/>
      <x:c r="I97" s="53"/>
      <x:c r="J97" s="53"/>
      <x:c r="K97" s="53"/>
      <x:c r="L97" s="53"/>
      <x:c r="M97" s="53"/>
      <x:c r="N97" s="53"/>
    </x:row>
  </x:sheetData>
  <x:mergeCells>
    <x:mergeCell ref="C93:N93"/>
    <x:mergeCell ref="C97:N97"/>
  </x:mergeCells>
  <x:dataValidations count="1">
    <x:dataValidation type="list" allowBlank="1" showInputMessage="1" showErrorMessage="1" sqref="Q2"/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baseColWidth="10" defaultColWidth="8.88671875" defaultRowHeight="14.399999618530273"/>
  <x:cols>
    <x:col min="1" max="1" width="22" customWidth="1"/>
    <x:col min="2" max="2" width="68" customWidth="1"/>
    <x:col min="3" max="3" width="10" customWidth="1"/>
    <x:col min="4" max="4" width="19" customWidth="1"/>
    <x:col min="5" max="5" width="20" customWidth="1"/>
    <x:col min="6" max="6" width="115" customWidth="1"/>
  </x:cols>
  <x:sheetData>
    <x:row r="1" ht="42" customHeight="1">
      <x:c r="A1" s="13" t="s">
        <x:v>187</x:v>
      </x:c>
      <x:c r="B1" s="13" t="s">
        <x:v>188</x:v>
      </x:c>
      <x:c r="C1" s="13" t="s">
        <x:v>9</x:v>
      </x:c>
      <x:c r="D1" s="13" t="s">
        <x:v>189</x:v>
      </x:c>
      <x:c r="E1" s="13" t="s">
        <x:v>190</x:v>
      </x:c>
      <x:c r="F1" s="13" t="s">
        <x:v>191</x:v>
      </x:c>
    </x:row>
    <x:row r="2" ht="72" customHeight="1">
      <x:c r="A2" s="5" t="s">
        <x:v>192</x:v>
      </x:c>
      <x:c r="B2" s="5" t="s">
        <x:v>193</x:v>
      </x:c>
      <x:c r="C2" s="19">
        <x:v>4</x:v>
      </x:c>
      <x:c r="D2" s="20">
        <x:v>365872</x:v>
      </x:c>
      <x:c r="E2" s="20" t="n">
        <x:f t="shared" ref="E2:E32" si="0">IF(AND(ISNUMBER(C2),ISNUMBER(D2)),C2*D2,"Por cotizar")</x:f>
        <x:v>1463488</x:v>
      </x:c>
      <x:c r="F2" s="27" t="s">
        <x:v>194</x:v>
      </x:c>
    </x:row>
    <x:row r="3" ht="72" customHeight="1">
      <x:c r="A3" s="5" t="s">
        <x:v>192</x:v>
      </x:c>
      <x:c r="B3" s="5" t="s">
        <x:v>195</x:v>
      </x:c>
      <x:c r="C3" s="19">
        <x:v>1</x:v>
      </x:c>
      <x:c r="D3" s="20">
        <x:v>212534</x:v>
      </x:c>
      <x:c r="E3" s="20" t="n">
        <x:f t="shared" si="0">IF(AND(ISNUMBER(C3),ISNUMBER(D3)),C3*D3,"Por cotizar")</x:f>
        <x:v>212534</x:v>
      </x:c>
      <x:c r="F3" s="27" t="s">
        <x:v>196</x:v>
      </x:c>
    </x:row>
    <x:row r="4" ht="72" customHeight="1">
      <x:c r="A4" s="5" t="s">
        <x:v>192</x:v>
      </x:c>
      <x:c r="B4" s="5" t="s">
        <x:v>197</x:v>
      </x:c>
      <x:c r="C4" s="19" t="n">
        <x:f>ROUNDUP(Cantos!F4/Cantos!H4,0)</x:f>
        <x:v>1</x:v>
      </x:c>
      <x:c r="D4" s="20">
        <x:v>531600</x:v>
      </x:c>
      <x:c r="E4" s="20" t="n">
        <x:f t="shared" si="0">IF(AND(ISNUMBER(C4),ISNUMBER(D4)),C4*D4,"Por cotizar")</x:f>
        <x:v>531600</x:v>
      </x:c>
      <x:c r="F4" s="27" t="s">
        <x:v>198</x:v>
      </x:c>
    </x:row>
    <x:row r="5" ht="72" customHeight="1">
      <x:c r="A5" s="5" t="s">
        <x:v>192</x:v>
      </x:c>
      <x:c r="B5" s="5" t="s">
        <x:v>199</x:v>
      </x:c>
      <x:c r="C5" s="19" t="n">
        <x:f>ROUNDUP(Cantos!F5/Cantos!H5,0)</x:f>
        <x:v>1</x:v>
      </x:c>
      <x:c r="D5" s="20">
        <x:v>285600</x:v>
      </x:c>
      <x:c r="E5" s="20" t="n">
        <x:f t="shared" si="0">IF(AND(ISNUMBER(C5),ISNUMBER(D5)),C5*D5,"Por cotizar")</x:f>
        <x:v>285600</x:v>
      </x:c>
      <x:c r="F5" s="27" t="s">
        <x:v>198</x:v>
      </x:c>
    </x:row>
    <x:row r="6" ht="72" customHeight="1">
      <x:c r="A6" s="5" t="s">
        <x:v>200</x:v>
      </x:c>
      <x:c r="B6" s="5" t="s">
        <x:v>201</x:v>
      </x:c>
      <x:c r="C6" s="19">
        <x:v>1</x:v>
      </x:c>
      <x:c r="D6" s="20">
        <x:v>41215</x:v>
      </x:c>
      <x:c r="E6" s="20" t="n">
        <x:f t="shared" si="0">IF(AND(ISNUMBER(C6),ISNUMBER(D6)),C6*D6,"Por cotizar")</x:f>
        <x:v>41215</x:v>
      </x:c>
      <x:c r="F6" s="27" t="s">
        <x:v>202</x:v>
      </x:c>
    </x:row>
    <x:row r="7" ht="72" customHeight="1">
      <x:c r="A7" s="5" t="s">
        <x:v>200</x:v>
      </x:c>
      <x:c r="B7" s="5" t="s">
        <x:v>203</x:v>
      </x:c>
      <x:c r="C7" s="19">
        <x:v>1</x:v>
      </x:c>
      <x:c r="D7" s="20">
        <x:v>51014</x:v>
      </x:c>
      <x:c r="E7" s="20" t="n">
        <x:f t="shared" si="0">IF(AND(ISNUMBER(C7),ISNUMBER(D7)),C7*D7,"Por cotizar")</x:f>
        <x:v>51014</x:v>
      </x:c>
      <x:c r="F7" s="27" t="s">
        <x:v>204</x:v>
      </x:c>
    </x:row>
    <x:row r="8" ht="72" customHeight="1">
      <x:c r="A8" s="5" t="s">
        <x:v>200</x:v>
      </x:c>
      <x:c r="B8" s="5" t="s">
        <x:v>205</x:v>
      </x:c>
      <x:c r="C8" s="19">
        <x:v>1</x:v>
      </x:c>
      <x:c r="D8" s="20">
        <x:v>47034</x:v>
      </x:c>
      <x:c r="E8" s="20" t="n">
        <x:f t="shared" si="0">IF(AND(ISNUMBER(C8),ISNUMBER(D8)),C8*D8,"Por cotizar")</x:f>
        <x:v>47034</x:v>
      </x:c>
      <x:c r="F8" s="5" t="s">
        <x:v>206</x:v>
      </x:c>
    </x:row>
    <x:row r="9" ht="72" customHeight="1">
      <x:c r="A9" s="5" t="s">
        <x:v>200</x:v>
      </x:c>
      <x:c r="B9" s="5" t="s">
        <x:v>207</x:v>
      </x:c>
      <x:c r="C9" s="19">
        <x:v>12</x:v>
      </x:c>
      <x:c r="D9" s="20">
        <x:v>17750</x:v>
      </x:c>
      <x:c r="E9" s="20" t="n">
        <x:f t="shared" si="0">IF(AND(ISNUMBER(C9),ISNUMBER(D9)),C9*D9,"Por cotizar")</x:f>
        <x:v>213000</x:v>
      </x:c>
      <x:c r="F9" s="27" t="s">
        <x:v>208</x:v>
      </x:c>
    </x:row>
    <x:row r="10" ht="72" customHeight="1">
      <x:c r="A10" s="5" t="s">
        <x:v>200</x:v>
      </x:c>
      <x:c r="B10" s="5" t="s">
        <x:v>209</x:v>
      </x:c>
      <x:c r="C10" s="19">
        <x:v>1</x:v>
      </x:c>
      <x:c r="D10" s="20">
        <x:v>63539</x:v>
      </x:c>
      <x:c r="E10" s="20" t="n">
        <x:f t="shared" si="0">IF(AND(ISNUMBER(C10),ISNUMBER(D10)),C10*D10,"Por cotizar")</x:f>
        <x:v>63539</x:v>
      </x:c>
      <x:c r="F10" s="5" t="s">
        <x:v>210</x:v>
      </x:c>
    </x:row>
    <x:row r="11" ht="72" customHeight="1">
      <x:c r="A11" s="5" t="s">
        <x:v>200</x:v>
      </x:c>
      <x:c r="B11" s="5" t="s">
        <x:v>211</x:v>
      </x:c>
      <x:c r="C11" s="19">
        <x:v>1</x:v>
      </x:c>
      <x:c r="D11" s="20">
        <x:v>38791</x:v>
      </x:c>
      <x:c r="E11" s="20" t="n">
        <x:f t="shared" si="0">IF(AND(ISNUMBER(C11),ISNUMBER(D11)),C11*D11,"Por cotizar")</x:f>
        <x:v>38791</x:v>
      </x:c>
      <x:c r="F11" s="5" t="s">
        <x:v>212</x:v>
      </x:c>
    </x:row>
    <x:row r="12" ht="72" customHeight="1">
      <x:c r="A12" s="5" t="s">
        <x:v>200</x:v>
      </x:c>
      <x:c r="B12" s="5" t="s">
        <x:v>213</x:v>
      </x:c>
      <x:c r="C12" s="19">
        <x:v>24</x:v>
      </x:c>
      <x:c r="D12" s="20">
        <x:v>2042</x:v>
      </x:c>
      <x:c r="E12" s="20" t="n">
        <x:f t="shared" si="0">IF(AND(ISNUMBER(C12),ISNUMBER(D12)),C12*D12,"Por cotizar")</x:f>
        <x:v>49008</x:v>
      </x:c>
      <x:c r="F12" s="27" t="s">
        <x:v>214</x:v>
      </x:c>
    </x:row>
    <x:row r="13" ht="72" customHeight="1">
      <x:c r="A13" s="5" t="s">
        <x:v>200</x:v>
      </x:c>
      <x:c r="B13" s="5" t="s">
        <x:v>215</x:v>
      </x:c>
      <x:c r="C13" s="19">
        <x:v>5</x:v>
      </x:c>
      <x:c r="D13" s="20" t="s">
        <x:v>216</x:v>
      </x:c>
      <x:c r="E13" s="20" t="str">
        <x:f t="shared" si="0">IF(AND(ISNUMBER(C13),ISNUMBER(D13)),C13*D13,"Por cotizar")</x:f>
        <x:v>Por cotizar</x:v>
      </x:c>
      <x:c r="F13" s="27" t="s">
        <x:v>217</x:v>
      </x:c>
    </x:row>
    <x:row r="14" ht="72" customHeight="1">
      <x:c r="A14" s="5" t="s">
        <x:v>200</x:v>
      </x:c>
      <x:c r="B14" s="5" t="s">
        <x:v>218</x:v>
      </x:c>
      <x:c r="C14" s="19">
        <x:v>1</x:v>
      </x:c>
      <x:c r="D14" s="20" t="s">
        <x:v>216</x:v>
      </x:c>
      <x:c r="E14" s="20" t="str">
        <x:f t="shared" si="0">IF(AND(ISNUMBER(C14),ISNUMBER(D14)),C14*D14,"Por cotizar")</x:f>
        <x:v>Por cotizar</x:v>
      </x:c>
      <x:c r="F14" s="27" t="s">
        <x:v>219</x:v>
      </x:c>
    </x:row>
    <x:row r="15" ht="72" customHeight="1">
      <x:c r="A15" s="5" t="s">
        <x:v>200</x:v>
      </x:c>
      <x:c r="B15" s="4" t="s">
        <x:v>220</x:v>
      </x:c>
      <x:c r="C15" s="19">
        <x:v>1</x:v>
      </x:c>
      <x:c r="D15" s="20">
        <x:v>122902</x:v>
      </x:c>
      <x:c r="E15" s="20" t="n">
        <x:f t="shared" si="0">IF(AND(ISNUMBER(C15),ISNUMBER(D15)),C15*D15,"Por cotizar")</x:f>
        <x:v>122902</x:v>
      </x:c>
      <x:c r="F15" s="5" t="s">
        <x:v>221</x:v>
      </x:c>
    </x:row>
    <x:row r="16" ht="72" customHeight="1">
      <x:c r="A16" s="5" t="s">
        <x:v>200</x:v>
      </x:c>
      <x:c r="B16" s="4" t="s">
        <x:v>222</x:v>
      </x:c>
      <x:c r="C16" s="19">
        <x:v>1</x:v>
      </x:c>
      <x:c r="D16" s="20">
        <x:v>109700</x:v>
      </x:c>
      <x:c r="E16" s="20" t="n">
        <x:f t="shared" si="0">IF(AND(ISNUMBER(C16),ISNUMBER(D16)),C16*D16,"Por cotizar")</x:f>
        <x:v>109700</x:v>
      </x:c>
      <x:c r="F16" s="5" t="s">
        <x:v>223</x:v>
      </x:c>
    </x:row>
    <x:row r="17" ht="72" customHeight="1">
      <x:c r="A17" s="5" t="s">
        <x:v>200</x:v>
      </x:c>
      <x:c r="B17" s="4" t="s">
        <x:v>224</x:v>
      </x:c>
      <x:c r="C17" s="19">
        <x:v>1</x:v>
      </x:c>
      <x:c r="D17" s="20">
        <x:v>12560</x:v>
      </x:c>
      <x:c r="E17" s="21" t="n">
        <x:f t="shared" si="0">IF(AND(ISNUMBER(C17),ISNUMBER(D17)),C17*D17,"Por cotizar")</x:f>
        <x:v>12560</x:v>
      </x:c>
      <x:c r="F17" s="5" t="s">
        <x:v>225</x:v>
      </x:c>
    </x:row>
    <x:row r="18" ht="72" customHeight="1">
      <x:c r="A18" s="5" t="s">
        <x:v>200</x:v>
      </x:c>
      <x:c r="B18" s="5" t="s">
        <x:v>226</x:v>
      </x:c>
      <x:c r="C18" s="19">
        <x:v>1</x:v>
      </x:c>
      <x:c r="D18" s="20" t="s">
        <x:v>216</x:v>
      </x:c>
      <x:c r="E18" s="20" t="str">
        <x:f t="shared" si="0">IF(AND(ISNUMBER(C18),ISNUMBER(D18)),C18*D18,"Por cotizar")</x:f>
        <x:v>Por cotizar</x:v>
      </x:c>
      <x:c r="F18" s="5" t="s">
        <x:v>227</x:v>
      </x:c>
    </x:row>
    <x:row r="19" ht="72" customHeight="1">
      <x:c r="A19" s="5" t="s">
        <x:v>200</x:v>
      </x:c>
      <x:c r="B19" s="5" t="s">
        <x:v>228</x:v>
      </x:c>
      <x:c r="C19" s="19">
        <x:v>2</x:v>
      </x:c>
      <x:c r="D19" s="20">
        <x:v>9126</x:v>
      </x:c>
      <x:c r="E19" s="20" t="n">
        <x:f t="shared" si="0">IF(AND(ISNUMBER(C19),ISNUMBER(D19)),C19*D19,"Por cotizar")</x:f>
        <x:v>18252</x:v>
      </x:c>
      <x:c r="F19" s="5" t="s">
        <x:v>229</x:v>
      </x:c>
    </x:row>
    <x:row r="20" ht="72" customHeight="1">
      <x:c r="A20" s="5" t="s">
        <x:v>200</x:v>
      </x:c>
      <x:c r="B20" s="5" t="s">
        <x:v>230</x:v>
      </x:c>
      <x:c r="C20" s="19">
        <x:v>10</x:v>
      </x:c>
      <x:c r="D20" s="20">
        <x:v>2998</x:v>
      </x:c>
      <x:c r="E20" s="20" t="n">
        <x:f t="shared" si="0">IF(AND(ISNUMBER(C20),ISNUMBER(D20)),C20*D20,"Por cotizar")</x:f>
        <x:v>29980</x:v>
      </x:c>
      <x:c r="F20" s="5" t="s">
        <x:v>231</x:v>
      </x:c>
    </x:row>
    <x:row r="21" ht="72" customHeight="1">
      <x:c r="A21" s="5" t="s">
        <x:v>232</x:v>
      </x:c>
      <x:c r="B21" s="5" t="s">
        <x:v>233</x:v>
      </x:c>
      <x:c r="C21" s="19">
        <x:v>1</x:v>
      </x:c>
      <x:c r="D21" s="20">
        <x:v>1486300</x:v>
      </x:c>
      <x:c r="E21" s="20" t="n">
        <x:f t="shared" si="0">IF(AND(ISNUMBER(C21),ISNUMBER(D21)),C21*D21,"Por cotizar")</x:f>
        <x:v>1486300</x:v>
      </x:c>
      <x:c r="F21" s="5" t="s">
        <x:v>234</x:v>
      </x:c>
    </x:row>
    <x:row r="22" ht="72" customHeight="1">
      <x:c r="A22" s="5" t="s">
        <x:v>232</x:v>
      </x:c>
      <x:c r="B22" s="5" t="s">
        <x:v>235</x:v>
      </x:c>
      <x:c r="C22" s="19">
        <x:v>1</x:v>
      </x:c>
      <x:c r="D22" s="20">
        <x:v>209900</x:v>
      </x:c>
      <x:c r="E22" s="20" t="n">
        <x:f t="shared" si="0">IF(AND(ISNUMBER(C22),ISNUMBER(D22)),C22*D22,"Por cotizar")</x:f>
        <x:v>209900</x:v>
      </x:c>
      <x:c r="F22" s="5" t="s">
        <x:v>236</x:v>
      </x:c>
    </x:row>
    <x:row r="23" ht="72" customHeight="1">
      <x:c r="A23" s="5" t="s">
        <x:v>232</x:v>
      </x:c>
      <x:c r="B23" s="5" t="s">
        <x:v>237</x:v>
      </x:c>
      <x:c r="C23" s="19">
        <x:v>1</x:v>
      </x:c>
      <x:c r="D23" s="20">
        <x:v>1864800</x:v>
      </x:c>
      <x:c r="E23" s="20" t="n">
        <x:f t="shared" si="0">IF(AND(ISNUMBER(C23),ISNUMBER(D23)),C23*D23,"Por cotizar")</x:f>
        <x:v>1864800</x:v>
      </x:c>
      <x:c r="F23" s="5" t="s">
        <x:v>238</x:v>
      </x:c>
    </x:row>
    <x:row r="24" ht="72" customHeight="1">
      <x:c r="A24" s="5" t="s">
        <x:v>232</x:v>
      </x:c>
      <x:c r="B24" s="5" t="s">
        <x:v>239</x:v>
      </x:c>
      <x:c r="C24" s="19">
        <x:v>1</x:v>
      </x:c>
      <x:c r="D24" s="20" t="s">
        <x:v>216</x:v>
      </x:c>
      <x:c r="E24" s="20" t="str">
        <x:f t="shared" si="0">IF(AND(ISNUMBER(C24),ISNUMBER(D24)),C24*D24,"Por cotizar")</x:f>
        <x:v>Por cotizar</x:v>
      </x:c>
      <x:c r="F24" s="5" t="s">
        <x:v>240</x:v>
      </x:c>
    </x:row>
    <x:row r="25" ht="72" customHeight="1">
      <x:c r="A25" s="5" t="s">
        <x:v>232</x:v>
      </x:c>
      <x:c r="B25" s="5" t="s">
        <x:v>241</x:v>
      </x:c>
      <x:c r="C25" s="19">
        <x:v>1</x:v>
      </x:c>
      <x:c r="D25" s="20" t="s">
        <x:v>216</x:v>
      </x:c>
      <x:c r="E25" s="20" t="str">
        <x:f t="shared" si="0">IF(AND(ISNUMBER(C25),ISNUMBER(D25)),C25*D25,"Por cotizar")</x:f>
        <x:v>Por cotizar</x:v>
      </x:c>
      <x:c r="F25" s="5" t="s">
        <x:v>242</x:v>
      </x:c>
    </x:row>
    <x:row r="26" ht="72" customHeight="1">
      <x:c r="A26" s="5" t="s">
        <x:v>232</x:v>
      </x:c>
      <x:c r="B26" s="5" t="s">
        <x:v>243</x:v>
      </x:c>
      <x:c r="C26" s="19">
        <x:v>1</x:v>
      </x:c>
      <x:c r="D26" s="20" t="s">
        <x:v>216</x:v>
      </x:c>
      <x:c r="E26" s="20" t="str">
        <x:f t="shared" si="0">IF(AND(ISNUMBER(C26),ISNUMBER(D26)),C26*D26,"Por cotizar")</x:f>
        <x:v>Por cotizar</x:v>
      </x:c>
      <x:c r="F26" s="5" t="s">
        <x:v>244</x:v>
      </x:c>
    </x:row>
    <x:row r="27" ht="90" customHeight="1">
      <x:c r="A27" s="5" t="s">
        <x:v>232</x:v>
      </x:c>
      <x:c r="B27" s="5" t="s">
        <x:v>245</x:v>
      </x:c>
      <x:c r="C27" s="19">
        <x:v>1</x:v>
      </x:c>
      <x:c r="D27" s="20" t="s">
        <x:v>216</x:v>
      </x:c>
      <x:c r="E27" s="20" t="str">
        <x:f t="shared" si="0">IF(AND(ISNUMBER(C27),ISNUMBER(D27)),C27*D27,"Por cotizar")</x:f>
        <x:v>Por cotizar</x:v>
      </x:c>
      <x:c r="F27" s="5" t="s">
        <x:v>246</x:v>
      </x:c>
    </x:row>
    <x:row r="28" ht="72" customHeight="1">
      <x:c r="A28" s="5" t="s">
        <x:v>247</x:v>
      </x:c>
      <x:c r="B28" s="5" t="s">
        <x:v>248</x:v>
      </x:c>
      <x:c r="C28" s="19">
        <x:v>1</x:v>
      </x:c>
      <x:c r="D28" s="20" t="s">
        <x:v>216</x:v>
      </x:c>
      <x:c r="E28" s="20" t="str">
        <x:f t="shared" si="0">IF(AND(ISNUMBER(C28),ISNUMBER(D28)),C28*D28,"Por cotizar")</x:f>
        <x:v>Por cotizar</x:v>
      </x:c>
      <x:c r="F28" s="5" t="s">
        <x:v>249</x:v>
      </x:c>
    </x:row>
    <x:row r="29" ht="72" customHeight="1">
      <x:c r="A29" s="5" t="s">
        <x:v>250</x:v>
      </x:c>
      <x:c r="B29" s="5" t="s">
        <x:v>251</x:v>
      </x:c>
      <x:c r="C29" s="19">
        <x:v>1</x:v>
      </x:c>
      <x:c r="D29" s="20" t="s">
        <x:v>216</x:v>
      </x:c>
      <x:c r="E29" s="20" t="str">
        <x:f t="shared" si="0">IF(AND(ISNUMBER(C29),ISNUMBER(D29)),C29*D29,"Por cotizar")</x:f>
        <x:v>Por cotizar</x:v>
      </x:c>
      <x:c r="F29" s="5" t="s">
        <x:v>252</x:v>
      </x:c>
    </x:row>
    <x:row r="30" ht="72" customHeight="1">
      <x:c r="A30" s="5" t="s">
        <x:v>250</x:v>
      </x:c>
      <x:c r="B30" s="5" t="s">
        <x:v>253</x:v>
      </x:c>
      <x:c r="C30" s="19">
        <x:v>1</x:v>
      </x:c>
      <x:c r="D30" s="20" t="s">
        <x:v>216</x:v>
      </x:c>
      <x:c r="E30" s="20" t="str">
        <x:f t="shared" si="0">IF(AND(ISNUMBER(C30),ISNUMBER(D30)),C30*D30,"Por cotizar")</x:f>
        <x:v>Por cotizar</x:v>
      </x:c>
      <x:c r="F30" s="5" t="s">
        <x:v>254</x:v>
      </x:c>
    </x:row>
    <x:row r="31" ht="85.05000305175781" customHeight="1">
      <x:c r="A31" s="5" t="s">
        <x:v>250</x:v>
      </x:c>
      <x:c r="B31" s="4" t="s">
        <x:v>255</x:v>
      </x:c>
      <x:c r="C31" s="19">
        <x:v>1</x:v>
      </x:c>
      <x:c r="D31" s="20" t="s">
        <x:v>216</x:v>
      </x:c>
      <x:c r="E31" s="20" t="str">
        <x:f t="shared" si="0">IF(AND(ISNUMBER(C31),ISNUMBER(D31)),C31*D31,"Por cotizar")</x:f>
        <x:v>Por cotizar</x:v>
      </x:c>
      <x:c r="F31" s="5" t="s">
        <x:v>256</x:v>
      </x:c>
    </x:row>
    <x:row r="32" ht="90" customHeight="1">
      <x:c r="A32" s="5" t="s">
        <x:v>250</x:v>
      </x:c>
      <x:c r="B32" s="4" t="s">
        <x:v>257</x:v>
      </x:c>
      <x:c r="C32" s="19">
        <x:v>1</x:v>
      </x:c>
      <x:c r="D32" s="20" t="s">
        <x:v>216</x:v>
      </x:c>
      <x:c r="E32" s="20" t="str">
        <x:f t="shared" si="0">IF(AND(ISNUMBER(C32),ISNUMBER(D32)),C32*D32,"Por cotizar")</x:f>
        <x:v>Por cotizar</x:v>
      </x:c>
      <x:c r="F32" s="5" t="s">
        <x:v>258</x:v>
      </x:c>
    </x:row>
    <x:row r="33" ht="30" customHeight="1">
      <x:c r="A33" s="5"/>
      <x:c r="B33" s="5" t="s">
        <x:v>259</x:v>
      </x:c>
      <x:c r="C33" s="5"/>
      <x:c r="D33" s="18"/>
      <x:c r="E33" s="20" t="n">
        <x:f>SUMIF(A2:A32,"Tableros y cantos",E2:E32)</x:f>
        <x:v>2493222</x:v>
      </x:c>
      <x:c r="F33" s="5"/>
    </x:row>
    <x:row r="34" ht="30" customHeight="1">
      <x:c r="A34" s="5"/>
      <x:c r="B34" s="5" t="s">
        <x:v>260</x:v>
      </x:c>
      <x:c r="C34" s="5"/>
      <x:c r="D34" s="18"/>
      <x:c r="E34" s="20" t="n">
        <x:f>SUMIF(A2:A32,"Herrajes",E2:E32)</x:f>
        <x:v>796995</x:v>
      </x:c>
      <x:c r="F34" s="5"/>
    </x:row>
    <x:row r="35" ht="30" customHeight="1">
      <x:c r="A35" s="5"/>
      <x:c r="B35" s="5" t="s">
        <x:v>261</x:v>
      </x:c>
      <x:c r="C35" s="5"/>
      <x:c r="D35" s="18"/>
      <x:c r="E35" s="20" t="n">
        <x:f>SUMIF(A2:A32,"Mesón y equipos",E2:E32)</x:f>
        <x:v>3561000</x:v>
      </x:c>
      <x:c r="F35" s="5"/>
    </x:row>
    <x:row r="36" ht="30" customHeight="1">
      <x:c r="A36" s="5"/>
      <x:c r="B36" s="5" t="s">
        <x:v>262</x:v>
      </x:c>
      <x:c r="C36" s="5"/>
      <x:c r="D36" s="5"/>
      <x:c r="E36" s="20" t="n">
        <x:f>SUMIF(A2:A32,"Servicios",E2:E32)</x:f>
        <x:v>0</x:v>
      </x:c>
      <x:c r="F36" s="5"/>
    </x:row>
    <x:row r="37" ht="30" customHeight="1">
      <x:c r="A37" s="5"/>
      <x:c r="B37" s="5" t="s">
        <x:v>263</x:v>
      </x:c>
      <x:c r="C37" s="5"/>
      <x:c r="D37" s="5"/>
      <x:c r="E37" s="20" t="n">
        <x:f>SUMIF(A2:A32,"Accesorios",E2:E32)</x:f>
        <x:v>0</x:v>
      </x:c>
      <x:c r="F37" s="5"/>
    </x:row>
    <x:row r="38" ht="30" customHeight="1">
      <x:c r="A38" s="22"/>
      <x:c r="B38" s="22" t="s">
        <x:v>264</x:v>
      </x:c>
      <x:c r="C38" s="22"/>
      <x:c r="D38" s="22"/>
      <x:c r="E38" s="23" t="n">
        <x:f>SUM(E2:E32)</x:f>
        <x:v>6851217</x:v>
      </x:c>
      <x:c r="F38" s="22" t="s">
        <x:v>265</x:v>
      </x:c>
    </x:row>
    <x:row r="39" ht="30" customHeight="1">
      <x:c r="A39" s="5"/>
      <x:c r="B39" s="5" t="s">
        <x:v>266</x:v>
      </x:c>
      <x:c r="C39" s="5"/>
      <x:c r="D39" s="5"/>
      <x:c r="E39" s="15" t="n">
        <x:f>ROWS(D2:D32)-COUNT(D2:D32)</x:f>
        <x:v>12</x:v>
      </x:c>
      <x:c r="F39" s="5" t="s">
        <x:v>267</x:v>
      </x:c>
    </x:row>
    <x:row r="40" ht="27.600000381469727">
      <x:c r="A40" s="5"/>
      <x:c r="B40" s="5" t="s">
        <x:v>268</x:v>
      </x:c>
      <x:c r="C40" s="5"/>
      <x:c r="D40" s="5"/>
      <x:c r="E40" s="20" t="str">
        <x:f>IF(E39=0,E38,"Pendiente de cotizaciones")</x:f>
        <x:v>Pendiente de cotizaciones</x:v>
      </x:c>
      <x:c r="F40" s="5" t="s">
        <x:v>269</x:v>
      </x:c>
    </x:row>
  </x:sheetData>
  <x:conditionalFormatting sqref="D2:D26">
    <x:cfRule type="containsText" dxfId="0" priority="1" operator="containsText" text="cotizar"/>
  </x:conditionalFormatting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3" topLeftCell="A4" activePane="bottomLeft" state="frozen"/>
    </x:sheetView>
  </x:sheetViews>
  <x:sheetFormatPr baseColWidth="10" defaultColWidth="8.88671875" defaultRowHeight="14.399999618530273"/>
  <x:cols>
    <x:col min="1" max="1" width="23" customWidth="1"/>
    <x:col min="2" max="2" width="55" customWidth="1"/>
    <x:col min="3" max="3" width="17" customWidth="1"/>
    <x:col min="4" max="4" width="18" customWidth="1"/>
    <x:col min="5" max="5" width="22" customWidth="1"/>
    <x:col min="6" max="6" width="18" customWidth="1"/>
    <x:col min="7" max="7" width="3" customWidth="1"/>
    <x:col min="8" max="8" width="22" customWidth="1"/>
    <x:col min="9" max="9" width="12" customWidth="1"/>
  </x:cols>
  <x:sheetData>
    <x:row r="1" ht="30" customHeight="1">
      <x:c r="A1" s="4" t="s">
        <x:v>270</x:v>
      </x:c>
      <x:c r="B1" s="5"/>
      <x:c r="C1" s="5"/>
      <x:c r="D1" s="5"/>
      <x:c r="E1" s="5"/>
      <x:c r="F1" s="5"/>
      <x:c r="G1" s="5"/>
      <x:c r="H1" s="5"/>
      <x:c r="I1" s="5"/>
    </x:row>
    <x:row r="2" ht="30" customHeight="1">
      <x:c r="A2" s="5"/>
      <x:c r="B2" s="5"/>
      <x:c r="C2" s="5"/>
      <x:c r="D2" s="5"/>
      <x:c r="E2" s="5"/>
      <x:c r="F2" s="5"/>
      <x:c r="G2" s="5"/>
      <x:c r="H2" s="5" t="s">
        <x:v>271</x:v>
      </x:c>
      <x:c r="I2" s="14">
        <x:v>0.05</x:v>
      </x:c>
    </x:row>
    <x:row r="3" ht="42" customHeight="1">
      <x:c r="A3" s="13" t="s">
        <x:v>272</x:v>
      </x:c>
      <x:c r="B3" s="13" t="s">
        <x:v>273</x:v>
      </x:c>
      <x:c r="C3" s="13" t="s">
        <x:v>178</x:v>
      </x:c>
      <x:c r="D3" s="13" t="s">
        <x:v>274</x:v>
      </x:c>
      <x:c r="E3" s="13" t="s">
        <x:v>275</x:v>
      </x:c>
      <x:c r="F3" s="13" t="s">
        <x:v>276</x:v>
      </x:c>
      <x:c r="G3" s="17"/>
      <x:c r="H3" s="17" t="s">
        <x:v>277</x:v>
      </x:c>
      <x:c r="I3" s="17"/>
    </x:row>
    <x:row r="4" ht="85" customHeight="1">
      <x:c r="A4" s="5" t="s">
        <x:v>173</x:v>
      </x:c>
      <x:c r="B4" s="59" t="str">
        <x:v>Puertas y frentes de uso frecuente; terminal exterior P037</x:v>
      </x:c>
      <x:c r="C4" s="7" t="n">
        <x:f>SUMPRODUCT(Despiece!$G$5:$G$78,Despiece!$E$5:$E$78,(Despiece!$H$5:$H$78="2")+(Despiece!$I$5:$I$78="2"))/1000+SUMPRODUCT(Despiece!$G$5:$G$78,Despiece!$F$5:$F$78,(Despiece!$J$5:$J$78="2")+(Despiece!$K$5:$K$78="2"))/1000</x:f>
        <x:v>30.137</x:v>
      </x:c>
      <x:c r="D4" s="15" t="n">
        <x:f>SUMPRODUCT(Despiece!$G$5:$G$78,(Despiece!$H$5:$H$78="2")+(Despiece!$I$5:$I$78="2")+(Despiece!$J$5:$J$78="2")+(Despiece!$K$5:$K$78="2"))</x:f>
        <x:v>62</x:v>
      </x:c>
      <x:c r="E4" s="7" t="n">
        <x:f>D4*$I$2</x:f>
        <x:v>3.1</x:v>
      </x:c>
      <x:c r="F4" s="7" t="n">
        <x:f>ROUNDUP((C4+E4)/5,0)*5</x:f>
        <x:v>35</x:v>
      </x:c>
      <x:c r="G4" s="5"/>
      <x:c r="H4" s="16">
        <x:v>100</x:v>
      </x:c>
      <x:c r="I4" s="5"/>
    </x:row>
    <x:row r="5" ht="85" customHeight="1">
      <x:c r="A5" s="5" t="s">
        <x:v>174</x:v>
      </x:c>
      <x:c r="B5" s="60" t="str">
        <x:v>Estructura, entrepaños, piezas interiores y protecciones por humedad</x:v>
      </x:c>
      <x:c r="C5" s="7" t="n">
        <x:f>SUMPRODUCT(Despiece!$G$5:$G$78,Despiece!$E$5:$E$78,(Despiece!$H$5:$H$78="0.45")+(Despiece!$I$5:$I$78="0.45"))/1000+SUMPRODUCT(Despiece!$G$5:$G$78,Despiece!$F$5:$F$78,(Despiece!$J$5:$J$78="0.45")+(Despiece!$K$5:$K$78="0.45"))/1000</x:f>
        <x:v>68.018</x:v>
      </x:c>
      <x:c r="D5" s="15" t="n">
        <x:f>SUMPRODUCT(Despiece!$G$5:$G$78,(Despiece!$H$5:$H$78="0.45")+(Despiece!$I$5:$I$78="0.45")+(Despiece!$J$5:$J$78="0.45")+(Despiece!$K$5:$K$78="0.45"))</x:f>
        <x:v>150</x:v>
      </x:c>
      <x:c r="E5" s="7" t="n">
        <x:f>D5*$I$2</x:f>
        <x:v>7.5</x:v>
      </x:c>
      <x:c r="F5" s="7" t="n">
        <x:f>ROUNDUP((C5+E5)/5,0)*5</x:f>
        <x:v>80</x:v>
      </x:c>
      <x:c r="G5" s="5"/>
      <x:c r="H5" s="16">
        <x:v>200</x:v>
      </x:c>
      <x:c r="I5" s="5"/>
    </x:row>
    <x:row r="6" ht="30" customHeight="1">
      <x:c r="A6" s="5"/>
      <x:c r="B6" s="5"/>
      <x:c r="C6" s="5"/>
      <x:c r="D6" s="5"/>
      <x:c r="E6" s="5"/>
      <x:c r="F6" s="5"/>
      <x:c r="G6" s="5"/>
      <x:c r="H6" s="5"/>
      <x:c r="I6" s="5"/>
    </x:row>
    <x:row r="7" ht="85" customHeight="1">
      <x:c r="A7" s="61" t="str">
        <x:v>Un solo tipo de canto por pieza: rígido 2 mm en puertas/frentes de uso frecuente y terminal expuesto; flexible 0,45 mm en estructura e interiores. Se conservan los bordes protegidos y las medidas terminadas. El corte del tablero descuenta el espesor nuevo una sola vez. Reserva de 5 cm por borde. No incluye disco ni refilado.</x:v>
      </x:c>
      <x:c r="B7" s="53"/>
      <x:c r="C7" s="53"/>
      <x:c r="D7" s="53"/>
      <x:c r="E7" s="53"/>
      <x:c r="F7" s="53"/>
      <x:c r="G7" s="53"/>
      <x:c r="H7" s="53"/>
      <x:c r="I7" s="53"/>
    </x:row>
  </x:sheetData>
  <x:mergeCells>
    <x:mergeCell ref="A7:I7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10" defaultRowHeight="14.399999618530273"/>
  <x:cols>
    <x:col min="1" max="1" width="5.77734375" customWidth="1"/>
    <x:col min="2" max="2" width="24.77734375" customWidth="1"/>
    <x:col min="3" max="3" width="80.77734375" customWidth="1"/>
    <x:col min="4" max="5" width="26.77734375" customWidth="1"/>
  </x:cols>
  <x:sheetData>
    <x:row r="2" ht="18">
      <x:c r="A2" s="29" t="s">
        <x:v>278</x:v>
      </x:c>
    </x:row>
    <x:row r="3">
      <x:c r="A3" s="30" t="s">
        <x:v>279</x:v>
      </x:c>
    </x:row>
    <x:row r="6">
      <x:c r="A6" s="49" t="s">
        <x:v>3</x:v>
      </x:c>
      <x:c r="B6" s="49" t="s">
        <x:v>280</x:v>
      </x:c>
      <x:c r="C6" s="49" t="s">
        <x:v>281</x:v>
      </x:c>
      <x:c r="D6" s="49" t="s">
        <x:v>282</x:v>
      </x:c>
      <x:c r="E6" s="49" t="s">
        <x:v>283</x:v>
      </x:c>
    </x:row>
    <x:row r="7" ht="28.799999237060547">
      <x:c r="A7" s="50">
        <x:v>1</x:v>
      </x:c>
      <x:c r="B7" s="51" t="s">
        <x:v>284</x:v>
      </x:c>
      <x:c r="C7" s="51" t="s">
        <x:v>285</x:v>
      </x:c>
      <x:c r="D7" s="51" t="s">
        <x:v>286</x:v>
      </x:c>
      <x:c r="E7" s="51" t="s">
        <x:v>287</x:v>
      </x:c>
    </x:row>
    <x:row r="8" ht="28.799999237060547">
      <x:c r="A8" s="50">
        <x:v>2</x:v>
      </x:c>
      <x:c r="B8" s="51" t="s">
        <x:v>288</x:v>
      </x:c>
      <x:c r="C8" s="51" t="s">
        <x:v>289</x:v>
      </x:c>
      <x:c r="D8" s="51" t="s">
        <x:v>290</x:v>
      </x:c>
      <x:c r="E8" s="51" t="s">
        <x:v>291</x:v>
      </x:c>
    </x:row>
    <x:row r="9" ht="43.20000076293945">
      <x:c r="A9" s="50">
        <x:v>3</x:v>
      </x:c>
      <x:c r="B9" s="51" t="s">
        <x:v>292</x:v>
      </x:c>
      <x:c r="C9" s="51" t="s">
        <x:v>293</x:v>
      </x:c>
      <x:c r="D9" s="51" t="s">
        <x:v>294</x:v>
      </x:c>
      <x:c r="E9" s="51" t="s">
        <x:v>295</x:v>
      </x:c>
    </x:row>
    <x:row r="10" ht="28.799999237060547">
      <x:c r="A10" s="50">
        <x:v>4</x:v>
      </x:c>
      <x:c r="B10" s="51" t="s">
        <x:v>296</x:v>
      </x:c>
      <x:c r="C10" s="51" t="s">
        <x:v>297</x:v>
      </x:c>
      <x:c r="D10" s="51" t="s">
        <x:v>298</x:v>
      </x:c>
      <x:c r="E10" s="51" t="s">
        <x:v>299</x:v>
      </x:c>
    </x:row>
    <x:row r="11" ht="57.599998474121094">
      <x:c r="A11" s="50">
        <x:v>5</x:v>
      </x:c>
      <x:c r="B11" s="51" t="s">
        <x:v>300</x:v>
      </x:c>
      <x:c r="C11" s="51" t="s">
        <x:v>301</x:v>
      </x:c>
      <x:c r="D11" s="51" t="s">
        <x:v>302</x:v>
      </x:c>
      <x:c r="E11" s="51" t="s">
        <x:v>303</x:v>
      </x:c>
    </x:row>
    <x:row r="12" ht="43.20000076293945">
      <x:c r="A12" s="50">
        <x:v>6</x:v>
      </x:c>
      <x:c r="B12" s="51" t="s">
        <x:v>304</x:v>
      </x:c>
      <x:c r="C12" s="51" t="s">
        <x:v>305</x:v>
      </x:c>
      <x:c r="D12" s="51" t="s">
        <x:v>306</x:v>
      </x:c>
      <x:c r="E12" s="51" t="s">
        <x:v>307</x:v>
      </x:c>
    </x:row>
    <x:row r="13" ht="28.799999237060547">
      <x:c r="A13" s="50">
        <x:v>7</x:v>
      </x:c>
      <x:c r="B13" s="51" t="s">
        <x:v>308</x:v>
      </x:c>
      <x:c r="C13" s="51" t="s">
        <x:v>309</x:v>
      </x:c>
      <x:c r="D13" s="51" t="s">
        <x:v>310</x:v>
      </x:c>
      <x:c r="E13" s="51" t="s">
        <x:v>311</x:v>
      </x:c>
    </x:row>
    <x:row r="14" ht="28.799999237060547">
      <x:c r="A14" s="50">
        <x:v>8</x:v>
      </x:c>
      <x:c r="B14" s="51" t="s">
        <x:v>312</x:v>
      </x:c>
      <x:c r="C14" s="51" t="s">
        <x:v>313</x:v>
      </x:c>
      <x:c r="D14" s="51" t="s">
        <x:v>314</x:v>
      </x:c>
      <x:c r="E14" s="51" t="s">
        <x:v>315</x:v>
      </x:c>
    </x:row>
    <x:row r="15">
      <x:c r="A15" s="50">
        <x:v>9</x:v>
      </x:c>
      <x:c r="B15" s="51" t="s">
        <x:v>316</x:v>
      </x:c>
      <x:c r="C15" s="51" t="s">
        <x:v>317</x:v>
      </x:c>
      <x:c r="D15" s="51" t="s">
        <x:v>314</x:v>
      </x:c>
      <x:c r="E15" s="51" t="s">
        <x:v>318</x:v>
      </x:c>
    </x:row>
    <x:row r="16" ht="28.799999237060547">
      <x:c r="A16" s="50">
        <x:v>10</x:v>
      </x:c>
      <x:c r="B16" s="51" t="s">
        <x:v>319</x:v>
      </x:c>
      <x:c r="C16" s="51" t="s">
        <x:v>320</x:v>
      </x:c>
      <x:c r="D16" s="51" t="s">
        <x:v>314</x:v>
      </x:c>
      <x:c r="E16" s="51" t="s">
        <x:v>321</x:v>
      </x:c>
    </x:row>
    <x:row r="17">
      <x:c r="A17" s="50">
        <x:v>11</x:v>
      </x:c>
      <x:c r="B17" s="51" t="s">
        <x:v>322</x:v>
      </x:c>
      <x:c r="C17" s="51" t="s">
        <x:v>323</x:v>
      </x:c>
      <x:c r="D17" s="51" t="s">
        <x:v>324</x:v>
      </x:c>
      <x:c r="E17" s="51" t="s">
        <x:v>325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10" defaultRowHeight="14.399999618530273"/>
  <x:cols>
    <x:col min="1" max="1" width="24.77734375" customWidth="1"/>
    <x:col min="2" max="2" width="80.77734375" customWidth="1"/>
    <x:col min="3" max="3" width="24.77734375" customWidth="1"/>
    <x:col min="4" max="4" width="36.77734375" customWidth="1"/>
  </x:cols>
  <x:sheetData>
    <x:row r="2" ht="18">
      <x:c r="A2" s="29" t="s">
        <x:v>326</x:v>
      </x:c>
    </x:row>
    <x:row r="3">
      <x:c r="A3" s="30" t="s">
        <x:v>327</x:v>
      </x:c>
    </x:row>
    <x:row r="6">
      <x:c r="A6" s="49" t="s">
        <x:v>280</x:v>
      </x:c>
      <x:c r="B6" s="49" t="s">
        <x:v>328</x:v>
      </x:c>
      <x:c r="C6" s="49" t="s">
        <x:v>329</x:v>
      </x:c>
      <x:c r="D6" s="49" t="s">
        <x:v>330</x:v>
      </x:c>
    </x:row>
    <x:row r="7" ht="28.799999237060547">
      <x:c r="A7" s="51" t="s">
        <x:v>331</x:v>
      </x:c>
      <x:c r="B7" s="51" t="s">
        <x:v>332</x:v>
      </x:c>
      <x:c r="C7" s="51" t="s">
        <x:v>333</x:v>
      </x:c>
      <x:c r="D7" s="51" t="s">
        <x:v>334</x:v>
      </x:c>
    </x:row>
    <x:row r="8" ht="28.799999237060547">
      <x:c r="A8" s="51" t="s">
        <x:v>335</x:v>
      </x:c>
      <x:c r="B8" s="51" t="s">
        <x:v>336</x:v>
      </x:c>
      <x:c r="C8" s="51" t="s">
        <x:v>337</x:v>
      </x:c>
      <x:c r="D8" s="51" t="s">
        <x:v>338</x:v>
      </x:c>
    </x:row>
    <x:row r="9" ht="28.799999237060547">
      <x:c r="A9" s="51" t="s">
        <x:v>339</x:v>
      </x:c>
      <x:c r="B9" s="51" t="s">
        <x:v>340</x:v>
      </x:c>
      <x:c r="C9" s="51" t="s">
        <x:v>341</x:v>
      </x:c>
      <x:c r="D9" s="51" t="s">
        <x:v>342</x:v>
      </x:c>
    </x:row>
    <x:row r="10" ht="28.799999237060547">
      <x:c r="A10" s="51" t="s">
        <x:v>343</x:v>
      </x:c>
      <x:c r="B10" s="51" t="s">
        <x:v>344</x:v>
      </x:c>
      <x:c r="C10" s="51" t="s">
        <x:v>345</x:v>
      </x:c>
      <x:c r="D10" s="51" t="s">
        <x:v>346</x:v>
      </x:c>
    </x:row>
    <x:row r="11">
      <x:c r="A11" s="51" t="s">
        <x:v>347</x:v>
      </x:c>
      <x:c r="B11" s="51" t="s">
        <x:v>348</x:v>
      </x:c>
      <x:c r="C11" s="51" t="s">
        <x:v>349</x:v>
      </x:c>
      <x:c r="D11" s="51" t="s">
        <x:v>350</x:v>
      </x:c>
    </x:row>
    <x:row r="12" ht="43.20000076293945">
      <x:c r="A12" s="51" t="s">
        <x:v>351</x:v>
      </x:c>
      <x:c r="B12" s="51" t="s">
        <x:v>352</x:v>
      </x:c>
      <x:c r="C12" s="51" t="s">
        <x:v>353</x:v>
      </x:c>
      <x:c r="D12" s="51" t="s">
        <x:v>354</x:v>
      </x:c>
    </x:row>
    <x:row r="13" ht="57.599998474121094">
      <x:c r="A13" s="51" t="s">
        <x:v>355</x:v>
      </x:c>
      <x:c r="B13" s="51" t="s">
        <x:v>356</x:v>
      </x:c>
      <x:c r="C13" s="51" t="s">
        <x:v>357</x:v>
      </x:c>
      <x:c r="D13" s="51" t="s">
        <x:v>358</x:v>
      </x:c>
    </x:row>
    <x:row r="14" ht="85" customHeight="1">
      <x:c r="A14" s="51" t="s">
        <x:v>359</x:v>
      </x:c>
      <x:c r="B14" s="62" t="str">
        <x:v>Un solo tipo de canto por pieza: rígido 2 mm en puertas/frentes de uso frecuente y terminal expuesto; flexible 0,45 mm en estructura e interiores. Se conservan los bordes protegidos y las medidas terminadas. El corte del tablero descuenta el espesor nuevo una sola vez. P029 conserva sus cuatro bordes con flexible y se sella el recorte del sifón.</x:v>
      </x:c>
      <x:c r="C14" s="51" t="s">
        <x:v>360</x:v>
      </x:c>
      <x:c r="D14" s="51" t="s">
        <x:v>361</x:v>
      </x:c>
    </x:row>
    <x:row r="15" ht="28.799999237060547">
      <x:c r="A15" s="51" t="s">
        <x:v>362</x:v>
      </x:c>
      <x:c r="B15" s="51" t="s">
        <x:v>363</x:v>
      </x:c>
      <x:c r="C15" s="51" t="s">
        <x:v>364</x:v>
      </x:c>
      <x:c r="D15" s="51" t="s">
        <x:v>365</x:v>
      </x:c>
    </x:row>
    <x:row r="16" ht="57.599998474121094">
      <x:c r="A16" s="51" t="s">
        <x:v>366</x:v>
      </x:c>
      <x:c r="B16" s="51" t="s">
        <x:v>367</x:v>
      </x:c>
      <x:c r="C16" s="51" t="s">
        <x:v>286</x:v>
      </x:c>
      <x:c r="D16" s="51" t="s">
        <x:v>365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>
      <x:pane ySplit="11" topLeftCell="A12" activePane="bottomLeft" state="frozen"/>
    </x:sheetView>
  </x:sheetViews>
  <x:sheetFormatPr baseColWidth="10" defaultColWidth="8.88671875" defaultRowHeight="14.399999618530273"/>
  <x:cols>
    <x:col min="1" max="1" width="44" customWidth="1"/>
    <x:col min="2" max="3" width="16" customWidth="1"/>
    <x:col min="4" max="6" width="14" customWidth="1"/>
    <x:col min="7" max="7" width="120" customWidth="1"/>
    <x:col min="8" max="8" width="35" customWidth="1"/>
  </x:cols>
  <x:sheetData>
    <x:row r="1" ht="30" customHeight="1">
      <x:c r="A1" s="5"/>
      <x:c r="B1" s="5"/>
      <x:c r="C1" s="5"/>
      <x:c r="D1" s="5"/>
      <x:c r="E1" s="5"/>
      <x:c r="F1" s="5"/>
      <x:c r="G1" s="5"/>
      <x:c r="H1" s="5"/>
    </x:row>
    <x:row r="2" ht="30" customHeight="1">
      <x:c r="A2" s="5" t="s">
        <x:v>368</x:v>
      </x:c>
      <x:c r="B2" s="5"/>
      <x:c r="C2" s="5"/>
      <x:c r="D2" s="5"/>
      <x:c r="E2" s="5"/>
      <x:c r="F2" s="5"/>
      <x:c r="G2" s="5"/>
      <x:c r="H2" s="5"/>
    </x:row>
    <x:row r="3" ht="30" customHeight="1">
      <x:c r="A3" s="5" t="s">
        <x:v>369</x:v>
      </x:c>
      <x:c r="B3" s="24">
        <x:v>3000</x:v>
      </x:c>
      <x:c r="C3" s="5"/>
      <x:c r="D3" s="5"/>
      <x:c r="E3" s="5"/>
      <x:c r="F3" s="5"/>
      <x:c r="G3" s="5"/>
      <x:c r="H3" s="5"/>
    </x:row>
    <x:row r="4" ht="30" customHeight="1">
      <x:c r="A4" s="5" t="s">
        <x:v>370</x:v>
      </x:c>
      <x:c r="B4" s="24">
        <x:v>2600</x:v>
      </x:c>
      <x:c r="C4" s="5"/>
      <x:c r="D4" s="5"/>
      <x:c r="E4" s="5"/>
      <x:c r="F4" s="5"/>
      <x:c r="G4" s="5"/>
      <x:c r="H4" s="5"/>
    </x:row>
    <x:row r="5" ht="30" customHeight="1">
      <x:c r="A5" s="5" t="s">
        <x:v>371</x:v>
      </x:c>
      <x:c r="B5" s="24">
        <x:v>200</x:v>
      </x:c>
      <x:c r="C5" s="5"/>
      <x:c r="D5" s="5"/>
      <x:c r="E5" s="5"/>
      <x:c r="F5" s="5"/>
      <x:c r="G5" s="5"/>
      <x:c r="H5" s="5"/>
    </x:row>
    <x:row r="6" ht="30" customHeight="1">
      <x:c r="A6" s="5" t="s">
        <x:v>372</x:v>
      </x:c>
      <x:c r="B6" s="5" t="n">
        <x:f>B3-B5-B4</x:f>
        <x:v>200</x:v>
      </x:c>
      <x:c r="C6" s="5"/>
      <x:c r="D6" s="5"/>
      <x:c r="E6" s="5"/>
      <x:c r="F6" s="5"/>
      <x:c r="G6" s="5"/>
      <x:c r="H6" s="5"/>
    </x:row>
    <x:row r="7" ht="30" customHeight="1">
      <x:c r="A7" s="5" t="s">
        <x:v>373</x:v>
      </x:c>
      <x:c r="B7" s="5" t="n">
        <x:f>B3-B5</x:f>
        <x:v>2800</x:v>
      </x:c>
      <x:c r="C7" s="5"/>
      <x:c r="D7" s="5"/>
      <x:c r="E7" s="5"/>
      <x:c r="F7" s="5"/>
      <x:c r="G7" s="5"/>
      <x:c r="H7" s="5"/>
    </x:row>
    <x:row r="8" ht="30" customHeight="1">
      <x:c r="A8" s="5" t="s">
        <x:v>374</x:v>
      </x:c>
      <x:c r="B8" s="24">
        <x:v>15</x:v>
      </x:c>
      <x:c r="C8" s="5"/>
      <x:c r="D8" s="5"/>
      <x:c r="E8" s="5"/>
      <x:c r="F8" s="5"/>
      <x:c r="G8" s="5"/>
      <x:c r="H8" s="5"/>
    </x:row>
    <x:row r="9" ht="30" customHeight="1">
      <x:c r="A9" s="5"/>
      <x:c r="B9" s="5"/>
      <x:c r="C9" s="5"/>
      <x:c r="D9" s="5"/>
      <x:c r="E9" s="5"/>
      <x:c r="F9" s="5"/>
      <x:c r="G9" s="5"/>
      <x:c r="H9" s="5"/>
    </x:row>
    <x:row r="10" ht="30" customHeight="1">
      <x:c r="A10" s="5"/>
      <x:c r="B10" s="5"/>
      <x:c r="C10" s="5"/>
      <x:c r="D10" s="5"/>
      <x:c r="E10" s="5"/>
      <x:c r="F10" s="5"/>
      <x:c r="G10" s="5"/>
      <x:c r="H10" s="5"/>
    </x:row>
    <x:row r="11" ht="42" customHeight="1">
      <x:c r="A11" s="17" t="s">
        <x:v>375</x:v>
      </x:c>
      <x:c r="B11" s="17" t="s">
        <x:v>376</x:v>
      </x:c>
      <x:c r="C11" s="17" t="s">
        <x:v>377</x:v>
      </x:c>
      <x:c r="D11" s="17" t="s">
        <x:v>378</x:v>
      </x:c>
      <x:c r="E11" s="17" t="s">
        <x:v>379</x:v>
      </x:c>
      <x:c r="F11" s="17" t="s">
        <x:v>380</x:v>
      </x:c>
      <x:c r="G11" s="17" t="s">
        <x:v>381</x:v>
      </x:c>
      <x:c r="H11" s="17" t="s">
        <x:v>382</x:v>
      </x:c>
    </x:row>
    <x:row r="12" ht="61.95000076293945" customHeight="1">
      <x:c r="A12" s="5" t="s">
        <x:v>383</x:v>
      </x:c>
      <x:c r="B12" s="10" t="n">
        <x:f>B6</x:f>
        <x:v>200</x:v>
      </x:c>
      <x:c r="C12" s="10" t="n">
        <x:f>B7</x:f>
        <x:v>2800</x:v>
      </x:c>
      <x:c r="D12" s="10" t="n">
        <x:f>B4</x:f>
        <x:v>2600</x:v>
      </x:c>
      <x:c r="E12" s="10">
        <x:v>15</x:v>
      </x:c>
      <x:c r="F12" s="10">
        <x:v>620</x:v>
      </x:c>
      <x:c r="G12" s="5" t="s">
        <x:v>384</x:v>
      </x:c>
      <x:c r="H12" s="5" t="s">
        <x:v>385</x:v>
      </x:c>
    </x:row>
    <x:row r="13" ht="61.95000076293945" customHeight="1">
      <x:c r="A13" s="5" t="s">
        <x:v>386</x:v>
      </x:c>
      <x:c r="B13" s="10" t="n">
        <x:f>B6+B8</x:f>
        <x:v>215</x:v>
      </x:c>
      <x:c r="C13" s="10" t="n">
        <x:f t="shared" ref="C13:C23" si="0">B13+D13</x:f>
        <x:v>230</x:v>
      </x:c>
      <x:c r="D13" s="10">
        <x:v>15</x:v>
      </x:c>
      <x:c r="E13" s="10" t="n">
        <x:f>Despiece!E44</x:f>
        <x:v>882</x:v>
      </x:c>
      <x:c r="F13" s="10" t="n">
        <x:f>Despiece!F44</x:f>
        <x:v>595</x:v>
      </x:c>
      <x:c r="G13" s="5" t="s">
        <x:v>387</x:v>
      </x:c>
      <x:c r="H13" s="5" t="s">
        <x:v>388</x:v>
      </x:c>
    </x:row>
    <x:row r="14" ht="61.95000076293945" customHeight="1">
      <x:c r="A14" s="5" t="s">
        <x:v>17</x:v>
      </x:c>
      <x:c r="B14" s="10" t="n">
        <x:f>C13</x:f>
        <x:v>230</x:v>
      </x:c>
      <x:c r="C14" s="10" t="n">
        <x:f t="shared" si="0">B14+D14</x:f>
        <x:v>410</x:v>
      </x:c>
      <x:c r="D14" s="10" t="n">
        <x:f>Despiece!E6+30</x:f>
        <x:v>180</x:v>
      </x:c>
      <x:c r="E14" s="10" t="n">
        <x:f>Despiece!E5</x:f>
        <x:v>785</x:v>
      </x:c>
      <x:c r="F14" s="10" t="n">
        <x:f>Despiece!F5</x:f>
        <x:v>580</x:v>
      </x:c>
      <x:c r="G14" s="27" t="s">
        <x:v>389</x:v>
      </x:c>
      <x:c r="H14" s="27" t="s">
        <x:v>388</x:v>
      </x:c>
    </x:row>
    <x:row r="15" ht="61.95000076293945" customHeight="1">
      <x:c r="A15" s="5" t="s">
        <x:v>30</x:v>
      </x:c>
      <x:c r="B15" s="10" t="n">
        <x:f>C14</x:f>
        <x:v>410</x:v>
      </x:c>
      <x:c r="C15" s="10" t="n">
        <x:f t="shared" si="0">B15+D15</x:f>
        <x:v>1010</x:v>
      </x:c>
      <x:c r="D15" s="10" t="n">
        <x:f>Despiece!E11+30</x:f>
        <x:v>600</x:v>
      </x:c>
      <x:c r="E15" s="10" t="n">
        <x:f>Despiece!E10</x:f>
        <x:v>785</x:v>
      </x:c>
      <x:c r="F15" s="10" t="n">
        <x:f>Despiece!F10</x:f>
        <x:v>580</x:v>
      </x:c>
      <x:c r="G15" s="27" t="s">
        <x:v>390</x:v>
      </x:c>
      <x:c r="H15" s="27" t="s">
        <x:v>388</x:v>
      </x:c>
    </x:row>
    <x:row r="16" ht="61.95000076293945" customHeight="1">
      <x:c r="A16" s="5" t="s">
        <x:v>42</x:v>
      </x:c>
      <x:c r="B16" s="10" t="n">
        <x:f>C15</x:f>
        <x:v>1010</x:v>
      </x:c>
      <x:c r="C16" s="10" t="n">
        <x:f t="shared" si="0">B16+D16</x:f>
        <x:v>1680</x:v>
      </x:c>
      <x:c r="D16" s="10" t="n">
        <x:f>Despiece!E17+30</x:f>
        <x:v>670</x:v>
      </x:c>
      <x:c r="E16" s="10" t="n">
        <x:f>Despiece!E16</x:f>
        <x:v>785</x:v>
      </x:c>
      <x:c r="F16" s="10" t="n">
        <x:f>Despiece!F16</x:f>
        <x:v>580</x:v>
      </x:c>
      <x:c r="G16" s="27" t="s">
        <x:v>391</x:v>
      </x:c>
      <x:c r="H16" s="27" t="s">
        <x:v>388</x:v>
      </x:c>
    </x:row>
    <x:row r="17" ht="61.95000076293945" customHeight="1">
      <x:c r="A17" s="5" t="s">
        <x:v>61</x:v>
      </x:c>
      <x:c r="B17" s="10" t="n">
        <x:f>C16</x:f>
        <x:v>1680</x:v>
      </x:c>
      <x:c r="C17" s="10" t="n">
        <x:f t="shared" si="0">B17+D17</x:f>
        <x:v>2380</x:v>
      </x:c>
      <x:c r="D17" s="10" t="n">
        <x:f>Despiece!E28+30</x:f>
        <x:v>700</x:v>
      </x:c>
      <x:c r="E17" s="10" t="n">
        <x:f>Despiece!E27</x:f>
        <x:v>785</x:v>
      </x:c>
      <x:c r="F17" s="10" t="n">
        <x:f>Despiece!F27</x:f>
        <x:v>580</x:v>
      </x:c>
      <x:c r="G17" s="27" t="s">
        <x:v>392</x:v>
      </x:c>
      <x:c r="H17" s="27" t="s">
        <x:v>388</x:v>
      </x:c>
    </x:row>
    <x:row r="18" ht="109.94999694824219" customHeight="1">
      <x:c r="A18" s="5" t="s">
        <x:v>73</x:v>
      </x:c>
      <x:c r="B18" s="10" t="n">
        <x:f>C17</x:f>
        <x:v>2380</x:v>
      </x:c>
      <x:c r="C18" s="10" t="n">
        <x:f t="shared" si="0">B18+D18</x:f>
        <x:v>2780</x:v>
      </x:c>
      <x:c r="D18" s="10" t="n">
        <x:f>Despiece!E35+30</x:f>
        <x:v>400</x:v>
      </x:c>
      <x:c r="E18" s="10" t="n">
        <x:f>Despiece!E34</x:f>
        <x:v>785</x:v>
      </x:c>
      <x:c r="F18" s="10" t="n">
        <x:f>Despiece!F34</x:f>
        <x:v>580</x:v>
      </x:c>
      <x:c r="G18" s="27" t="s">
        <x:v>393</x:v>
      </x:c>
      <x:c r="H18" s="27" t="s">
        <x:v>388</x:v>
      </x:c>
    </x:row>
    <x:row r="19" ht="61.95000076293945" customHeight="1">
      <x:c r="A19" s="5" t="s">
        <x:v>95</x:v>
      </x:c>
      <x:c r="B19" s="10" t="n">
        <x:f>B13</x:f>
        <x:v>215</x:v>
      </x:c>
      <x:c r="C19" s="10" t="n">
        <x:f t="shared" si="0">B19+D19</x:f>
        <x:v>410</x:v>
      </x:c>
      <x:c r="D19" s="10" t="n">
        <x:f>Despiece!E47+30</x:f>
        <x:v>195</x:v>
      </x:c>
      <x:c r="E19" s="10" t="n">
        <x:f>Despiece!E46</x:f>
        <x:v>700</x:v>
      </x:c>
      <x:c r="F19" s="10" t="n">
        <x:f>Despiece!F46</x:f>
        <x:v>320</x:v>
      </x:c>
      <x:c r="G19" s="27" t="s">
        <x:v>394</x:v>
      </x:c>
      <x:c r="H19" s="27" t="s">
        <x:v>388</x:v>
      </x:c>
    </x:row>
    <x:row r="20" ht="61.95000076293945" customHeight="1">
      <x:c r="A20" s="5" t="s">
        <x:v>106</x:v>
      </x:c>
      <x:c r="B20" s="10" t="n">
        <x:f>B15</x:f>
        <x:v>410</x:v>
      </x:c>
      <x:c r="C20" s="10" t="n">
        <x:f t="shared" si="0">B20+D20</x:f>
        <x:v>1010</x:v>
      </x:c>
      <x:c r="D20" s="10" t="n">
        <x:f>Despiece!E53+30</x:f>
        <x:v>600</x:v>
      </x:c>
      <x:c r="E20" s="10" t="n">
        <x:f>Despiece!E52</x:f>
        <x:v>350</x:v>
      </x:c>
      <x:c r="F20" s="10" t="n">
        <x:f>Despiece!F52</x:f>
        <x:v>320</x:v>
      </x:c>
      <x:c r="G20" s="27" t="s">
        <x:v>395</x:v>
      </x:c>
      <x:c r="H20" s="27" t="s">
        <x:v>388</x:v>
      </x:c>
    </x:row>
    <x:row r="21" ht="61.95000076293945" customHeight="1">
      <x:c r="A21" s="5" t="s">
        <x:v>117</x:v>
      </x:c>
      <x:c r="B21" s="10" t="n">
        <x:f>C20</x:f>
        <x:v>1010</x:v>
      </x:c>
      <x:c r="C21" s="10" t="n">
        <x:f t="shared" si="0">B21+D21</x:f>
        <x:v>1665</x:v>
      </x:c>
      <x:c r="D21" s="10" t="n">
        <x:f>Despiece!E59+30</x:f>
        <x:v>655</x:v>
      </x:c>
      <x:c r="E21" s="10" t="n">
        <x:f>Despiece!E58</x:f>
        <x:v>700</x:v>
      </x:c>
      <x:c r="F21" s="10" t="n">
        <x:f>Despiece!F58</x:f>
        <x:v>320</x:v>
      </x:c>
      <x:c r="G21" s="27" t="s">
        <x:v>396</x:v>
      </x:c>
      <x:c r="H21" s="27" t="s">
        <x:v>388</x:v>
      </x:c>
    </x:row>
    <x:row r="22" ht="61.95000076293945" customHeight="1">
      <x:c r="A22" s="5" t="s">
        <x:v>127</x:v>
      </x:c>
      <x:c r="B22" s="10" t="n">
        <x:f>C21</x:f>
        <x:v>1665</x:v>
      </x:c>
      <x:c r="C22" s="10" t="n">
        <x:f t="shared" si="0">B22+D22</x:f>
        <x:v>2380</x:v>
      </x:c>
      <x:c r="D22" s="10" t="n">
        <x:f>Despiece!E67+30</x:f>
        <x:v>715</x:v>
      </x:c>
      <x:c r="E22" s="10" t="n">
        <x:f>Despiece!E66</x:f>
        <x:v>700</x:v>
      </x:c>
      <x:c r="F22" s="10" t="n">
        <x:f>Despiece!F66</x:f>
        <x:v>320</x:v>
      </x:c>
      <x:c r="G22" s="27" t="s">
        <x:v>397</x:v>
      </x:c>
      <x:c r="H22" s="27" t="s">
        <x:v>388</x:v>
      </x:c>
    </x:row>
    <x:row r="23" ht="61.95000076293945" customHeight="1">
      <x:c r="A23" s="5" t="s">
        <x:v>137</x:v>
      </x:c>
      <x:c r="B23" s="10" t="n">
        <x:f>C22</x:f>
        <x:v>2380</x:v>
      </x:c>
      <x:c r="C23" s="10" t="n">
        <x:f t="shared" si="0">B23+D23</x:f>
        <x:v>2780</x:v>
      </x:c>
      <x:c r="D23" s="10" t="n">
        <x:f>Despiece!E74+30</x:f>
        <x:v>400</x:v>
      </x:c>
      <x:c r="E23" s="10" t="n">
        <x:f>Despiece!E73</x:f>
        <x:v>700</x:v>
      </x:c>
      <x:c r="F23" s="10" t="n">
        <x:f>Despiece!F73</x:f>
        <x:v>320</x:v>
      </x:c>
      <x:c r="G23" s="27" t="s">
        <x:v>398</x:v>
      </x:c>
      <x:c r="H23" s="27" t="s">
        <x:v>388</x:v>
      </x:c>
    </x:row>
    <x:row r="24" ht="30" customHeight="1">
      <x:c r="A24" s="5"/>
      <x:c r="B24" s="10"/>
      <x:c r="C24" s="10"/>
      <x:c r="D24" s="10"/>
      <x:c r="E24" s="10"/>
      <x:c r="F24" s="10"/>
      <x:c r="G24" s="5"/>
      <x:c r="H24" s="5"/>
    </x:row>
    <x:row r="25" ht="30" customHeight="1">
      <x:c r="A25" s="5" t="s">
        <x:v>399</x:v>
      </x:c>
      <x:c r="B25" s="10" t="n">
        <x:f>SUM(D14:D18)</x:f>
        <x:v>2550</x:v>
      </x:c>
      <x:c r="C25" s="10"/>
      <x:c r="D25" s="10"/>
      <x:c r="E25" s="10"/>
      <x:c r="F25" s="10"/>
      <x:c r="G25" s="5"/>
      <x:c r="H25" s="5"/>
    </x:row>
    <x:row r="26" ht="30" customHeight="1">
      <x:c r="A26" s="5" t="s">
        <x:v>400</x:v>
      </x:c>
      <x:c r="B26" s="10" t="n">
        <x:f>D13+(B13-B6)+(B7-C18)</x:f>
        <x:v>50</x:v>
      </x:c>
      <x:c r="C26" s="10"/>
      <x:c r="D26" s="10"/>
      <x:c r="E26" s="10"/>
      <x:c r="F26" s="10"/>
      <x:c r="G26" s="5"/>
      <x:c r="H26" s="5"/>
    </x:row>
    <x:row r="27" ht="30" customHeight="1">
      <x:c r="A27" s="5" t="s">
        <x:v>401</x:v>
      </x:c>
      <x:c r="B27" s="10" t="n">
        <x:f>B25+B26</x:f>
        <x:v>2600</x:v>
      </x:c>
      <x:c r="C27" s="10"/>
      <x:c r="D27" s="10"/>
      <x:c r="E27" s="10"/>
      <x:c r="F27" s="10"/>
      <x:c r="G27" s="5"/>
      <x:c r="H27" s="5"/>
    </x:row>
    <x:row r="28" ht="30" customHeight="1">
      <x:c r="A28" s="5" t="s">
        <x:v>402</x:v>
      </x:c>
      <x:c r="B28" s="10" t="n">
        <x:f>SUMIF(Despiece!D5:D78,"Melamina Cartagena RH 15",Despiece!G5:G78)</x:f>
        <x:v>85</x:v>
      </x:c>
      <x:c r="C28" s="10"/>
      <x:c r="D28" s="10"/>
      <x:c r="E28" s="10"/>
      <x:c r="F28" s="10"/>
      <x:c r="G28" s="5"/>
      <x:c r="H28" s="5"/>
    </x:row>
    <x:row r="29" ht="30" customHeight="1">
      <x:c r="A29" s="5" t="s">
        <x:v>403</x:v>
      </x:c>
      <x:c r="B29" s="5" t="n">
        <x:f>SUMIF(Despiece!D5:D78,"Fondo melamina 6",Despiece!G5:G78)</x:f>
        <x:v>9</x:v>
      </x:c>
      <x:c r="C29" s="5"/>
      <x:c r="D29" s="5"/>
      <x:c r="E29" s="5"/>
      <x:c r="F29" s="5"/>
      <x:c r="G29" s="5"/>
      <x:c r="H29" s="5"/>
    </x:row>
    <x:row r="30" ht="30" customHeight="1">
      <x:c r="A30" s="5" t="s">
        <x:v>404</x:v>
      </x:c>
      <x:c r="B30" s="5"/>
      <x:c r="C30" s="5"/>
      <x:c r="D30" s="5"/>
      <x:c r="E30" s="5"/>
      <x:c r="F30" s="5"/>
      <x:c r="G30" s="5"/>
      <x:c r="H30" s="5"/>
    </x:row>
    <x:row r="31">
      <x:c r="A31" s="3"/>
      <x:c r="B31" s="3"/>
      <x:c r="C31" s="3"/>
      <x:c r="D31" s="3"/>
      <x:c r="E31" s="3"/>
      <x:c r="F31" s="3"/>
      <x:c r="G31" s="3"/>
      <x:c r="H31" s="3"/>
    </x:row>
    <x:row r="32">
      <x:c r="A32" s="3"/>
      <x:c r="B32" s="3"/>
      <x:c r="C32" s="3"/>
      <x:c r="D32" s="3"/>
      <x:c r="E32" s="3"/>
      <x:c r="F32" s="3"/>
      <x:c r="G32" s="3"/>
      <x:c r="H32" s="3"/>
    </x:row>
    <x:row r="33">
      <x:c r="A33" s="3"/>
      <x:c r="B33" s="3"/>
      <x:c r="C33" s="3"/>
      <x:c r="D33" s="3"/>
      <x:c r="E33" s="3"/>
      <x:c r="F33" s="3"/>
      <x:c r="G33" s="3"/>
      <x:c r="H33" s="3"/>
    </x:row>
  </x:sheetData>
  <x:pageMargins left="0.7" right="0.7" top="0.75" bottom="0.75" header="0.3" footer="0.3"/>
</x:worksheet>
</file>