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spiece" sheetId="1" state="visible" r:id="rId3"/>
    <sheet name="Herrajes" sheetId="2" state="visible" r:id="rId4"/>
    <sheet name="Revisió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<sst xmlns="http://schemas.openxmlformats.org/spreadsheetml/2006/main" count="244" uniqueCount="172">
  <si>
    <t xml:space="preserve">Clóset 1 · despiece provisional</t>
  </si>
  <si>
    <t xml:space="preserve">No enviar a corte: herrajes, cantos y anclajes pendientes.</t>
  </si>
  <si>
    <t xml:space="preserve">2880 × 2400 × 512 mm exteriores; reserva de nicho 520 mm. Todo RH15.</t>
  </si>
  <si>
    <t xml:space="preserve">ID</t>
  </si>
  <si>
    <t xml:space="preserve">Grupo</t>
  </si>
  <si>
    <t xml:space="preserve">Pieza</t>
  </si>
  <si>
    <t xml:space="preserve">Cant.</t>
  </si>
  <si>
    <t xml:space="preserve">Largo / veta mm</t>
  </si>
  <si>
    <t xml:space="preserve">Ancho mm</t>
  </si>
  <si>
    <t xml:space="preserve">Espesor mm</t>
  </si>
  <si>
    <t xml:space="preserve">Área m²</t>
  </si>
  <si>
    <t xml:space="preserve">Estado</t>
  </si>
  <si>
    <t xml:space="preserve">Nota de fabricación</t>
  </si>
  <si>
    <t xml:space="preserve">C001</t>
  </si>
  <si>
    <t xml:space="preserve">EST</t>
  </si>
  <si>
    <t xml:space="preserve">Lateral / divisor vertical</t>
  </si>
  <si>
    <t xml:space="preserve">Provisional</t>
  </si>
  <si>
    <t xml:space="preserve">Dimensiones terminadas; canto y mecanizados pendientes.</t>
  </si>
  <si>
    <t xml:space="preserve">C002</t>
  </si>
  <si>
    <t xml:space="preserve">B1/B4</t>
  </si>
  <si>
    <t xml:space="preserve">Piso sobre base</t>
  </si>
  <si>
    <t xml:space="preserve">C003</t>
  </si>
  <si>
    <t xml:space="preserve">MAL</t>
  </si>
  <si>
    <t xml:space="preserve">Tapa superior</t>
  </si>
  <si>
    <t xml:space="preserve">C004</t>
  </si>
  <si>
    <t xml:space="preserve">Estante maletero</t>
  </si>
  <si>
    <t xml:space="preserve">C005</t>
  </si>
  <si>
    <t xml:space="preserve">Travesaño trasero</t>
  </si>
  <si>
    <t xml:space="preserve">C006</t>
  </si>
  <si>
    <t xml:space="preserve">B2/B3</t>
  </si>
  <si>
    <t xml:space="preserve">C007</t>
  </si>
  <si>
    <t xml:space="preserve">C008</t>
  </si>
  <si>
    <t xml:space="preserve">C009</t>
  </si>
  <si>
    <t xml:space="preserve">C010</t>
  </si>
  <si>
    <t xml:space="preserve">Frente cajón</t>
  </si>
  <si>
    <t xml:space="preserve">Frente sin manija; separación vertical terminada 30 mm.</t>
  </si>
  <si>
    <t xml:space="preserve">C011</t>
  </si>
  <si>
    <t xml:space="preserve">Costado cajón</t>
  </si>
  <si>
    <t xml:space="preserve">PROVISIONAL: fijación lateral a corredera350; paredes sobre la base.</t>
  </si>
  <si>
    <t xml:space="preserve">C012</t>
  </si>
  <si>
    <t xml:space="preserve">Base aplicada cajón</t>
  </si>
  <si>
    <t xml:space="preserve">PROVISIONAL: caja exterior650 ×350, descuento27mm no confirmado para HRE320. Base debajo; definir uniones y carga.</t>
  </si>
  <si>
    <t xml:space="preserve">C013</t>
  </si>
  <si>
    <t xml:space="preserve">Frente / trasero interior cajón</t>
  </si>
  <si>
    <t xml:space="preserve">PROVISIONAL: depende de descuento total27mm, pendiente de confirmar para HRE320.</t>
  </si>
  <si>
    <t xml:space="preserve">C014</t>
  </si>
  <si>
    <t xml:space="preserve">BASE</t>
  </si>
  <si>
    <t xml:space="preserve">Zócalo frontal</t>
  </si>
  <si>
    <t xml:space="preserve">Dos tramos con junta central de 4 mm.</t>
  </si>
  <si>
    <t xml:space="preserve">C015</t>
  </si>
  <si>
    <t xml:space="preserve">Marco base: trasero</t>
  </si>
  <si>
    <t xml:space="preserve">C016</t>
  </si>
  <si>
    <t xml:space="preserve">Marco base: travesaño</t>
  </si>
  <si>
    <t xml:space="preserve">C017</t>
  </si>
  <si>
    <t xml:space="preserve">PUERTAS</t>
  </si>
  <si>
    <t xml:space="preserve">Puerta corrediza baja</t>
  </si>
  <si>
    <t xml:space="preserve">PROVISIONAL: sistema compatible con RH15, alturas de montaje y refuerzos por confirmar.</t>
  </si>
  <si>
    <t xml:space="preserve">C018</t>
  </si>
  <si>
    <t xml:space="preserve">Puerta corrediza maletero</t>
  </si>
  <si>
    <t xml:space="preserve">C019</t>
  </si>
  <si>
    <t xml:space="preserve">RIEL</t>
  </si>
  <si>
    <t xml:space="preserve">Cenefa media / alta</t>
  </si>
  <si>
    <t xml:space="preserve">Partida a 1440 mm, junta sobre divisor central; anclaje de riel independiente por dimensionar.</t>
  </si>
  <si>
    <t xml:space="preserve">TOTAL PIEZAS RH15</t>
  </si>
  <si>
    <t xml:space="preserve">Área neta</t>
  </si>
  <si>
    <t xml:space="preserve">Medidas terminadas sin descontar canto. Veta, uniones y plano de corte por validar.</t>
  </si>
  <si>
    <t xml:space="preserve">Herrajes · referencias y pendientes</t>
  </si>
  <si>
    <t xml:space="preserve">Precios de referencia; no constituyen una lista de compras aprobada.</t>
  </si>
  <si>
    <t xml:space="preserve">Referencia</t>
  </si>
  <si>
    <t xml:space="preserve">Uso</t>
  </si>
  <si>
    <t xml:space="preserve">Cant. prevista</t>
  </si>
  <si>
    <t xml:space="preserve">Longitud mm</t>
  </si>
  <si>
    <t xml:space="preserve">Precio ref. COP</t>
  </si>
  <si>
    <t xml:space="preserve">Observación</t>
  </si>
  <si>
    <t xml:space="preserve">Fuente</t>
  </si>
  <si>
    <t xml:space="preserve">HRE320-35</t>
  </si>
  <si>
    <t xml:space="preserve">Correderas de cajón · par</t>
  </si>
  <si>
    <t xml:space="preserve">Por confirmar</t>
  </si>
  <si>
    <t xml:space="preserve">Cajas de 350 mm de fondo. Confirmar referencia, precio, descuento total y tornillería antes de cortar. Los 27 mm de descuento siguen como supuesto geométrico.</t>
  </si>
  <si>
    <t xml:space="preserve">https://madecentro.com/products/riel-corredera-para-cajon-de-extension-total-carga-pesada-45-kg</t>
  </si>
  <si>
    <t xml:space="preserve">HRE320-45</t>
  </si>
  <si>
    <t xml:space="preserve">Referencia aportada · par</t>
  </si>
  <si>
    <t xml:space="preserve">No cabe en esta caja</t>
  </si>
  <si>
    <t xml:space="preserve">Precio aportado por usuario. Longitud 450 mm excede el fondo de caja350 y cuerpo398. No trasladar este precio a la variante35.</t>
  </si>
  <si>
    <t xml:space="preserve">Usuario, 26/10/2026</t>
  </si>
  <si>
    <t xml:space="preserve">FSCPCM73</t>
  </si>
  <si>
    <t xml:space="preserve">Kit por hoja corrediza</t>
  </si>
  <si>
    <t xml:space="preserve">Candidato no aprobado</t>
  </si>
  <si>
    <t xml:space="preserve">Ficha aportada indica puerta30; web actual indica18–36 mm. No confirmado para RH15. No sumar como compra seleccionada. Pesos de hoja con 10,05 kg/m²: baja 1825 × 742,5 ≈ 13,6 kg; maletero 405 × 1455 ≈ 5,9 kg.</t>
  </si>
  <si>
    <t xml:space="preserve">https://madecentro.com/products/fscpcm73-kit-rodamiento-1-hoja-sistema-73</t>
  </si>
  <si>
    <t xml:space="preserve">PERALM73-2</t>
  </si>
  <si>
    <t xml:space="preserve">Perfil U corto</t>
  </si>
  <si>
    <t xml:space="preserve">Longitud insuficiente</t>
  </si>
  <si>
    <t xml:space="preserve">Ficha: ancho33, alto29.25 mm. No cubre el recorrido de2880; no presupuestar empalme sin validación del fabricante.</t>
  </si>
  <si>
    <t xml:space="preserve">Ficha usuario; https://madecentro.com/products/peralm73-2-riel-colgante-de-aluminio-en-u-x-2m</t>
  </si>
  <si>
    <t xml:space="preserve">PERALM73-3</t>
  </si>
  <si>
    <t xml:space="preserve">Perfil U largo · candidato</t>
  </si>
  <si>
    <t xml:space="preserve">Previsión para dos vías en dos niveles: cuatro tramos de2880, si se elige este sistema. Confirmar RH15, soportes, guías, separaciones y descuento de altura60mm. Tiene prioridad la alternativa Peralma 3 m + FSCPCM20 (filas siguientes), igual que la opción 3.</t>
  </si>
  <si>
    <t xml:space="preserve">https://madecentro.com/products/peralm73-3-riel-colgante-de-aluminio-en-u-x-3m</t>
  </si>
  <si>
    <t xml:space="preserve">Por elegir</t>
  </si>
  <si>
    <t xml:space="preserve">Patas / apoyos base</t>
  </si>
  <si>
    <t xml:space="preserve">Por dimensionar</t>
  </si>
  <si>
    <t xml:space="preserve">Dos apoyos por cada lateral/divisor. Altura y capacidad reales por proveedor.</t>
  </si>
  <si>
    <t xml:space="preserve">Modelo geométrico</t>
  </si>
  <si>
    <t xml:space="preserve">Barra colgar · tramo largo</t>
  </si>
  <si>
    <t xml:space="preserve">Cota esquemática; descontar soportes según producto real.</t>
  </si>
  <si>
    <t xml:space="preserve">Barra colgar · tramo corto</t>
  </si>
  <si>
    <t xml:space="preserve">Soporte barra</t>
  </si>
  <si>
    <t xml:space="preserve">Dos por barra; comprobar forma, carga y fijación en RH15.</t>
  </si>
  <si>
    <t xml:space="preserve">Anclajes y soportes de riel</t>
  </si>
  <si>
    <t xml:space="preserve">Pendiente</t>
  </si>
  <si>
    <t xml:space="preserve">No fijar el peso de las puertas al cielo falso. Definir soporte rígido y anclajes según muro/placa real. Opción de referencia: listón de pino 4×4 cm encajonado en los laterales y divisores, como en el clóset 3; revisar la luz entre apoyos.</t>
  </si>
  <si>
    <t xml:space="preserve">Criterio de montaje pendiente</t>
  </si>
  <si>
    <t xml:space="preserve">Peralma · variante3m</t>
  </si>
  <si>
    <t xml:space="preserve">Perfil para puertas RH15</t>
  </si>
  <si>
    <t xml:space="preserve">Preferida · sin PERALM93</t>
  </si>
  <si>
    <t xml:space="preserve">Mismo sistema que el clóset 3: riel colgante PERALMA50B de 3 m, 2 hojas por riel; 6 hojas = 3 rieles ($49.718 c/u). Descuento de altura 50 mm. La tienda exige PERALM93 para 15 mm; el usuario decidió no usarlo (su clóset real, de más de 4 años, mantiene sus tapas sin él), así que el riesgo de pandeo lo asume él. Verificar sección, vías, profundidad y distribución de los tres rieles. Con 2880 mm de luz, un listón 4×4 solo no basta: apoyar el bastidor en los divisores.</t>
  </si>
  <si>
    <t xml:space="preserve">https://madecentro.com/products/sistema-corredizo-colgate-x-3mtr</t>
  </si>
  <si>
    <t xml:space="preserve">FSCPCM20</t>
  </si>
  <si>
    <t xml:space="preserve">Kit Peralma para dos puertas</t>
  </si>
  <si>
    <t xml:space="preserve">Preferida</t>
  </si>
  <si>
    <t xml:space="preserve">Compatibilidad publicada15–30mm; suministro por dos hojas. Tres kits es previsión para seis hojas, condicionada a disposición de vías, topes, guías y soporte. No seleccionado ni sumado a compras. La ficha indica 30 kg: aclarar con Madecentro si es por puerta o por kit de dos.</t>
  </si>
  <si>
    <t xml:space="preserve">https://madecentro.com/products/kit-de-accesorios-para-sistema-colgante</t>
  </si>
  <si>
    <t xml:space="preserve">PERALM93</t>
  </si>
  <si>
    <t xml:space="preserve">Perfil requerido para RH15</t>
  </si>
  <si>
    <t xml:space="preserve">Descartada por el usuario</t>
  </si>
  <si>
    <t xml:space="preserve">Perfil que la tienda exige en ambos extremos de cada hoja RH15. DECISIÓN DEL USUARIO 27/10/2026: no usarlo. Las hojas de esta opción (742,5 × 1825) son más pequeñas que las de su clóset real (800 × 2200), lo que reduce el riesgo. Sale del presupuesto.</t>
  </si>
  <si>
    <t xml:space="preserve">Revisión del clóset 1</t>
  </si>
  <si>
    <t xml:space="preserve">Opción provisional · 26/10/2026</t>
  </si>
  <si>
    <t xml:space="preserve">Tema</t>
  </si>
  <si>
    <t xml:space="preserve">Resultado / pendiente</t>
  </si>
  <si>
    <t xml:space="preserve">Base</t>
  </si>
  <si>
    <t xml:space="preserve">Aplicado</t>
  </si>
  <si>
    <t xml:space="preserve">Material</t>
  </si>
  <si>
    <t xml:space="preserve">80 piezas en RH de 15 mm, incluidas las seis hojas. Acabado por elegir.</t>
  </si>
  <si>
    <t xml:space="preserve">Decisión usuario</t>
  </si>
  <si>
    <t xml:space="preserve">Frentes de cajón</t>
  </si>
  <si>
    <t xml:space="preserve">Tres por bloque, seis en total. Cada frente671 × 210; separación terminada 30 mm. Sin repisas entre cajones.</t>
  </si>
  <si>
    <t xml:space="preserve">Decisión usuario / modelo</t>
  </si>
  <si>
    <t xml:space="preserve">Cajas de cajón</t>
  </si>
  <si>
    <t xml:space="preserve">Base 650 × 350 × 15 debajo de paredes de 155 mm. Costados 350 × 155; frente/trasero 620 × 155. Envolvente 170 mm conservada.</t>
  </si>
  <si>
    <t xml:space="preserve">Corrección geométrica</t>
  </si>
  <si>
    <t xml:space="preserve">Cruces de piezas</t>
  </si>
  <si>
    <t xml:space="preserve">Auditoría de 80 piezas: sin volúmenes compartidos superiores a 0,5 mm en posición cerrada. No sustituye validación de montaje.</t>
  </si>
  <si>
    <t xml:space="preserve">Auditoría geométrica 26/10/2026</t>
  </si>
  <si>
    <t xml:space="preserve">Precisión y juntas</t>
  </si>
  <si>
    <t xml:space="preserve">Conservados decimales: puertas 742,5; zócalos 1427,5; traseros base 1429,5. Cenefas divididas en cuatro de 1440, juntas sobre divisor central.</t>
  </si>
  <si>
    <t xml:space="preserve">Modelo e inventario conciliados</t>
  </si>
  <si>
    <t xml:space="preserve">Correderas</t>
  </si>
  <si>
    <t xml:space="preserve">Se requiere variante de 350 mm. Confirmar descuento total;650mm exteriores de caja suponen vano 677 menos 27.</t>
  </si>
  <si>
    <t xml:space="preserve">HRE320 por confirmar</t>
  </si>
  <si>
    <t xml:space="preserve">Sistema de puertas</t>
  </si>
  <si>
    <t xml:space="preserve">FSCPCM73/PERALM73 sin compatibilidad RH15 confirmada. Alturas de hojas y soportes siguen provisionales.</t>
  </si>
  <si>
    <t xml:space="preserve">Fichas usuario / Madecentro</t>
  </si>
  <si>
    <t xml:space="preserve">Cantos y corte</t>
  </si>
  <si>
    <t xml:space="preserve">Celdas E/F son dimensiones terminadas, no cortes netos. Elegir canto por borde, veta, refilado y sierra; optimizar tablero antes de comprar.</t>
  </si>
  <si>
    <t xml:space="preserve">Pedido de fabricación no cerrado</t>
  </si>
  <si>
    <t xml:space="preserve">Anclajes y cargas</t>
  </si>
  <si>
    <t xml:space="preserve">Definir uniones de bases, soporte de rieles, patas y anclajes a muro/placa real. Sin carga en cielo falso.</t>
  </si>
  <si>
    <t xml:space="preserve">Proveedor / instalación</t>
  </si>
  <si>
    <t xml:space="preserve">Hueco y uso</t>
  </si>
  <si>
    <t xml:space="preserve">Hueco nominal2900; frente2880. Altura2400 por confirmar; fondo total512 y reserva520. Lado derecho accesible con puerta habitación cerrada.</t>
  </si>
  <si>
    <t xml:space="preserve">Usuario / modelo</t>
  </si>
  <si>
    <t xml:space="preserve">Ropa y profundidad</t>
  </si>
  <si>
    <t xml:space="preserve">Cuerpo 398 mm: comprobar prendas y perchas reales; puede requerir colgado frontal o distribución distinta.</t>
  </si>
  <si>
    <t xml:space="preserve">Limitación de opción1</t>
  </si>
  <si>
    <t xml:space="preserve">Presupuesto</t>
  </si>
  <si>
    <t xml:space="preserve">Precios solo de referencias concretas. Sin precio de RH/acabado, corte, cantos ni montaje; sin total de compras aprobado.</t>
  </si>
  <si>
    <t xml:space="preserve">Alcance provisional</t>
  </si>
  <si>
    <t xml:space="preserve">Pesos y sistema colgante</t>
  </si>
  <si>
    <t xml:space="preserve">Con 10,05 kg/m² (calculadora Madecentro): hoja baja ≈13,6 kg y hoja de maletero ≈5,9 kg. Se propone el mismo sistema que el clóset 3 (Peralma 3 m + FSCPCM20, tres rieles) sin PERALM93, por decisión del usuario; el riesgo de pandeo lo asume él. El riel se apoyaría en un bastidor de pino 4×4 encajonado en laterales y divisores. Capacidad del kit FSCPCM20 (30 kg): por aclarar, por puerta o por kit. El visor 3D de esta opción aún dibuja el sistema anterior.</t>
  </si>
  <si>
    <t xml:space="preserve">Datos Madecentro aportados por el usuario, 27/10/2026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</si>
</sst>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00"/>
    <numFmt numFmtId="167" formatCode="\$#,##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0"/>
      <name val="Arial"/>
      <family val="0"/>
      <charset val="1"/>
    </font>
    <font>
      <sz val="1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53B35"/>
        <bgColor rgb="FF333300"/>
      </patternFill>
    </fill>
    <fill>
      <patternFill patternType="solid">
        <fgColor rgb="FFFFF2CC"/>
        <bgColor rgb="FFEAF0E3"/>
      </patternFill>
    </fill>
    <fill>
      <patternFill patternType="solid">
        <fgColor rgb="FFEAF0E3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0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53B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7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19.7" hidden="false" customHeight="false" outlineLevel="0" collapsed="false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" t="s">
        <v>2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</row>
    <row r="6" customFormat="false" ht="31.5" hidden="false" customHeight="true" outlineLevel="0" collapsed="false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</row>
    <row r="7" customFormat="false" ht="54" hidden="false" customHeight="true" outlineLevel="0" collapsed="false">
      <c r="A7" s="1" t="s">
        <v>13</v>
      </c>
      <c r="B7" s="1" t="s">
        <v>14</v>
      </c>
      <c r="C7" s="4" t="s">
        <v>15</v>
      </c>
      <c r="D7" s="1" t="n">
        <v>5</v>
      </c>
      <c r="E7" s="5" t="n">
        <v>2280</v>
      </c>
      <c r="F7" s="5" t="n">
        <v>398</v>
      </c>
      <c r="G7" s="5" t="n">
        <v>15</v>
      </c>
      <c r="H7" s="6" t="n">
        <f aca="false">D7*E7*F7/1000000</f>
        <v>4.5372</v>
      </c>
      <c r="I7" s="7" t="s">
        <v>16</v>
      </c>
      <c r="J7" s="4" t="s">
        <v>17</v>
      </c>
    </row>
    <row r="8" customFormat="false" ht="54" hidden="false" customHeight="true" outlineLevel="0" collapsed="false">
      <c r="A8" s="1" t="s">
        <v>18</v>
      </c>
      <c r="B8" s="1" t="s">
        <v>19</v>
      </c>
      <c r="C8" s="4" t="s">
        <v>20</v>
      </c>
      <c r="D8" s="1" t="n">
        <v>2</v>
      </c>
      <c r="E8" s="5" t="n">
        <v>715</v>
      </c>
      <c r="F8" s="5" t="n">
        <v>398</v>
      </c>
      <c r="G8" s="5" t="n">
        <v>15</v>
      </c>
      <c r="H8" s="6" t="n">
        <f aca="false">D8*E8*F8/1000000</f>
        <v>0.56914</v>
      </c>
      <c r="I8" s="7" t="s">
        <v>16</v>
      </c>
      <c r="J8" s="4" t="s">
        <v>17</v>
      </c>
    </row>
    <row r="9" customFormat="false" ht="54" hidden="false" customHeight="true" outlineLevel="0" collapsed="false">
      <c r="A9" s="1" t="s">
        <v>21</v>
      </c>
      <c r="B9" s="1" t="s">
        <v>22</v>
      </c>
      <c r="C9" s="4" t="s">
        <v>23</v>
      </c>
      <c r="D9" s="1" t="n">
        <v>2</v>
      </c>
      <c r="E9" s="5" t="n">
        <v>715</v>
      </c>
      <c r="F9" s="5" t="n">
        <v>398</v>
      </c>
      <c r="G9" s="5" t="n">
        <v>15</v>
      </c>
      <c r="H9" s="6" t="n">
        <f aca="false">D9*E9*F9/1000000</f>
        <v>0.56914</v>
      </c>
      <c r="I9" s="7" t="s">
        <v>16</v>
      </c>
      <c r="J9" s="4" t="s">
        <v>17</v>
      </c>
    </row>
    <row r="10" customFormat="false" ht="54" hidden="false" customHeight="true" outlineLevel="0" collapsed="false">
      <c r="A10" s="1" t="s">
        <v>24</v>
      </c>
      <c r="B10" s="1" t="s">
        <v>22</v>
      </c>
      <c r="C10" s="4" t="s">
        <v>25</v>
      </c>
      <c r="D10" s="1" t="n">
        <v>2</v>
      </c>
      <c r="E10" s="5" t="n">
        <v>715</v>
      </c>
      <c r="F10" s="5" t="n">
        <v>398</v>
      </c>
      <c r="G10" s="5" t="n">
        <v>15</v>
      </c>
      <c r="H10" s="6" t="n">
        <f aca="false">D10*E10*F10/1000000</f>
        <v>0.56914</v>
      </c>
      <c r="I10" s="7" t="s">
        <v>16</v>
      </c>
      <c r="J10" s="4" t="s">
        <v>17</v>
      </c>
    </row>
    <row r="11" customFormat="false" ht="54" hidden="false" customHeight="true" outlineLevel="0" collapsed="false">
      <c r="A11" s="1" t="s">
        <v>26</v>
      </c>
      <c r="B11" s="1" t="s">
        <v>14</v>
      </c>
      <c r="C11" s="4" t="s">
        <v>27</v>
      </c>
      <c r="D11" s="1" t="n">
        <v>4</v>
      </c>
      <c r="E11" s="5" t="n">
        <v>715</v>
      </c>
      <c r="F11" s="5" t="n">
        <v>100</v>
      </c>
      <c r="G11" s="5" t="n">
        <v>15</v>
      </c>
      <c r="H11" s="6" t="n">
        <f aca="false">D11*E11*F11/1000000</f>
        <v>0.286</v>
      </c>
      <c r="I11" s="7" t="s">
        <v>16</v>
      </c>
      <c r="J11" s="4" t="s">
        <v>17</v>
      </c>
    </row>
    <row r="12" customFormat="false" ht="54" hidden="false" customHeight="true" outlineLevel="0" collapsed="false">
      <c r="A12" s="1" t="s">
        <v>28</v>
      </c>
      <c r="B12" s="1" t="s">
        <v>29</v>
      </c>
      <c r="C12" s="4" t="s">
        <v>20</v>
      </c>
      <c r="D12" s="1" t="n">
        <v>2</v>
      </c>
      <c r="E12" s="5" t="n">
        <v>677</v>
      </c>
      <c r="F12" s="5" t="n">
        <v>398</v>
      </c>
      <c r="G12" s="5" t="n">
        <v>15</v>
      </c>
      <c r="H12" s="6" t="n">
        <f aca="false">D12*E12*F12/1000000</f>
        <v>0.538892</v>
      </c>
      <c r="I12" s="7" t="s">
        <v>16</v>
      </c>
      <c r="J12" s="4" t="s">
        <v>17</v>
      </c>
    </row>
    <row r="13" customFormat="false" ht="54" hidden="false" customHeight="true" outlineLevel="0" collapsed="false">
      <c r="A13" s="1" t="s">
        <v>30</v>
      </c>
      <c r="B13" s="1" t="s">
        <v>22</v>
      </c>
      <c r="C13" s="4" t="s">
        <v>23</v>
      </c>
      <c r="D13" s="1" t="n">
        <v>2</v>
      </c>
      <c r="E13" s="5" t="n">
        <v>677</v>
      </c>
      <c r="F13" s="5" t="n">
        <v>398</v>
      </c>
      <c r="G13" s="5" t="n">
        <v>15</v>
      </c>
      <c r="H13" s="6" t="n">
        <f aca="false">D13*E13*F13/1000000</f>
        <v>0.538892</v>
      </c>
      <c r="I13" s="7" t="s">
        <v>16</v>
      </c>
      <c r="J13" s="4" t="s">
        <v>17</v>
      </c>
    </row>
    <row r="14" customFormat="false" ht="54" hidden="false" customHeight="true" outlineLevel="0" collapsed="false">
      <c r="A14" s="1" t="s">
        <v>31</v>
      </c>
      <c r="B14" s="1" t="s">
        <v>22</v>
      </c>
      <c r="C14" s="4" t="s">
        <v>25</v>
      </c>
      <c r="D14" s="1" t="n">
        <v>2</v>
      </c>
      <c r="E14" s="5" t="n">
        <v>677</v>
      </c>
      <c r="F14" s="5" t="n">
        <v>398</v>
      </c>
      <c r="G14" s="5" t="n">
        <v>15</v>
      </c>
      <c r="H14" s="6" t="n">
        <f aca="false">D14*E14*F14/1000000</f>
        <v>0.538892</v>
      </c>
      <c r="I14" s="7" t="s">
        <v>16</v>
      </c>
      <c r="J14" s="4" t="s">
        <v>17</v>
      </c>
    </row>
    <row r="15" customFormat="false" ht="54" hidden="false" customHeight="true" outlineLevel="0" collapsed="false">
      <c r="A15" s="1" t="s">
        <v>32</v>
      </c>
      <c r="B15" s="1" t="s">
        <v>14</v>
      </c>
      <c r="C15" s="4" t="s">
        <v>27</v>
      </c>
      <c r="D15" s="1" t="n">
        <v>4</v>
      </c>
      <c r="E15" s="5" t="n">
        <v>677</v>
      </c>
      <c r="F15" s="5" t="n">
        <v>100</v>
      </c>
      <c r="G15" s="5" t="n">
        <v>15</v>
      </c>
      <c r="H15" s="6" t="n">
        <f aca="false">D15*E15*F15/1000000</f>
        <v>0.2708</v>
      </c>
      <c r="I15" s="7" t="s">
        <v>16</v>
      </c>
      <c r="J15" s="4" t="s">
        <v>17</v>
      </c>
    </row>
    <row r="16" customFormat="false" ht="54" hidden="false" customHeight="true" outlineLevel="0" collapsed="false">
      <c r="A16" s="1" t="s">
        <v>33</v>
      </c>
      <c r="B16" s="1" t="s">
        <v>29</v>
      </c>
      <c r="C16" s="4" t="s">
        <v>34</v>
      </c>
      <c r="D16" s="1" t="n">
        <v>6</v>
      </c>
      <c r="E16" s="5" t="n">
        <v>671</v>
      </c>
      <c r="F16" s="5" t="n">
        <v>210</v>
      </c>
      <c r="G16" s="5" t="n">
        <v>15</v>
      </c>
      <c r="H16" s="6" t="n">
        <f aca="false">D16*E16*F16/1000000</f>
        <v>0.84546</v>
      </c>
      <c r="I16" s="7" t="s">
        <v>16</v>
      </c>
      <c r="J16" s="4" t="s">
        <v>35</v>
      </c>
    </row>
    <row r="17" customFormat="false" ht="54" hidden="false" customHeight="true" outlineLevel="0" collapsed="false">
      <c r="A17" s="1" t="s">
        <v>36</v>
      </c>
      <c r="B17" s="1" t="s">
        <v>29</v>
      </c>
      <c r="C17" s="4" t="s">
        <v>37</v>
      </c>
      <c r="D17" s="1" t="n">
        <v>12</v>
      </c>
      <c r="E17" s="5" t="n">
        <v>350</v>
      </c>
      <c r="F17" s="5" t="n">
        <v>155</v>
      </c>
      <c r="G17" s="5" t="n">
        <v>15</v>
      </c>
      <c r="H17" s="6" t="n">
        <f aca="false">D17*E17*F17/1000000</f>
        <v>0.651</v>
      </c>
      <c r="I17" s="7" t="s">
        <v>16</v>
      </c>
      <c r="J17" s="4" t="s">
        <v>38</v>
      </c>
    </row>
    <row r="18" customFormat="false" ht="54" hidden="false" customHeight="true" outlineLevel="0" collapsed="false">
      <c r="A18" s="1" t="s">
        <v>39</v>
      </c>
      <c r="B18" s="1" t="s">
        <v>29</v>
      </c>
      <c r="C18" s="4" t="s">
        <v>40</v>
      </c>
      <c r="D18" s="1" t="n">
        <v>6</v>
      </c>
      <c r="E18" s="5" t="n">
        <v>650</v>
      </c>
      <c r="F18" s="5" t="n">
        <v>350</v>
      </c>
      <c r="G18" s="5" t="n">
        <v>15</v>
      </c>
      <c r="H18" s="6" t="n">
        <f aca="false">D18*E18*F18/1000000</f>
        <v>1.365</v>
      </c>
      <c r="I18" s="7" t="s">
        <v>16</v>
      </c>
      <c r="J18" s="4" t="s">
        <v>41</v>
      </c>
    </row>
    <row r="19" customFormat="false" ht="54" hidden="false" customHeight="true" outlineLevel="0" collapsed="false">
      <c r="A19" s="1" t="s">
        <v>42</v>
      </c>
      <c r="B19" s="1" t="s">
        <v>29</v>
      </c>
      <c r="C19" s="4" t="s">
        <v>43</v>
      </c>
      <c r="D19" s="1" t="n">
        <v>12</v>
      </c>
      <c r="E19" s="5" t="n">
        <v>620</v>
      </c>
      <c r="F19" s="5" t="n">
        <v>155</v>
      </c>
      <c r="G19" s="5" t="n">
        <v>15</v>
      </c>
      <c r="H19" s="6" t="n">
        <f aca="false">D19*E19*F19/1000000</f>
        <v>1.1532</v>
      </c>
      <c r="I19" s="7" t="s">
        <v>16</v>
      </c>
      <c r="J19" s="4" t="s">
        <v>44</v>
      </c>
    </row>
    <row r="20" customFormat="false" ht="54" hidden="false" customHeight="true" outlineLevel="0" collapsed="false">
      <c r="A20" s="1" t="s">
        <v>45</v>
      </c>
      <c r="B20" s="1" t="s">
        <v>46</v>
      </c>
      <c r="C20" s="4" t="s">
        <v>47</v>
      </c>
      <c r="D20" s="1" t="n">
        <v>2</v>
      </c>
      <c r="E20" s="5" t="n">
        <v>1427.5</v>
      </c>
      <c r="F20" s="5" t="n">
        <v>92</v>
      </c>
      <c r="G20" s="5" t="n">
        <v>15</v>
      </c>
      <c r="H20" s="6" t="n">
        <f aca="false">D20*E20*F20/1000000</f>
        <v>0.26266</v>
      </c>
      <c r="I20" s="7" t="s">
        <v>16</v>
      </c>
      <c r="J20" s="4" t="s">
        <v>48</v>
      </c>
    </row>
    <row r="21" customFormat="false" ht="54" hidden="false" customHeight="true" outlineLevel="0" collapsed="false">
      <c r="A21" s="1" t="s">
        <v>49</v>
      </c>
      <c r="B21" s="1" t="s">
        <v>46</v>
      </c>
      <c r="C21" s="4" t="s">
        <v>50</v>
      </c>
      <c r="D21" s="1" t="n">
        <v>2</v>
      </c>
      <c r="E21" s="5" t="n">
        <v>1429.5</v>
      </c>
      <c r="F21" s="5" t="n">
        <v>80</v>
      </c>
      <c r="G21" s="5" t="n">
        <v>15</v>
      </c>
      <c r="H21" s="6" t="n">
        <f aca="false">D21*E21*F21/1000000</f>
        <v>0.22872</v>
      </c>
      <c r="I21" s="7" t="s">
        <v>16</v>
      </c>
      <c r="J21" s="4" t="s">
        <v>17</v>
      </c>
    </row>
    <row r="22" customFormat="false" ht="54" hidden="false" customHeight="true" outlineLevel="0" collapsed="false">
      <c r="A22" s="1" t="s">
        <v>51</v>
      </c>
      <c r="B22" s="1" t="s">
        <v>46</v>
      </c>
      <c r="C22" s="4" t="s">
        <v>52</v>
      </c>
      <c r="D22" s="1" t="n">
        <v>5</v>
      </c>
      <c r="E22" s="5" t="n">
        <v>318</v>
      </c>
      <c r="F22" s="5" t="n">
        <v>80</v>
      </c>
      <c r="G22" s="5" t="n">
        <v>15</v>
      </c>
      <c r="H22" s="6" t="n">
        <f aca="false">D22*E22*F22/1000000</f>
        <v>0.1272</v>
      </c>
      <c r="I22" s="7" t="s">
        <v>16</v>
      </c>
      <c r="J22" s="4" t="s">
        <v>17</v>
      </c>
    </row>
    <row r="23" customFormat="false" ht="54" hidden="false" customHeight="true" outlineLevel="0" collapsed="false">
      <c r="A23" s="1" t="s">
        <v>53</v>
      </c>
      <c r="B23" s="1" t="s">
        <v>54</v>
      </c>
      <c r="C23" s="4" t="s">
        <v>55</v>
      </c>
      <c r="D23" s="1" t="n">
        <v>4</v>
      </c>
      <c r="E23" s="5" t="n">
        <v>1825</v>
      </c>
      <c r="F23" s="5" t="n">
        <v>742.5</v>
      </c>
      <c r="G23" s="5" t="n">
        <v>15</v>
      </c>
      <c r="H23" s="6" t="n">
        <f aca="false">D23*E23*F23/1000000</f>
        <v>5.42025</v>
      </c>
      <c r="I23" s="7" t="s">
        <v>16</v>
      </c>
      <c r="J23" s="4" t="s">
        <v>56</v>
      </c>
    </row>
    <row r="24" customFormat="false" ht="54" hidden="false" customHeight="true" outlineLevel="0" collapsed="false">
      <c r="A24" s="1" t="s">
        <v>57</v>
      </c>
      <c r="B24" s="1" t="s">
        <v>54</v>
      </c>
      <c r="C24" s="4" t="s">
        <v>58</v>
      </c>
      <c r="D24" s="1" t="n">
        <v>2</v>
      </c>
      <c r="E24" s="5" t="n">
        <v>405</v>
      </c>
      <c r="F24" s="5" t="n">
        <v>1455</v>
      </c>
      <c r="G24" s="5" t="n">
        <v>15</v>
      </c>
      <c r="H24" s="6" t="n">
        <f aca="false">D24*E24*F24/1000000</f>
        <v>1.17855</v>
      </c>
      <c r="I24" s="7" t="s">
        <v>16</v>
      </c>
      <c r="J24" s="4" t="s">
        <v>56</v>
      </c>
    </row>
    <row r="25" customFormat="false" ht="54" hidden="false" customHeight="true" outlineLevel="0" collapsed="false">
      <c r="A25" s="1" t="s">
        <v>59</v>
      </c>
      <c r="B25" s="1" t="s">
        <v>60</v>
      </c>
      <c r="C25" s="4" t="s">
        <v>61</v>
      </c>
      <c r="D25" s="1" t="n">
        <v>4</v>
      </c>
      <c r="E25" s="5" t="n">
        <v>1440</v>
      </c>
      <c r="F25" s="5" t="n">
        <v>70</v>
      </c>
      <c r="G25" s="5" t="n">
        <v>15</v>
      </c>
      <c r="H25" s="6" t="n">
        <f aca="false">D25*E25*F25/1000000</f>
        <v>0.4032</v>
      </c>
      <c r="I25" s="7" t="s">
        <v>16</v>
      </c>
      <c r="J25" s="4" t="s">
        <v>62</v>
      </c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6"/>
      <c r="I26" s="1"/>
      <c r="J26" s="1"/>
    </row>
    <row r="27" customFormat="false" ht="15" hidden="false" customHeight="false" outlineLevel="0" collapsed="false">
      <c r="A27" s="1"/>
      <c r="B27" s="1"/>
      <c r="C27" s="8" t="s">
        <v>63</v>
      </c>
      <c r="D27" s="8" t="n">
        <f aca="false">SUM(D7:D25)</f>
        <v>80</v>
      </c>
      <c r="E27" s="8"/>
      <c r="F27" s="8"/>
      <c r="G27" s="8" t="s">
        <v>64</v>
      </c>
      <c r="H27" s="9" t="n">
        <f aca="false">SUM(H7:H25)</f>
        <v>20.053336</v>
      </c>
      <c r="I27" s="1"/>
      <c r="J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5" hidden="false" customHeight="false" outlineLevel="0" collapsed="false">
      <c r="A29" s="1" t="s">
        <v>65</v>
      </c>
      <c r="B29" s="1"/>
      <c r="C29" s="1"/>
      <c r="D29" s="1"/>
      <c r="E29" s="1"/>
      <c r="F29" s="1"/>
      <c r="G29" s="1"/>
      <c r="H29" s="1"/>
      <c r="I29" s="1"/>
      <c r="J29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7"/>
    <col collapsed="false" customWidth="true" hidden="false" outlineLevel="0" max="6" min="6" style="0" width="24"/>
    <col collapsed="false" customWidth="true" hidden="false" outlineLevel="0" max="7" min="7" style="0" width="76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9.7" hidden="false" customHeight="false" outlineLevel="0" collapsed="false">
      <c r="A2" s="2" t="s">
        <v>66</v>
      </c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 t="s">
        <v>67</v>
      </c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</row>
    <row r="6" customFormat="false" ht="31.5" hidden="false" customHeight="true" outlineLevel="0" collapsed="false">
      <c r="A6" s="3" t="s">
        <v>68</v>
      </c>
      <c r="B6" s="3" t="s">
        <v>69</v>
      </c>
      <c r="C6" s="3" t="s">
        <v>70</v>
      </c>
      <c r="D6" s="3" t="s">
        <v>71</v>
      </c>
      <c r="E6" s="3" t="s">
        <v>72</v>
      </c>
      <c r="F6" s="3" t="s">
        <v>11</v>
      </c>
      <c r="G6" s="3" t="s">
        <v>73</v>
      </c>
      <c r="H6" s="3" t="s">
        <v>74</v>
      </c>
    </row>
    <row r="7" customFormat="false" ht="87.75" hidden="false" customHeight="true" outlineLevel="0" collapsed="false">
      <c r="A7" s="1" t="s">
        <v>75</v>
      </c>
      <c r="B7" s="4" t="s">
        <v>76</v>
      </c>
      <c r="C7" s="1" t="n">
        <v>6</v>
      </c>
      <c r="D7" s="1" t="n">
        <v>350</v>
      </c>
      <c r="E7" s="10"/>
      <c r="F7" s="4" t="s">
        <v>77</v>
      </c>
      <c r="G7" s="4" t="s">
        <v>78</v>
      </c>
      <c r="H7" s="4" t="s">
        <v>79</v>
      </c>
    </row>
    <row r="8" customFormat="false" ht="87.75" hidden="false" customHeight="true" outlineLevel="0" collapsed="false">
      <c r="A8" s="1" t="s">
        <v>80</v>
      </c>
      <c r="B8" s="4" t="s">
        <v>81</v>
      </c>
      <c r="C8" s="1"/>
      <c r="D8" s="1" t="n">
        <v>450</v>
      </c>
      <c r="E8" s="10" t="n">
        <v>11287</v>
      </c>
      <c r="F8" s="4" t="s">
        <v>82</v>
      </c>
      <c r="G8" s="4" t="s">
        <v>83</v>
      </c>
      <c r="H8" s="4" t="s">
        <v>84</v>
      </c>
    </row>
    <row r="9" customFormat="false" ht="87.75" hidden="false" customHeight="true" outlineLevel="0" collapsed="false">
      <c r="A9" s="1" t="s">
        <v>85</v>
      </c>
      <c r="B9" s="4" t="s">
        <v>86</v>
      </c>
      <c r="C9" s="1" t="n">
        <v>6</v>
      </c>
      <c r="D9" s="1"/>
      <c r="E9" s="10" t="n">
        <v>19771</v>
      </c>
      <c r="F9" s="4" t="s">
        <v>87</v>
      </c>
      <c r="G9" s="4" t="s">
        <v>88</v>
      </c>
      <c r="H9" s="4" t="s">
        <v>89</v>
      </c>
    </row>
    <row r="10" customFormat="false" ht="87.75" hidden="false" customHeight="true" outlineLevel="0" collapsed="false">
      <c r="A10" s="1" t="s">
        <v>90</v>
      </c>
      <c r="B10" s="4" t="s">
        <v>91</v>
      </c>
      <c r="C10" s="1"/>
      <c r="D10" s="1" t="n">
        <v>2050</v>
      </c>
      <c r="E10" s="10" t="n">
        <v>34471</v>
      </c>
      <c r="F10" s="4" t="s">
        <v>92</v>
      </c>
      <c r="G10" s="4" t="s">
        <v>93</v>
      </c>
      <c r="H10" s="4" t="s">
        <v>94</v>
      </c>
    </row>
    <row r="11" customFormat="false" ht="87.75" hidden="false" customHeight="true" outlineLevel="0" collapsed="false">
      <c r="A11" s="1" t="s">
        <v>95</v>
      </c>
      <c r="B11" s="4" t="s">
        <v>96</v>
      </c>
      <c r="C11" s="1" t="n">
        <v>4</v>
      </c>
      <c r="D11" s="1" t="n">
        <v>3050</v>
      </c>
      <c r="E11" s="10" t="n">
        <v>51706</v>
      </c>
      <c r="F11" s="4" t="s">
        <v>77</v>
      </c>
      <c r="G11" s="4" t="s">
        <v>97</v>
      </c>
      <c r="H11" s="4" t="s">
        <v>98</v>
      </c>
    </row>
    <row r="12" customFormat="false" ht="87.75" hidden="false" customHeight="true" outlineLevel="0" collapsed="false">
      <c r="A12" s="1" t="s">
        <v>99</v>
      </c>
      <c r="B12" s="4" t="s">
        <v>100</v>
      </c>
      <c r="C12" s="1" t="n">
        <v>10</v>
      </c>
      <c r="D12" s="1"/>
      <c r="E12" s="10"/>
      <c r="F12" s="4" t="s">
        <v>101</v>
      </c>
      <c r="G12" s="4" t="s">
        <v>102</v>
      </c>
      <c r="H12" s="4" t="s">
        <v>103</v>
      </c>
    </row>
    <row r="13" customFormat="false" ht="87.75" hidden="false" customHeight="true" outlineLevel="0" collapsed="false">
      <c r="A13" s="1" t="s">
        <v>99</v>
      </c>
      <c r="B13" s="4" t="s">
        <v>104</v>
      </c>
      <c r="C13" s="1" t="n">
        <v>3</v>
      </c>
      <c r="D13" s="1" t="n">
        <v>713</v>
      </c>
      <c r="E13" s="10"/>
      <c r="F13" s="4" t="s">
        <v>16</v>
      </c>
      <c r="G13" s="4" t="s">
        <v>105</v>
      </c>
      <c r="H13" s="4" t="s">
        <v>103</v>
      </c>
    </row>
    <row r="14" customFormat="false" ht="87.75" hidden="false" customHeight="true" outlineLevel="0" collapsed="false">
      <c r="A14" s="1" t="s">
        <v>99</v>
      </c>
      <c r="B14" s="4" t="s">
        <v>106</v>
      </c>
      <c r="C14" s="1" t="n">
        <v>2</v>
      </c>
      <c r="D14" s="1" t="n">
        <v>675</v>
      </c>
      <c r="E14" s="10"/>
      <c r="F14" s="4" t="s">
        <v>16</v>
      </c>
      <c r="G14" s="4" t="s">
        <v>105</v>
      </c>
      <c r="H14" s="4" t="s">
        <v>103</v>
      </c>
    </row>
    <row r="15" customFormat="false" ht="87.75" hidden="false" customHeight="true" outlineLevel="0" collapsed="false">
      <c r="A15" s="1" t="s">
        <v>99</v>
      </c>
      <c r="B15" s="4" t="s">
        <v>107</v>
      </c>
      <c r="C15" s="1" t="n">
        <v>10</v>
      </c>
      <c r="D15" s="1"/>
      <c r="E15" s="10"/>
      <c r="F15" s="4" t="s">
        <v>77</v>
      </c>
      <c r="G15" s="4" t="s">
        <v>108</v>
      </c>
      <c r="H15" s="4" t="s">
        <v>103</v>
      </c>
    </row>
    <row r="16" customFormat="false" ht="87.75" hidden="false" customHeight="true" outlineLevel="0" collapsed="false">
      <c r="A16" s="1" t="s">
        <v>101</v>
      </c>
      <c r="B16" s="4" t="s">
        <v>109</v>
      </c>
      <c r="C16" s="1"/>
      <c r="D16" s="1"/>
      <c r="E16" s="10"/>
      <c r="F16" s="4" t="s">
        <v>110</v>
      </c>
      <c r="G16" s="4" t="s">
        <v>111</v>
      </c>
      <c r="H16" s="4" t="s">
        <v>112</v>
      </c>
    </row>
    <row r="17" customFormat="false" ht="87.75" hidden="false" customHeight="true" outlineLevel="0" collapsed="false">
      <c r="A17" s="1" t="s">
        <v>113</v>
      </c>
      <c r="B17" s="4" t="s">
        <v>114</v>
      </c>
      <c r="C17" s="1" t="n">
        <v>3</v>
      </c>
      <c r="D17" s="1" t="n">
        <v>3000</v>
      </c>
      <c r="E17" s="10" t="n">
        <v>49718</v>
      </c>
      <c r="F17" s="4" t="s">
        <v>115</v>
      </c>
      <c r="G17" s="4" t="s">
        <v>116</v>
      </c>
      <c r="H17" s="4" t="s">
        <v>117</v>
      </c>
    </row>
    <row r="18" customFormat="false" ht="87.75" hidden="false" customHeight="true" outlineLevel="0" collapsed="false">
      <c r="A18" s="1" t="s">
        <v>118</v>
      </c>
      <c r="B18" s="4" t="s">
        <v>119</v>
      </c>
      <c r="C18" s="1" t="n">
        <v>3</v>
      </c>
      <c r="D18" s="1"/>
      <c r="E18" s="10" t="n">
        <v>12730</v>
      </c>
      <c r="F18" s="4" t="s">
        <v>120</v>
      </c>
      <c r="G18" s="4" t="s">
        <v>121</v>
      </c>
      <c r="H18" s="4" t="s">
        <v>122</v>
      </c>
    </row>
    <row r="19" customFormat="false" ht="87.75" hidden="false" customHeight="true" outlineLevel="0" collapsed="false">
      <c r="A19" s="1" t="s">
        <v>123</v>
      </c>
      <c r="B19" s="4" t="s">
        <v>124</v>
      </c>
      <c r="C19" s="1"/>
      <c r="D19" s="1"/>
      <c r="E19" s="10"/>
      <c r="F19" s="4" t="s">
        <v>125</v>
      </c>
      <c r="G19" s="4" t="s">
        <v>126</v>
      </c>
      <c r="H19" s="4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5"/>
    <col collapsed="false" customWidth="true" hidden="false" outlineLevel="0" max="3" min="3" style="0" width="110"/>
    <col collapsed="false" customWidth="true" hidden="false" outlineLevel="0" max="4" min="4" style="0" width="42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9.7" hidden="false" customHeight="false" outlineLevel="0" collapsed="false">
      <c r="A2" s="2" t="s">
        <v>127</v>
      </c>
      <c r="B2" s="1"/>
      <c r="C2" s="1"/>
      <c r="D2" s="1"/>
    </row>
    <row r="3" customFormat="false" ht="15" hidden="false" customHeight="false" outlineLevel="0" collapsed="false">
      <c r="A3" s="1" t="s">
        <v>128</v>
      </c>
      <c r="B3" s="1"/>
      <c r="C3" s="1"/>
      <c r="D3" s="1"/>
    </row>
    <row r="4" customFormat="false" ht="15" hidden="false" customHeight="false" outlineLevel="0" collapsed="false">
      <c r="A4" s="1"/>
      <c r="B4" s="1"/>
      <c r="C4" s="1"/>
      <c r="D4" s="1"/>
    </row>
    <row r="5" customFormat="false" ht="15" hidden="false" customHeight="false" outlineLevel="0" collapsed="false">
      <c r="A5" s="1"/>
      <c r="B5" s="1"/>
      <c r="C5" s="1"/>
      <c r="D5" s="1"/>
    </row>
    <row r="6" customFormat="false" ht="31.5" hidden="false" customHeight="true" outlineLevel="0" collapsed="false">
      <c r="A6" s="3" t="s">
        <v>11</v>
      </c>
      <c r="B6" s="3" t="s">
        <v>129</v>
      </c>
      <c r="C6" s="3" t="s">
        <v>130</v>
      </c>
      <c r="D6" s="3" t="s">
        <v>131</v>
      </c>
    </row>
    <row r="7" customFormat="false" ht="67.5" hidden="false" customHeight="true" outlineLevel="0" collapsed="false">
      <c r="A7" s="1" t="s">
        <v>132</v>
      </c>
      <c r="B7" s="4" t="s">
        <v>133</v>
      </c>
      <c r="C7" s="4" t="s">
        <v>134</v>
      </c>
      <c r="D7" s="4" t="s">
        <v>135</v>
      </c>
    </row>
    <row r="8" customFormat="false" ht="67.5" hidden="false" customHeight="true" outlineLevel="0" collapsed="false">
      <c r="A8" s="1" t="s">
        <v>132</v>
      </c>
      <c r="B8" s="4" t="s">
        <v>136</v>
      </c>
      <c r="C8" s="4" t="s">
        <v>137</v>
      </c>
      <c r="D8" s="4" t="s">
        <v>138</v>
      </c>
    </row>
    <row r="9" customFormat="false" ht="67.5" hidden="false" customHeight="true" outlineLevel="0" collapsed="false">
      <c r="A9" s="1" t="s">
        <v>132</v>
      </c>
      <c r="B9" s="4" t="s">
        <v>139</v>
      </c>
      <c r="C9" s="4" t="s">
        <v>140</v>
      </c>
      <c r="D9" s="4" t="s">
        <v>141</v>
      </c>
    </row>
    <row r="10" customFormat="false" ht="67.5" hidden="false" customHeight="true" outlineLevel="0" collapsed="false">
      <c r="A10" s="1" t="s">
        <v>132</v>
      </c>
      <c r="B10" s="4" t="s">
        <v>142</v>
      </c>
      <c r="C10" s="4" t="s">
        <v>143</v>
      </c>
      <c r="D10" s="4" t="s">
        <v>144</v>
      </c>
    </row>
    <row r="11" customFormat="false" ht="67.5" hidden="false" customHeight="true" outlineLevel="0" collapsed="false">
      <c r="A11" s="1" t="s">
        <v>132</v>
      </c>
      <c r="B11" s="4" t="s">
        <v>145</v>
      </c>
      <c r="C11" s="4" t="s">
        <v>146</v>
      </c>
      <c r="D11" s="4" t="s">
        <v>147</v>
      </c>
    </row>
    <row r="12" customFormat="false" ht="67.5" hidden="false" customHeight="true" outlineLevel="0" collapsed="false">
      <c r="A12" s="1" t="s">
        <v>110</v>
      </c>
      <c r="B12" s="4" t="s">
        <v>148</v>
      </c>
      <c r="C12" s="4" t="s">
        <v>149</v>
      </c>
      <c r="D12" s="4" t="s">
        <v>150</v>
      </c>
    </row>
    <row r="13" customFormat="false" ht="67.5" hidden="false" customHeight="true" outlineLevel="0" collapsed="false">
      <c r="A13" s="1" t="s">
        <v>110</v>
      </c>
      <c r="B13" s="4" t="s">
        <v>151</v>
      </c>
      <c r="C13" s="4" t="s">
        <v>152</v>
      </c>
      <c r="D13" s="4" t="s">
        <v>153</v>
      </c>
    </row>
    <row r="14" customFormat="false" ht="67.5" hidden="false" customHeight="true" outlineLevel="0" collapsed="false">
      <c r="A14" s="1" t="s">
        <v>110</v>
      </c>
      <c r="B14" s="4" t="s">
        <v>154</v>
      </c>
      <c r="C14" s="4" t="s">
        <v>155</v>
      </c>
      <c r="D14" s="4" t="s">
        <v>156</v>
      </c>
    </row>
    <row r="15" customFormat="false" ht="67.5" hidden="false" customHeight="true" outlineLevel="0" collapsed="false">
      <c r="A15" s="1" t="s">
        <v>110</v>
      </c>
      <c r="B15" s="4" t="s">
        <v>157</v>
      </c>
      <c r="C15" s="4" t="s">
        <v>158</v>
      </c>
      <c r="D15" s="4" t="s">
        <v>159</v>
      </c>
    </row>
    <row r="16" customFormat="false" ht="67.5" hidden="false" customHeight="true" outlineLevel="0" collapsed="false">
      <c r="A16" s="1" t="s">
        <v>110</v>
      </c>
      <c r="B16" s="4" t="s">
        <v>160</v>
      </c>
      <c r="C16" s="4" t="s">
        <v>161</v>
      </c>
      <c r="D16" s="4" t="s">
        <v>162</v>
      </c>
    </row>
    <row r="17" customFormat="false" ht="67.5" hidden="false" customHeight="true" outlineLevel="0" collapsed="false">
      <c r="A17" s="1" t="s">
        <v>110</v>
      </c>
      <c r="B17" s="4" t="s">
        <v>163</v>
      </c>
      <c r="C17" s="4" t="s">
        <v>164</v>
      </c>
      <c r="D17" s="4" t="s">
        <v>165</v>
      </c>
    </row>
    <row r="18" customFormat="false" ht="67.5" hidden="false" customHeight="true" outlineLevel="0" collapsed="false">
      <c r="A18" s="1" t="s">
        <v>110</v>
      </c>
      <c r="B18" s="4" t="s">
        <v>166</v>
      </c>
      <c r="C18" s="4" t="s">
        <v>167</v>
      </c>
      <c r="D18" s="4" t="s">
        <v>168</v>
      </c>
    </row>
    <row r="19" customFormat="false" ht="67.5" hidden="false" customHeight="true" outlineLevel="0" collapsed="false">
      <c r="A19" s="1" t="s">
        <v>110</v>
      </c>
      <c r="B19" s="4" t="s">
        <v>169</v>
      </c>
      <c r="C19" s="4" t="s">
        <v>170</v>
      </c>
      <c r="D19" s="4" t="s">
        <v>171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2026-10-27T07:08:40Z</dcterms:created>
  <dc:creator>openpyxl</dc:creator>
  <dc:description/>
  <dc:language>en-US</dc:language>
  <cp:lastModifiedBy/>
  <dcterms:modified xsi:type="dcterms:W3CDTF">2026-10-27T07:08:40Z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