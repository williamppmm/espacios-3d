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07df29c01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570c0c85ed1140e2"/>
    <x:sheet xmlns:r="http://schemas.openxmlformats.org/officeDocument/2006/relationships" name="Herrajes" sheetId="2" r:id="Ra74cdc056a2548db"/>
    <x:sheet xmlns:r="http://schemas.openxmlformats.org/officeDocument/2006/relationships" name="Revisión" sheetId="3" r:id="R541093f9a587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&quot;$&quot;#,##0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6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B35"/>
      </x:patternFill>
    </x:fill>
    <x:fill>
      <x:patternFill patternType="solid">
        <x:fgColor rgb="FFEAF0E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afe2afe424f3d" /><Relationship Type="http://schemas.openxmlformats.org/officeDocument/2006/relationships/theme" Target="/xl/theme/theme1.xml" Id="Ra83254f421ec4c8a" /><Relationship Type="http://schemas.openxmlformats.org/officeDocument/2006/relationships/sharedStrings" Target="/xl/sharedStrings.xml" Id="R993ad78cff88403e" /><Relationship Type="http://schemas.openxmlformats.org/officeDocument/2006/relationships/worksheet" Target="/xl/worksheets/sheet1.xml" Id="R570c0c85ed1140e2" /><Relationship Type="http://schemas.openxmlformats.org/officeDocument/2006/relationships/worksheet" Target="/xl/worksheets/sheet2.xml" Id="Ra74cdc056a2548db" /><Relationship Type="http://schemas.openxmlformats.org/officeDocument/2006/relationships/worksheet" Target="/xl/worksheets/sheet3.xml" Id="R541093f9a58748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32" hidden="0" customWidth="1"/>
    <x:col min="4" max="4" width="8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17" hidden="0" customWidth="1"/>
    <x:col min="10" max="10" width="7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8" t="str">
        <x:v>Clóset 1 · despiece provisional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 t="str">
        <x:v>No enviar a corte: herrajes, cantos y anclajes pendientes.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 t="str">
        <x:v>2880 × 2400 × 512 mm exteriores; reserva de nicho 520 mm. Todo RH15.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2" customHeight="1">
      <x:c r="A6" s="7" t="str">
        <x:v>ID</x:v>
      </x:c>
      <x:c r="B6" s="7" t="str">
        <x:v>Grupo</x:v>
      </x:c>
      <x:c r="C6" s="7" t="str">
        <x:v>Pieza</x:v>
      </x:c>
      <x:c r="D6" s="7" t="str">
        <x:v>Cant.</x:v>
      </x:c>
      <x:c r="E6" s="7" t="str">
        <x:v>Largo / veta mm</x:v>
      </x:c>
      <x:c r="F6" s="7" t="str">
        <x:v>Ancho mm</x:v>
      </x:c>
      <x:c r="G6" s="7" t="str">
        <x:v>Espesor mm</x:v>
      </x:c>
      <x:c r="H6" s="7" t="str">
        <x:v>Área m²</x:v>
      </x:c>
      <x:c r="I6" s="7" t="str">
        <x:v>Estado</x:v>
      </x:c>
      <x:c r="J6" s="7" t="str">
        <x:v>Nota de fabricación</x:v>
      </x:c>
    </x:row>
    <x:row r="7" ht="54" customHeight="1">
      <x:c r="A7" s="3" t="str">
        <x:v>C001</x:v>
      </x:c>
      <x:c r="B7" s="3" t="str">
        <x:v>EST</x:v>
      </x:c>
      <x:c r="C7" s="15" t="str">
        <x:v>Lateral / divisor vertical</x:v>
      </x:c>
      <x:c r="D7" s="3" t="n">
        <x:v>5</x:v>
      </x:c>
      <x:c r="E7" s="11" t="n">
        <x:v>2280</x:v>
      </x:c>
      <x:c r="F7" s="11" t="n">
        <x:v>398</x:v>
      </x:c>
      <x:c r="G7" s="11" t="n">
        <x:v>15</x:v>
      </x:c>
      <x:c r="H7" s="12" t="n">
        <x:f>D7*E7*F7/1000000</x:f>
        <x:v>4.5372</x:v>
      </x:c>
      <x:c r="I7" s="14" t="str">
        <x:v>Provisional</x:v>
      </x:c>
      <x:c r="J7" s="15" t="str">
        <x:v>Dimensiones terminadas; canto y mecanizados pendientes.</x:v>
      </x:c>
    </x:row>
    <x:row r="8" ht="54" customHeight="1">
      <x:c r="A8" s="3" t="str">
        <x:v>C002</x:v>
      </x:c>
      <x:c r="B8" s="3" t="str">
        <x:v>B1/B4</x:v>
      </x:c>
      <x:c r="C8" s="15" t="str">
        <x:v>Piso sobre base</x:v>
      </x:c>
      <x:c r="D8" s="3" t="n">
        <x:v>2</x:v>
      </x:c>
      <x:c r="E8" s="11" t="n">
        <x:v>715</x:v>
      </x:c>
      <x:c r="F8" s="11" t="n">
        <x:v>398</x:v>
      </x:c>
      <x:c r="G8" s="11" t="n">
        <x:v>15</x:v>
      </x:c>
      <x:c r="H8" s="12" t="n">
        <x:f>D8*E8*F8/1000000</x:f>
        <x:v>0.56914</x:v>
      </x:c>
      <x:c r="I8" s="14" t="str">
        <x:v>Provisional</x:v>
      </x:c>
      <x:c r="J8" s="15" t="str">
        <x:v>Dimensiones terminadas; canto y mecanizados pendientes.</x:v>
      </x:c>
    </x:row>
    <x:row r="9" ht="54" customHeight="1">
      <x:c r="A9" s="3" t="str">
        <x:v>C003</x:v>
      </x:c>
      <x:c r="B9" s="3" t="str">
        <x:v>MAL</x:v>
      </x:c>
      <x:c r="C9" s="15" t="str">
        <x:v>Tapa superior</x:v>
      </x:c>
      <x:c r="D9" s="3" t="n">
        <x:v>2</x:v>
      </x:c>
      <x:c r="E9" s="11" t="n">
        <x:v>715</x:v>
      </x:c>
      <x:c r="F9" s="11" t="n">
        <x:v>398</x:v>
      </x:c>
      <x:c r="G9" s="11" t="n">
        <x:v>15</x:v>
      </x:c>
      <x:c r="H9" s="12" t="n">
        <x:f>D9*E9*F9/1000000</x:f>
        <x:v>0.56914</x:v>
      </x:c>
      <x:c r="I9" s="14" t="str">
        <x:v>Provisional</x:v>
      </x:c>
      <x:c r="J9" s="15" t="str">
        <x:v>Dimensiones terminadas; canto y mecanizados pendientes.</x:v>
      </x:c>
    </x:row>
    <x:row r="10" ht="54" customHeight="1">
      <x:c r="A10" s="3" t="str">
        <x:v>C004</x:v>
      </x:c>
      <x:c r="B10" s="3" t="str">
        <x:v>MAL</x:v>
      </x:c>
      <x:c r="C10" s="15" t="str">
        <x:v>Estante maletero</x:v>
      </x:c>
      <x:c r="D10" s="3" t="n">
        <x:v>2</x:v>
      </x:c>
      <x:c r="E10" s="11" t="n">
        <x:v>715</x:v>
      </x:c>
      <x:c r="F10" s="11" t="n">
        <x:v>398</x:v>
      </x:c>
      <x:c r="G10" s="11" t="n">
        <x:v>15</x:v>
      </x:c>
      <x:c r="H10" s="12" t="n">
        <x:f>D10*E10*F10/1000000</x:f>
        <x:v>0.56914</x:v>
      </x:c>
      <x:c r="I10" s="14" t="str">
        <x:v>Provisional</x:v>
      </x:c>
      <x:c r="J10" s="15" t="str">
        <x:v>Dimensiones terminadas; canto y mecanizados pendientes.</x:v>
      </x:c>
    </x:row>
    <x:row r="11" ht="54" customHeight="1">
      <x:c r="A11" s="3" t="str">
        <x:v>C005</x:v>
      </x:c>
      <x:c r="B11" s="3" t="str">
        <x:v>EST</x:v>
      </x:c>
      <x:c r="C11" s="15" t="str">
        <x:v>Travesaño trasero</x:v>
      </x:c>
      <x:c r="D11" s="3" t="n">
        <x:v>4</x:v>
      </x:c>
      <x:c r="E11" s="11" t="n">
        <x:v>715</x:v>
      </x:c>
      <x:c r="F11" s="11" t="n">
        <x:v>100</x:v>
      </x:c>
      <x:c r="G11" s="11" t="n">
        <x:v>15</x:v>
      </x:c>
      <x:c r="H11" s="12" t="n">
        <x:f>D11*E11*F11/1000000</x:f>
        <x:v>0.286</x:v>
      </x:c>
      <x:c r="I11" s="14" t="str">
        <x:v>Provisional</x:v>
      </x:c>
      <x:c r="J11" s="15" t="str">
        <x:v>Dimensiones terminadas; canto y mecanizados pendientes.</x:v>
      </x:c>
    </x:row>
    <x:row r="12" ht="54" customHeight="1">
      <x:c r="A12" s="3" t="str">
        <x:v>C006</x:v>
      </x:c>
      <x:c r="B12" s="3" t="str">
        <x:v>B2/B3</x:v>
      </x:c>
      <x:c r="C12" s="15" t="str">
        <x:v>Piso sobre base</x:v>
      </x:c>
      <x:c r="D12" s="3" t="n">
        <x:v>2</x:v>
      </x:c>
      <x:c r="E12" s="11" t="n">
        <x:v>677</x:v>
      </x:c>
      <x:c r="F12" s="11" t="n">
        <x:v>398</x:v>
      </x:c>
      <x:c r="G12" s="11" t="n">
        <x:v>15</x:v>
      </x:c>
      <x:c r="H12" s="12" t="n">
        <x:f>D12*E12*F12/1000000</x:f>
        <x:v>0.538892</x:v>
      </x:c>
      <x:c r="I12" s="14" t="str">
        <x:v>Provisional</x:v>
      </x:c>
      <x:c r="J12" s="15" t="str">
        <x:v>Dimensiones terminadas; canto y mecanizados pendientes.</x:v>
      </x:c>
    </x:row>
    <x:row r="13" ht="54" customHeight="1">
      <x:c r="A13" s="3" t="str">
        <x:v>C007</x:v>
      </x:c>
      <x:c r="B13" s="3" t="str">
        <x:v>MAL</x:v>
      </x:c>
      <x:c r="C13" s="15" t="str">
        <x:v>Tapa superior</x:v>
      </x:c>
      <x:c r="D13" s="3" t="n">
        <x:v>2</x:v>
      </x:c>
      <x:c r="E13" s="11" t="n">
        <x:v>677</x:v>
      </x:c>
      <x:c r="F13" s="11" t="n">
        <x:v>398</x:v>
      </x:c>
      <x:c r="G13" s="11" t="n">
        <x:v>15</x:v>
      </x:c>
      <x:c r="H13" s="12" t="n">
        <x:f>D13*E13*F13/1000000</x:f>
        <x:v>0.538892</x:v>
      </x:c>
      <x:c r="I13" s="14" t="str">
        <x:v>Provisional</x:v>
      </x:c>
      <x:c r="J13" s="15" t="str">
        <x:v>Dimensiones terminadas; canto y mecanizados pendientes.</x:v>
      </x:c>
    </x:row>
    <x:row r="14" ht="54" customHeight="1">
      <x:c r="A14" s="3" t="str">
        <x:v>C008</x:v>
      </x:c>
      <x:c r="B14" s="3" t="str">
        <x:v>MAL</x:v>
      </x:c>
      <x:c r="C14" s="15" t="str">
        <x:v>Estante maletero</x:v>
      </x:c>
      <x:c r="D14" s="3" t="n">
        <x:v>2</x:v>
      </x:c>
      <x:c r="E14" s="11" t="n">
        <x:v>677</x:v>
      </x:c>
      <x:c r="F14" s="11" t="n">
        <x:v>398</x:v>
      </x:c>
      <x:c r="G14" s="11" t="n">
        <x:v>15</x:v>
      </x:c>
      <x:c r="H14" s="12" t="n">
        <x:f>D14*E14*F14/1000000</x:f>
        <x:v>0.538892</x:v>
      </x:c>
      <x:c r="I14" s="14" t="str">
        <x:v>Provisional</x:v>
      </x:c>
      <x:c r="J14" s="15" t="str">
        <x:v>Dimensiones terminadas; canto y mecanizados pendientes.</x:v>
      </x:c>
    </x:row>
    <x:row r="15" ht="54" customHeight="1">
      <x:c r="A15" s="3" t="str">
        <x:v>C009</x:v>
      </x:c>
      <x:c r="B15" s="3" t="str">
        <x:v>EST</x:v>
      </x:c>
      <x:c r="C15" s="15" t="str">
        <x:v>Travesaño trasero</x:v>
      </x:c>
      <x:c r="D15" s="3" t="n">
        <x:v>4</x:v>
      </x:c>
      <x:c r="E15" s="11" t="n">
        <x:v>677</x:v>
      </x:c>
      <x:c r="F15" s="11" t="n">
        <x:v>100</x:v>
      </x:c>
      <x:c r="G15" s="11" t="n">
        <x:v>15</x:v>
      </x:c>
      <x:c r="H15" s="12" t="n">
        <x:f>D15*E15*F15/1000000</x:f>
        <x:v>0.2708</x:v>
      </x:c>
      <x:c r="I15" s="14" t="str">
        <x:v>Provisional</x:v>
      </x:c>
      <x:c r="J15" s="15" t="str">
        <x:v>Dimensiones terminadas; canto y mecanizados pendientes.</x:v>
      </x:c>
    </x:row>
    <x:row r="16" ht="54" customHeight="1">
      <x:c r="A16" s="3" t="str">
        <x:v>C010</x:v>
      </x:c>
      <x:c r="B16" s="3" t="str">
        <x:v>B2/B3</x:v>
      </x:c>
      <x:c r="C16" s="15" t="str">
        <x:v>Frente cajón</x:v>
      </x:c>
      <x:c r="D16" s="3" t="n">
        <x:v>6</x:v>
      </x:c>
      <x:c r="E16" s="11" t="n">
        <x:v>671</x:v>
      </x:c>
      <x:c r="F16" s="11" t="n">
        <x:v>210</x:v>
      </x:c>
      <x:c r="G16" s="11" t="n">
        <x:v>15</x:v>
      </x:c>
      <x:c r="H16" s="12" t="n">
        <x:f>D16*E16*F16/1000000</x:f>
        <x:v>0.84546</x:v>
      </x:c>
      <x:c r="I16" s="14" t="str">
        <x:v>Provisional</x:v>
      </x:c>
      <x:c r="J16" s="15" t="str">
        <x:v>Frente sin manija; separación vertical terminada 30 mm.</x:v>
      </x:c>
    </x:row>
    <x:row r="17" ht="54" customHeight="1">
      <x:c r="A17" s="3" t="str">
        <x:v>C011</x:v>
      </x:c>
      <x:c r="B17" s="3" t="str">
        <x:v>B2/B3</x:v>
      </x:c>
      <x:c r="C17" s="15" t="str">
        <x:v>Costado cajón</x:v>
      </x:c>
      <x:c r="D17" s="3" t="n">
        <x:v>12</x:v>
      </x:c>
      <x:c r="E17" s="11" t="n">
        <x:v>350</x:v>
      </x:c>
      <x:c r="F17" s="11" t="n">
        <x:v>155</x:v>
      </x:c>
      <x:c r="G17" s="11" t="n">
        <x:v>15</x:v>
      </x:c>
      <x:c r="H17" s="12" t="n">
        <x:f>D17*E17*F17/1000000</x:f>
        <x:v>0.651</x:v>
      </x:c>
      <x:c r="I17" s="14" t="str">
        <x:v>Provisional</x:v>
      </x:c>
      <x:c r="J17" s="15" t="str">
        <x:v>PROVISIONAL: fijación lateral a corredera350; paredes sobre la base.</x:v>
      </x:c>
    </x:row>
    <x:row r="18" ht="54" customHeight="1">
      <x:c r="A18" s="3" t="str">
        <x:v>C012</x:v>
      </x:c>
      <x:c r="B18" s="3" t="str">
        <x:v>B2/B3</x:v>
      </x:c>
      <x:c r="C18" s="15" t="str">
        <x:v>Base aplicada cajón</x:v>
      </x:c>
      <x:c r="D18" s="3" t="n">
        <x:v>6</x:v>
      </x:c>
      <x:c r="E18" s="11" t="n">
        <x:v>650</x:v>
      </x:c>
      <x:c r="F18" s="11" t="n">
        <x:v>350</x:v>
      </x:c>
      <x:c r="G18" s="11" t="n">
        <x:v>15</x:v>
      </x:c>
      <x:c r="H18" s="12" t="n">
        <x:f>D18*E18*F18/1000000</x:f>
        <x:v>1.365</x:v>
      </x:c>
      <x:c r="I18" s="14" t="str">
        <x:v>Provisional</x:v>
      </x:c>
      <x:c r="J18" s="15" t="str">
        <x:v>PROVISIONAL: caja exterior650 ×350, descuento27mm no confirmado para HRE320. Base debajo; definir uniones y carga.</x:v>
      </x:c>
    </x:row>
    <x:row r="19" ht="54" customHeight="1">
      <x:c r="A19" s="3" t="str">
        <x:v>C013</x:v>
      </x:c>
      <x:c r="B19" s="3" t="str">
        <x:v>B2/B3</x:v>
      </x:c>
      <x:c r="C19" s="15" t="str">
        <x:v>Frente / trasero interior cajón</x:v>
      </x:c>
      <x:c r="D19" s="3" t="n">
        <x:v>12</x:v>
      </x:c>
      <x:c r="E19" s="11" t="n">
        <x:v>620</x:v>
      </x:c>
      <x:c r="F19" s="11" t="n">
        <x:v>155</x:v>
      </x:c>
      <x:c r="G19" s="11" t="n">
        <x:v>15</x:v>
      </x:c>
      <x:c r="H19" s="12" t="n">
        <x:f>D19*E19*F19/1000000</x:f>
        <x:v>1.1532</x:v>
      </x:c>
      <x:c r="I19" s="14" t="str">
        <x:v>Provisional</x:v>
      </x:c>
      <x:c r="J19" s="15" t="str">
        <x:v>PROVISIONAL: depende de descuento total27mm, pendiente de confirmar para HRE320.</x:v>
      </x:c>
    </x:row>
    <x:row r="20" ht="54" customHeight="1">
      <x:c r="A20" s="3" t="str">
        <x:v>C014</x:v>
      </x:c>
      <x:c r="B20" s="3" t="str">
        <x:v>BASE</x:v>
      </x:c>
      <x:c r="C20" s="15" t="str">
        <x:v>Zócalo frontal</x:v>
      </x:c>
      <x:c r="D20" s="3" t="n">
        <x:v>2</x:v>
      </x:c>
      <x:c r="E20" s="11" t="n">
        <x:v>1427.5</x:v>
      </x:c>
      <x:c r="F20" s="11" t="n">
        <x:v>92</x:v>
      </x:c>
      <x:c r="G20" s="11" t="n">
        <x:v>15</x:v>
      </x:c>
      <x:c r="H20" s="12" t="n">
        <x:f>D20*E20*F20/1000000</x:f>
        <x:v>0.26266</x:v>
      </x:c>
      <x:c r="I20" s="14" t="str">
        <x:v>Provisional</x:v>
      </x:c>
      <x:c r="J20" s="15" t="str">
        <x:v>Dos tramos con junta central de 4 mm.</x:v>
      </x:c>
    </x:row>
    <x:row r="21" ht="54" customHeight="1">
      <x:c r="A21" s="3" t="str">
        <x:v>C015</x:v>
      </x:c>
      <x:c r="B21" s="3" t="str">
        <x:v>BASE</x:v>
      </x:c>
      <x:c r="C21" s="15" t="str">
        <x:v>Marco base: trasero</x:v>
      </x:c>
      <x:c r="D21" s="3" t="n">
        <x:v>2</x:v>
      </x:c>
      <x:c r="E21" s="11" t="n">
        <x:v>1429.5</x:v>
      </x:c>
      <x:c r="F21" s="11" t="n">
        <x:v>80</x:v>
      </x:c>
      <x:c r="G21" s="11" t="n">
        <x:v>15</x:v>
      </x:c>
      <x:c r="H21" s="12" t="n">
        <x:f>D21*E21*F21/1000000</x:f>
        <x:v>0.22872</x:v>
      </x:c>
      <x:c r="I21" s="14" t="str">
        <x:v>Provisional</x:v>
      </x:c>
      <x:c r="J21" s="15" t="str">
        <x:v>Dimensiones terminadas; canto y mecanizados pendientes.</x:v>
      </x:c>
    </x:row>
    <x:row r="22" ht="54" customHeight="1">
      <x:c r="A22" s="3" t="str">
        <x:v>C016</x:v>
      </x:c>
      <x:c r="B22" s="3" t="str">
        <x:v>BASE</x:v>
      </x:c>
      <x:c r="C22" s="15" t="str">
        <x:v>Marco base: travesaño</x:v>
      </x:c>
      <x:c r="D22" s="3" t="n">
        <x:v>5</x:v>
      </x:c>
      <x:c r="E22" s="11" t="n">
        <x:v>318</x:v>
      </x:c>
      <x:c r="F22" s="11" t="n">
        <x:v>80</x:v>
      </x:c>
      <x:c r="G22" s="11" t="n">
        <x:v>15</x:v>
      </x:c>
      <x:c r="H22" s="12" t="n">
        <x:f>D22*E22*F22/1000000</x:f>
        <x:v>0.1272</x:v>
      </x:c>
      <x:c r="I22" s="14" t="str">
        <x:v>Provisional</x:v>
      </x:c>
      <x:c r="J22" s="15" t="str">
        <x:v>Dimensiones terminadas; canto y mecanizados pendientes.</x:v>
      </x:c>
    </x:row>
    <x:row r="23" ht="54" customHeight="1">
      <x:c r="A23" s="3" t="str">
        <x:v>C017</x:v>
      </x:c>
      <x:c r="B23" s="3" t="str">
        <x:v>PUERTAS</x:v>
      </x:c>
      <x:c r="C23" s="15" t="str">
        <x:v>Puerta corrediza baja</x:v>
      </x:c>
      <x:c r="D23" s="3" t="n">
        <x:v>4</x:v>
      </x:c>
      <x:c r="E23" s="11" t="n">
        <x:v>1825</x:v>
      </x:c>
      <x:c r="F23" s="11" t="n">
        <x:v>742.5</x:v>
      </x:c>
      <x:c r="G23" s="11" t="n">
        <x:v>15</x:v>
      </x:c>
      <x:c r="H23" s="12" t="n">
        <x:f>D23*E23*F23/1000000</x:f>
        <x:v>5.42025</x:v>
      </x:c>
      <x:c r="I23" s="14" t="str">
        <x:v>Provisional</x:v>
      </x:c>
      <x:c r="J23" s="15" t="str">
        <x:v>PROVISIONAL: sistema compatible con RH15, alturas de montaje y refuerzos por confirmar.</x:v>
      </x:c>
    </x:row>
    <x:row r="24" ht="54" customHeight="1">
      <x:c r="A24" s="3" t="str">
        <x:v>C018</x:v>
      </x:c>
      <x:c r="B24" s="3" t="str">
        <x:v>PUERTAS</x:v>
      </x:c>
      <x:c r="C24" s="15" t="str">
        <x:v>Puerta corrediza maletero</x:v>
      </x:c>
      <x:c r="D24" s="3" t="n">
        <x:v>2</x:v>
      </x:c>
      <x:c r="E24" s="11" t="n">
        <x:v>405</x:v>
      </x:c>
      <x:c r="F24" s="11" t="n">
        <x:v>1455</x:v>
      </x:c>
      <x:c r="G24" s="11" t="n">
        <x:v>15</x:v>
      </x:c>
      <x:c r="H24" s="12" t="n">
        <x:f>D24*E24*F24/1000000</x:f>
        <x:v>1.17855</x:v>
      </x:c>
      <x:c r="I24" s="14" t="str">
        <x:v>Provisional</x:v>
      </x:c>
      <x:c r="J24" s="15" t="str">
        <x:v>PROVISIONAL: sistema compatible con RH15, alturas de montaje y refuerzos por confirmar.</x:v>
      </x:c>
    </x:row>
    <x:row r="25" ht="54" customHeight="1">
      <x:c r="A25" s="3" t="str">
        <x:v>C019</x:v>
      </x:c>
      <x:c r="B25" s="3" t="str">
        <x:v>RIEL</x:v>
      </x:c>
      <x:c r="C25" s="15" t="str">
        <x:v>Cenefa media / alta</x:v>
      </x:c>
      <x:c r="D25" s="3" t="n">
        <x:v>4</x:v>
      </x:c>
      <x:c r="E25" s="11" t="n">
        <x:v>1440</x:v>
      </x:c>
      <x:c r="F25" s="11" t="n">
        <x:v>70</x:v>
      </x:c>
      <x:c r="G25" s="11" t="n">
        <x:v>15</x:v>
      </x:c>
      <x:c r="H25" s="12" t="n">
        <x:f>D25*E25*F25/1000000</x:f>
        <x:v>0.4032</x:v>
      </x:c>
      <x:c r="I25" s="14" t="str">
        <x:v>Provisional</x:v>
      </x:c>
      <x:c r="J25" s="15" t="str">
        <x:v>Partida a 1440 mm, junta sobre divisor central; anclaje de riel independiente por dimensionar.</x:v>
      </x:c>
    </x:row>
    <x:row r="26">
      <x:c r="A26" s="3"/>
      <x:c r="B26" s="3"/>
      <x:c r="C26" s="3"/>
      <x:c r="D26" s="3"/>
      <x:c r="E26" s="3"/>
      <x:c r="F26" s="3"/>
      <x:c r="G26" s="3"/>
      <x:c r="H26" s="12"/>
      <x:c r="I26" s="3"/>
      <x:c r="J26" s="3"/>
    </x:row>
    <x:row r="27">
      <x:c r="A27" s="3"/>
      <x:c r="B27" s="3"/>
      <x:c r="C27" s="10" t="str">
        <x:v>TOTAL PIEZAS RH15</x:v>
      </x:c>
      <x:c r="D27" s="10" t="n">
        <x:f>SUM(D7:D25)</x:f>
        <x:v>80</x:v>
      </x:c>
      <x:c r="E27" s="10"/>
      <x:c r="F27" s="10"/>
      <x:c r="G27" s="10" t="str">
        <x:v>Área neta</x:v>
      </x:c>
      <x:c r="H27" s="13" t="n">
        <x:f>SUM(H7:H25)</x:f>
        <x:v>20.053336</x:v>
      </x:c>
      <x:c r="I27" s="3"/>
      <x:c r="J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>
      <x:c r="A29" s="3" t="str">
        <x:v>Medidas terminadas sin descontar canto. Veta, uniones y plano de corte por validar.</x:v>
      </x:c>
      <x:c r="B29" s="3"/>
      <x:c r="C29" s="3"/>
      <x:c r="D29" s="3"/>
      <x:c r="E29" s="3"/>
      <x:c r="F29" s="3"/>
      <x:c r="G29" s="3"/>
      <x:c r="H29" s="3"/>
      <x:c r="I29" s="3"/>
      <x:c r="J2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14" hidden="0" customWidth="1"/>
    <x:col min="5" max="5" width="17" hidden="0" customWidth="1"/>
    <x:col min="6" max="6" width="24" hidden="0" customWidth="1"/>
    <x:col min="7" max="7" width="76" hidden="0" customWidth="1"/>
    <x:col min="8" max="8" width="7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8" t="str">
        <x:v>Herrajes · referencias y pendientes</x:v>
      </x:c>
      <x:c r="B2" s="3"/>
      <x:c r="C2" s="3"/>
      <x:c r="D2" s="3"/>
      <x:c r="E2" s="3"/>
      <x:c r="F2" s="3"/>
      <x:c r="G2" s="3"/>
      <x:c r="H2" s="3"/>
    </x:row>
    <x:row r="3">
      <x:c r="A3" s="3" t="str">
        <x:v>Precios de referencia; no constituyen una lista de compras aprobada.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32" customHeight="1">
      <x:c r="A6" s="7" t="str">
        <x:v>Referencia</x:v>
      </x:c>
      <x:c r="B6" s="7" t="str">
        <x:v>Uso</x:v>
      </x:c>
      <x:c r="C6" s="7" t="str">
        <x:v>Cant. prevista</x:v>
      </x:c>
      <x:c r="D6" s="7" t="str">
        <x:v>Longitud mm</x:v>
      </x:c>
      <x:c r="E6" s="7" t="str">
        <x:v>Precio ref. COP</x:v>
      </x:c>
      <x:c r="F6" s="7" t="str">
        <x:v>Estado</x:v>
      </x:c>
      <x:c r="G6" s="7" t="str">
        <x:v>Observación</x:v>
      </x:c>
      <x:c r="H6" s="7" t="str">
        <x:v>Fuente</x:v>
      </x:c>
    </x:row>
    <x:row r="7" ht="88" customHeight="1">
      <x:c r="A7" s="3" t="str">
        <x:v>HRE320-35</x:v>
      </x:c>
      <x:c r="B7" s="15" t="str">
        <x:v>Correderas de cajón · par</x:v>
      </x:c>
      <x:c r="C7" s="3" t="n">
        <x:v>6</x:v>
      </x:c>
      <x:c r="D7" s="3" t="n">
        <x:v>350</x:v>
      </x:c>
      <x:c r="E7" s="16"/>
      <x:c r="F7" s="15" t="str">
        <x:v>Por confirmar</x:v>
      </x:c>
      <x:c r="G7" s="15" t="str">
        <x:v>Cajas de 350 mm de fondo. Confirmar referencia, precio, descuento total y tornillería antes de cortar. Los 27 mm de descuento siguen como supuesto geométrico.</x:v>
      </x:c>
      <x:c r="H7" s="15" t="str">
        <x:v>https://madecentro.com/products/riel-corredera-para-cajon-de-extension-total-carga-pesada-45-kg</x:v>
      </x:c>
    </x:row>
    <x:row r="8" ht="88" customHeight="1">
      <x:c r="A8" s="3" t="str">
        <x:v>HRE320-45</x:v>
      </x:c>
      <x:c r="B8" s="15" t="str">
        <x:v>Referencia aportada · par</x:v>
      </x:c>
      <x:c r="C8" s="3"/>
      <x:c r="D8" s="3" t="n">
        <x:v>450</x:v>
      </x:c>
      <x:c r="E8" s="16" t="n">
        <x:v>11287</x:v>
      </x:c>
      <x:c r="F8" s="15" t="str">
        <x:v>No cabe en esta caja</x:v>
      </x:c>
      <x:c r="G8" s="15" t="str">
        <x:v>Precio aportado por usuario. Longitud 450 mm excede el fondo de caja350 y cuerpo398. No trasladar este precio a la variante35.</x:v>
      </x:c>
      <x:c r="H8" s="15" t="str">
        <x:v>Usuario, 26/10/2026</x:v>
      </x:c>
    </x:row>
    <x:row r="9" ht="88" customHeight="1">
      <x:c r="A9" s="3" t="str">
        <x:v>FSCPCM73</x:v>
      </x:c>
      <x:c r="B9" s="15" t="str">
        <x:v>Kit por hoja corrediza</x:v>
      </x:c>
      <x:c r="C9" s="3" t="n">
        <x:v>6</x:v>
      </x:c>
      <x:c r="D9" s="3"/>
      <x:c r="E9" s="16" t="n">
        <x:v>19771</x:v>
      </x:c>
      <x:c r="F9" s="15" t="str">
        <x:v>Candidato no aprobado</x:v>
      </x:c>
      <x:c r="G9" s="15" t="str">
        <x:v>Ficha aportada indica puerta30; web actual indica18–36 mm. No confirmado para RH15. No sumar como compra seleccionada.</x:v>
      </x:c>
      <x:c r="H9" s="15" t="str">
        <x:v>https://madecentro.com/products/fscpcm73-kit-rodamiento-1-hoja-sistema-73</x:v>
      </x:c>
    </x:row>
    <x:row r="10" ht="88" customHeight="1">
      <x:c r="A10" s="3" t="str">
        <x:v>PERALM73-2</x:v>
      </x:c>
      <x:c r="B10" s="15" t="str">
        <x:v>Perfil U corto</x:v>
      </x:c>
      <x:c r="C10" s="3"/>
      <x:c r="D10" s="3" t="n">
        <x:v>2050</x:v>
      </x:c>
      <x:c r="E10" s="16" t="n">
        <x:v>34471</x:v>
      </x:c>
      <x:c r="F10" s="15" t="str">
        <x:v>Longitud insuficiente</x:v>
      </x:c>
      <x:c r="G10" s="15" t="str">
        <x:v>Ficha: ancho33, alto29.25 mm. No cubre el recorrido de2880; no presupuestar empalme sin validación del fabricante.</x:v>
      </x:c>
      <x:c r="H10" s="15" t="str">
        <x:v>Ficha usuario; https://madecentro.com/products/peralm73-2-riel-colgante-de-aluminio-en-u-x-2m</x:v>
      </x:c>
    </x:row>
    <x:row r="11" ht="88" customHeight="1">
      <x:c r="A11" s="3" t="str">
        <x:v>PERALM73-3</x:v>
      </x:c>
      <x:c r="B11" s="15" t="str">
        <x:v>Perfil U largo · candidato</x:v>
      </x:c>
      <x:c r="C11" s="3" t="n">
        <x:v>4</x:v>
      </x:c>
      <x:c r="D11" s="3" t="n">
        <x:v>3050</x:v>
      </x:c>
      <x:c r="E11" s="16" t="n">
        <x:v>51706</x:v>
      </x:c>
      <x:c r="F11" s="15" t="str">
        <x:v>Por confirmar</x:v>
      </x:c>
      <x:c r="G11" s="15" t="str">
        <x:v>Previsión para dos vías en dos niveles: cuatro tramos de2880, si se elige este sistema. Confirmar RH15, soportes, guías, separaciones y descuento de altura60mm.</x:v>
      </x:c>
      <x:c r="H11" s="15" t="str">
        <x:v>https://madecentro.com/products/peralm73-3-riel-colgante-de-aluminio-en-u-x-3m</x:v>
      </x:c>
    </x:row>
    <x:row r="12" ht="88" customHeight="1">
      <x:c r="A12" s="3" t="str">
        <x:v>Por elegir</x:v>
      </x:c>
      <x:c r="B12" s="15" t="str">
        <x:v>Patas / apoyos base</x:v>
      </x:c>
      <x:c r="C12" s="3" t="n">
        <x:v>10</x:v>
      </x:c>
      <x:c r="D12" s="3"/>
      <x:c r="E12" s="16"/>
      <x:c r="F12" s="15" t="str">
        <x:v>Por dimensionar</x:v>
      </x:c>
      <x:c r="G12" s="15" t="str">
        <x:v>Dos apoyos por cada lateral/divisor. Altura y capacidad reales por proveedor.</x:v>
      </x:c>
      <x:c r="H12" s="15" t="str">
        <x:v>Modelo geométrico</x:v>
      </x:c>
    </x:row>
    <x:row r="13" ht="88" customHeight="1">
      <x:c r="A13" s="3" t="str">
        <x:v>Por elegir</x:v>
      </x:c>
      <x:c r="B13" s="15" t="str">
        <x:v>Barra colgar · tramo largo</x:v>
      </x:c>
      <x:c r="C13" s="3" t="n">
        <x:v>3</x:v>
      </x:c>
      <x:c r="D13" s="3" t="n">
        <x:v>713</x:v>
      </x:c>
      <x:c r="E13" s="16"/>
      <x:c r="F13" s="15" t="str">
        <x:v>Provisional</x:v>
      </x:c>
      <x:c r="G13" s="15" t="str">
        <x:v>Cota esquemática; descontar soportes según producto real.</x:v>
      </x:c>
      <x:c r="H13" s="15" t="str">
        <x:v>Modelo geométrico</x:v>
      </x:c>
    </x:row>
    <x:row r="14" ht="88" customHeight="1">
      <x:c r="A14" s="3" t="str">
        <x:v>Por elegir</x:v>
      </x:c>
      <x:c r="B14" s="15" t="str">
        <x:v>Barra colgar · tramo corto</x:v>
      </x:c>
      <x:c r="C14" s="3" t="n">
        <x:v>2</x:v>
      </x:c>
      <x:c r="D14" s="3" t="n">
        <x:v>675</x:v>
      </x:c>
      <x:c r="E14" s="16"/>
      <x:c r="F14" s="15" t="str">
        <x:v>Provisional</x:v>
      </x:c>
      <x:c r="G14" s="15" t="str">
        <x:v>Cota esquemática; descontar soportes según producto real.</x:v>
      </x:c>
      <x:c r="H14" s="15" t="str">
        <x:v>Modelo geométrico</x:v>
      </x:c>
    </x:row>
    <x:row r="15" ht="88" customHeight="1">
      <x:c r="A15" s="3" t="str">
        <x:v>Por elegir</x:v>
      </x:c>
      <x:c r="B15" s="15" t="str">
        <x:v>Soporte barra</x:v>
      </x:c>
      <x:c r="C15" s="3" t="n">
        <x:v>10</x:v>
      </x:c>
      <x:c r="D15" s="3"/>
      <x:c r="E15" s="16"/>
      <x:c r="F15" s="15" t="str">
        <x:v>Por confirmar</x:v>
      </x:c>
      <x:c r="G15" s="15" t="str">
        <x:v>Dos por barra; comprobar forma, carga y fijación en RH15.</x:v>
      </x:c>
      <x:c r="H15" s="15" t="str">
        <x:v>Modelo geométrico</x:v>
      </x:c>
    </x:row>
    <x:row r="16" ht="88" customHeight="1">
      <x:c r="A16" s="3" t="str">
        <x:v>Por dimensionar</x:v>
      </x:c>
      <x:c r="B16" s="15" t="str">
        <x:v>Anclajes y soportes de riel</x:v>
      </x:c>
      <x:c r="C16" s="3"/>
      <x:c r="D16" s="3"/>
      <x:c r="E16" s="16"/>
      <x:c r="F16" s="15" t="str">
        <x:v>Pendiente</x:v>
      </x:c>
      <x:c r="G16" s="15" t="str">
        <x:v>No fijar el peso de las puertas al cielo falso. Definir soporte rígido y anclajes según muro/placa real.</x:v>
      </x:c>
      <x:c r="H16" s="15" t="str">
        <x:v>Criterio de montaje pendiente</x:v>
      </x:c>
    </x:row>
    <x:row r="17" ht="88" customHeight="1">
      <x:c r="A17" s="3" t="str">
        <x:v>Peralma · variante3m</x:v>
      </x:c>
      <x:c r="B17" s="15" t="str">
        <x:v>Perfil para puertas RH15</x:v>
      </x:c>
      <x:c r="C17" s="3"/>
      <x:c r="D17" s="3" t="n">
        <x:v>3000</x:v>
      </x:c>
      <x:c r="E17" s="16"/>
      <x:c r="F17" s="15" t="str">
        <x:v>Alternativa por validar</x:v>
      </x:c>
      <x:c r="G17" s="15" t="str">
        <x:v>La tienda declara tablero15–30mm y descuento de altura50mm. Exige PERALM93 para15mm. Verificar sección, vías, profundidad y cuántos perfiles requiere la configuración de cuatro hojas bajas.</x:v>
      </x:c>
      <x:c r="H17" s="15" t="str">
        <x:v>https://madecentro.com/products/sistema-corredizo-colgate-x-3mtr</x:v>
      </x:c>
    </x:row>
    <x:row r="18" ht="88" customHeight="1">
      <x:c r="A18" s="3" t="str">
        <x:v>FSCPCM20</x:v>
      </x:c>
      <x:c r="B18" s="15" t="str">
        <x:v>Kit Peralma para dos puertas</x:v>
      </x:c>
      <x:c r="C18" s="3" t="n">
        <x:v>3</x:v>
      </x:c>
      <x:c r="D18" s="3"/>
      <x:c r="E18" s="16" t="n">
        <x:v>12730</x:v>
      </x:c>
      <x:c r="F18" s="15" t="str">
        <x:v>Alternativa por validar</x:v>
      </x:c>
      <x:c r="G18" s="15" t="str">
        <x:v>Compatibilidad publicada15–30mm; suministro por dos hojas. Tres kits es previsión para seis hojas, condicionada a disposición de vías, topes, guías y soporte. No seleccionado ni sumado a compras.</x:v>
      </x:c>
      <x:c r="H18" s="15" t="str">
        <x:v>https://madecentro.com/products/kit-de-accesorios-para-sistema-colgante</x:v>
      </x:c>
    </x:row>
    <x:row r="19" ht="88" customHeight="1">
      <x:c r="A19" s="3" t="str">
        <x:v>PERALM93</x:v>
      </x:c>
      <x:c r="B19" s="15" t="str">
        <x:v>Perfil requerido para RH15</x:v>
      </x:c>
      <x:c r="C19" s="3"/>
      <x:c r="D19" s="3"/>
      <x:c r="E19" s="16"/>
      <x:c r="F19" s="15" t="str">
        <x:v>Alternativa por validar</x:v>
      </x:c>
      <x:c r="G19" s="15" t="str">
        <x:v>La tienda exige colocarlo en ambos extremos de cada puerta RH15 para evitar pandeo. Cantidad, longitud, fijación y efecto sobre medidas exteriores pendientes de ficha.</x:v>
      </x:c>
      <x:c r="H19" s="15" t="str">
        <x:v>https://madecentro.com/products/sistema-corredizo-colgate-x-3mtr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10" hidden="0" customWidth="1"/>
    <x:col min="4" max="4" width="42" hidden="0" customWidth="1"/>
  </x:cols>
  <x:sheetData>
    <x:row r="1">
      <x:c r="A1" s="3"/>
      <x:c r="B1" s="3"/>
      <x:c r="C1" s="3"/>
      <x:c r="D1" s="3"/>
    </x:row>
    <x:row r="2">
      <x:c r="A2" s="8" t="str">
        <x:v>Revisión del clóset 1</x:v>
      </x:c>
      <x:c r="B2" s="3"/>
      <x:c r="C2" s="3"/>
      <x:c r="D2" s="3"/>
    </x:row>
    <x:row r="3">
      <x:c r="A3" s="3" t="str">
        <x:v>Opción provisional · 26/10/2026</x:v>
      </x:c>
      <x:c r="B3" s="3"/>
      <x:c r="C3" s="3"/>
      <x:c r="D3" s="3"/>
    </x:row>
    <x:row r="4">
      <x:c r="A4" s="3"/>
      <x:c r="B4" s="3"/>
      <x:c r="C4" s="3"/>
      <x:c r="D4" s="3"/>
    </x:row>
    <x:row r="5">
      <x:c r="A5" s="3"/>
      <x:c r="B5" s="3"/>
      <x:c r="C5" s="3"/>
      <x:c r="D5" s="3"/>
    </x:row>
    <x:row r="6" ht="32" customHeight="1">
      <x:c r="A6" s="7" t="str">
        <x:v>Estado</x:v>
      </x:c>
      <x:c r="B6" s="7" t="str">
        <x:v>Tema</x:v>
      </x:c>
      <x:c r="C6" s="7" t="str">
        <x:v>Resultado / pendiente</x:v>
      </x:c>
      <x:c r="D6" s="7" t="str">
        <x:v>Base</x:v>
      </x:c>
    </x:row>
    <x:row r="7" ht="68" customHeight="1">
      <x:c r="A7" s="3" t="str">
        <x:v>Aplicado</x:v>
      </x:c>
      <x:c r="B7" s="15" t="str">
        <x:v>Material</x:v>
      </x:c>
      <x:c r="C7" s="15" t="str">
        <x:v>80 piezas en RH de 15 mm, incluidas las seis hojas. Acabado por elegir.</x:v>
      </x:c>
      <x:c r="D7" s="15" t="str">
        <x:v>Decisión usuario</x:v>
      </x:c>
    </x:row>
    <x:row r="8" ht="68" customHeight="1">
      <x:c r="A8" s="3" t="str">
        <x:v>Aplicado</x:v>
      </x:c>
      <x:c r="B8" s="15" t="str">
        <x:v>Frentes de cajón</x:v>
      </x:c>
      <x:c r="C8" s="15" t="str">
        <x:v>Tres por bloque, seis en total. Cada frente671 × 210; separación terminada 30 mm. Sin repisas entre cajones.</x:v>
      </x:c>
      <x:c r="D8" s="15" t="str">
        <x:v>Decisión usuario / modelo</x:v>
      </x:c>
    </x:row>
    <x:row r="9" ht="68" customHeight="1">
      <x:c r="A9" s="3" t="str">
        <x:v>Aplicado</x:v>
      </x:c>
      <x:c r="B9" s="15" t="str">
        <x:v>Cajas de cajón</x:v>
      </x:c>
      <x:c r="C9" s="15" t="str">
        <x:v>Base 650 × 350 × 15 debajo de paredes de 155 mm. Costados 350 × 155; frente/trasero 620 × 155. Envolvente 170 mm conservada.</x:v>
      </x:c>
      <x:c r="D9" s="15" t="str">
        <x:v>Corrección geométrica</x:v>
      </x:c>
    </x:row>
    <x:row r="10" ht="68" customHeight="1">
      <x:c r="A10" s="3" t="str">
        <x:v>Aplicado</x:v>
      </x:c>
      <x:c r="B10" s="15" t="str">
        <x:v>Cruces de piezas</x:v>
      </x:c>
      <x:c r="C10" s="15" t="str">
        <x:v>Auditoría de 80 piezas: sin volúmenes compartidos superiores a 0,5 mm en posición cerrada. No sustituye validación de montaje.</x:v>
      </x:c>
      <x:c r="D10" s="15" t="str">
        <x:v>Auditoría geométrica 26/10/2026</x:v>
      </x:c>
    </x:row>
    <x:row r="11" ht="68" customHeight="1">
      <x:c r="A11" s="3" t="str">
        <x:v>Aplicado</x:v>
      </x:c>
      <x:c r="B11" s="15" t="str">
        <x:v>Precisión y juntas</x:v>
      </x:c>
      <x:c r="C11" s="15" t="str">
        <x:v>Conservados decimales: puertas 742,5; zócalos 1427,5; traseros base 1429,5. Cenefas divididas en cuatro de 1440, juntas sobre divisor central.</x:v>
      </x:c>
      <x:c r="D11" s="15" t="str">
        <x:v>Modelo e inventario conciliados</x:v>
      </x:c>
    </x:row>
    <x:row r="12" ht="68" customHeight="1">
      <x:c r="A12" s="3" t="str">
        <x:v>Pendiente</x:v>
      </x:c>
      <x:c r="B12" s="15" t="str">
        <x:v>Correderas</x:v>
      </x:c>
      <x:c r="C12" s="15" t="str">
        <x:v>Se requiere variante de 350 mm. Confirmar descuento total;650mm exteriores de caja suponen vano 677 menos 27.</x:v>
      </x:c>
      <x:c r="D12" s="15" t="str">
        <x:v>HRE320 por confirmar</x:v>
      </x:c>
    </x:row>
    <x:row r="13" ht="68" customHeight="1">
      <x:c r="A13" s="3" t="str">
        <x:v>Pendiente</x:v>
      </x:c>
      <x:c r="B13" s="15" t="str">
        <x:v>Sistema de puertas</x:v>
      </x:c>
      <x:c r="C13" s="15" t="str">
        <x:v>FSCPCM73/PERALM73 sin compatibilidad RH15 confirmada. Alturas de hojas y soportes siguen provisionales.</x:v>
      </x:c>
      <x:c r="D13" s="15" t="str">
        <x:v>Fichas usuario / Madecentro</x:v>
      </x:c>
    </x:row>
    <x:row r="14" ht="68" customHeight="1">
      <x:c r="A14" s="3" t="str">
        <x:v>Pendiente</x:v>
      </x:c>
      <x:c r="B14" s="15" t="str">
        <x:v>Cantos y corte</x:v>
      </x:c>
      <x:c r="C14" s="15" t="str">
        <x:v>Celdas E/F son dimensiones terminadas, no cortes netos. Elegir canto por borde, veta, refilado y sierra; optimizar tablero antes de comprar.</x:v>
      </x:c>
      <x:c r="D14" s="15" t="str">
        <x:v>Pedido de fabricación no cerrado</x:v>
      </x:c>
    </x:row>
    <x:row r="15" ht="68" customHeight="1">
      <x:c r="A15" s="3" t="str">
        <x:v>Pendiente</x:v>
      </x:c>
      <x:c r="B15" s="15" t="str">
        <x:v>Anclajes y cargas</x:v>
      </x:c>
      <x:c r="C15" s="15" t="str">
        <x:v>Definir uniones de bases, soporte de rieles, patas y anclajes a muro/placa real. Sin carga en cielo falso.</x:v>
      </x:c>
      <x:c r="D15" s="15" t="str">
        <x:v>Proveedor / instalación</x:v>
      </x:c>
    </x:row>
    <x:row r="16" ht="68" customHeight="1">
      <x:c r="A16" s="3" t="str">
        <x:v>Pendiente</x:v>
      </x:c>
      <x:c r="B16" s="15" t="str">
        <x:v>Hueco y uso</x:v>
      </x:c>
      <x:c r="C16" s="15" t="str">
        <x:v>Hueco nominal2900; frente2880. Altura2400 por confirmar; fondo total512 y reserva520. Lado derecho accesible con puerta habitación cerrada.</x:v>
      </x:c>
      <x:c r="D16" s="15" t="str">
        <x:v>Usuario / modelo</x:v>
      </x:c>
    </x:row>
    <x:row r="17" ht="68" customHeight="1">
      <x:c r="A17" s="3" t="str">
        <x:v>Pendiente</x:v>
      </x:c>
      <x:c r="B17" s="15" t="str">
        <x:v>Ropa y profundidad</x:v>
      </x:c>
      <x:c r="C17" s="15" t="str">
        <x:v>Cuerpo 398 mm: comprobar prendas y perchas reales; puede requerir colgado frontal o distribución distinta.</x:v>
      </x:c>
      <x:c r="D17" s="15" t="str">
        <x:v>Limitación de opción1</x:v>
      </x:c>
    </x:row>
    <x:row r="18" ht="68" customHeight="1">
      <x:c r="A18" s="3" t="str">
        <x:v>Pendiente</x:v>
      </x:c>
      <x:c r="B18" s="15" t="str">
        <x:v>Presupuesto</x:v>
      </x:c>
      <x:c r="C18" s="15" t="str">
        <x:v>Precios solo de referencias concretas. Sin precio de RH/acabado, corte, cantos ni montaje; sin total de compras aprobado.</x:v>
      </x:c>
      <x:c r="D18" s="15" t="str">
        <x:v>Alcance provisional</x:v>
      </x:c>
    </x:row>
    <x:row r="19">
      <x:c r="A19" s="3"/>
      <x:c r="B19" s="3"/>
      <x:c r="C19" s="3"/>
      <x:c r="D19" s="3"/>
    </x:row>
  </x:sheetData>
  <x:pageMargins left="0.7" right="0.7" top="0.75" bottom="0.75" header="0.3" footer="0.3"/>
</x:worksheet>
</file>