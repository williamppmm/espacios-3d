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e4bb88fb3ffb2f3/Desktop/proyecto_terraza/"/>
    </mc:Choice>
  </mc:AlternateContent>
  <xr:revisionPtr revIDLastSave="212" documentId="11_39A5DAC66671F6C16920D447E0FE7CA92628FE5A" xr6:coauthVersionLast="47" xr6:coauthVersionMax="47" xr10:uidLastSave="{5AD4CD8C-4938-4F5A-8216-46680251751C}"/>
  <bookViews>
    <workbookView xWindow="-108" yWindow="-108" windowWidth="23256" windowHeight="13896" xr2:uid="{00000000-000D-0000-FFFF-FFFF00000000}"/>
  </bookViews>
  <sheets>
    <sheet name="Despiece" sheetId="1" r:id="rId1"/>
    <sheet name="Pedido de corte" sheetId="2" r:id="rId2"/>
    <sheet name="Compras" sheetId="4" r:id="rId3"/>
    <sheet name="Cantos" sheetId="3" r:id="rId4"/>
    <sheet name="Pendientes" sheetId="6" r:id="rId5"/>
    <sheet name="Decisione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4" l="1"/>
  <c r="F19" i="4"/>
  <c r="F18" i="4"/>
  <c r="F17" i="4"/>
  <c r="F16" i="4"/>
  <c r="F15" i="4"/>
  <c r="F14" i="4"/>
  <c r="F13" i="4"/>
  <c r="F12" i="4"/>
  <c r="F11" i="4"/>
  <c r="C8" i="3"/>
  <c r="D8" i="3" s="1"/>
  <c r="C7" i="3"/>
  <c r="D7" i="3" s="1"/>
  <c r="B7" i="3"/>
  <c r="E7" i="3" s="1"/>
  <c r="C9" i="4" s="1"/>
  <c r="F9" i="4" s="1"/>
  <c r="K4" i="3"/>
  <c r="K5" i="3" s="1"/>
  <c r="K3" i="3"/>
  <c r="B8" i="3" s="1"/>
  <c r="E8" i="3" s="1"/>
  <c r="C10" i="4" s="1"/>
  <c r="F10" i="4" s="1"/>
  <c r="M19" i="2"/>
  <c r="L19" i="2"/>
  <c r="N19" i="2" s="1"/>
  <c r="K19" i="2"/>
  <c r="J19" i="2"/>
  <c r="I19" i="2"/>
  <c r="H19" i="2"/>
  <c r="G19" i="2"/>
  <c r="F19" i="2"/>
  <c r="E19" i="2"/>
  <c r="D19" i="2"/>
  <c r="C19" i="2"/>
  <c r="B19" i="2"/>
  <c r="A19" i="2"/>
  <c r="M18" i="2"/>
  <c r="K18" i="2"/>
  <c r="J18" i="2"/>
  <c r="I18" i="2"/>
  <c r="H18" i="2"/>
  <c r="G18" i="2"/>
  <c r="F18" i="2"/>
  <c r="E18" i="2"/>
  <c r="D18" i="2"/>
  <c r="C18" i="2"/>
  <c r="B18" i="2"/>
  <c r="A18" i="2"/>
  <c r="M17" i="2"/>
  <c r="K17" i="2"/>
  <c r="J17" i="2"/>
  <c r="I17" i="2"/>
  <c r="H17" i="2"/>
  <c r="G17" i="2"/>
  <c r="F17" i="2"/>
  <c r="E17" i="2"/>
  <c r="D17" i="2"/>
  <c r="C17" i="2"/>
  <c r="B17" i="2"/>
  <c r="A17" i="2"/>
  <c r="M16" i="2"/>
  <c r="K16" i="2"/>
  <c r="J16" i="2"/>
  <c r="I16" i="2"/>
  <c r="H16" i="2"/>
  <c r="G16" i="2"/>
  <c r="F16" i="2"/>
  <c r="E16" i="2"/>
  <c r="D16" i="2"/>
  <c r="C16" i="2"/>
  <c r="B16" i="2"/>
  <c r="A16" i="2"/>
  <c r="M15" i="2"/>
  <c r="K15" i="2"/>
  <c r="J15" i="2"/>
  <c r="I15" i="2"/>
  <c r="H15" i="2"/>
  <c r="G15" i="2"/>
  <c r="F15" i="2"/>
  <c r="E15" i="2"/>
  <c r="D15" i="2"/>
  <c r="C15" i="2"/>
  <c r="B15" i="2"/>
  <c r="A15" i="2"/>
  <c r="M14" i="2"/>
  <c r="K14" i="2"/>
  <c r="J14" i="2"/>
  <c r="I14" i="2"/>
  <c r="H14" i="2"/>
  <c r="G14" i="2"/>
  <c r="F14" i="2"/>
  <c r="E14" i="2"/>
  <c r="D14" i="2"/>
  <c r="C14" i="2"/>
  <c r="B14" i="2"/>
  <c r="A14" i="2"/>
  <c r="M13" i="2"/>
  <c r="K13" i="2"/>
  <c r="J13" i="2"/>
  <c r="I13" i="2"/>
  <c r="H13" i="2"/>
  <c r="G13" i="2"/>
  <c r="F13" i="2"/>
  <c r="E13" i="2"/>
  <c r="D13" i="2"/>
  <c r="C13" i="2"/>
  <c r="B13" i="2"/>
  <c r="A13" i="2"/>
  <c r="M12" i="2"/>
  <c r="K12" i="2"/>
  <c r="J12" i="2"/>
  <c r="I12" i="2"/>
  <c r="H12" i="2"/>
  <c r="G12" i="2"/>
  <c r="F12" i="2"/>
  <c r="E12" i="2"/>
  <c r="D12" i="2"/>
  <c r="C12" i="2"/>
  <c r="B12" i="2"/>
  <c r="A12" i="2"/>
  <c r="M11" i="2"/>
  <c r="K11" i="2"/>
  <c r="J11" i="2"/>
  <c r="I11" i="2"/>
  <c r="H11" i="2"/>
  <c r="G11" i="2"/>
  <c r="F11" i="2"/>
  <c r="E11" i="2"/>
  <c r="D11" i="2"/>
  <c r="C11" i="2"/>
  <c r="B11" i="2"/>
  <c r="A11" i="2"/>
  <c r="M10" i="2"/>
  <c r="K10" i="2"/>
  <c r="J10" i="2"/>
  <c r="I10" i="2"/>
  <c r="H10" i="2"/>
  <c r="G10" i="2"/>
  <c r="F10" i="2"/>
  <c r="E10" i="2"/>
  <c r="D10" i="2"/>
  <c r="C10" i="2"/>
  <c r="B10" i="2"/>
  <c r="A10" i="2"/>
  <c r="M9" i="2"/>
  <c r="K9" i="2"/>
  <c r="J9" i="2"/>
  <c r="I9" i="2"/>
  <c r="H9" i="2"/>
  <c r="G9" i="2"/>
  <c r="F9" i="2"/>
  <c r="E9" i="2"/>
  <c r="D9" i="2"/>
  <c r="C9" i="2"/>
  <c r="B9" i="2"/>
  <c r="A9" i="2"/>
  <c r="M8" i="2"/>
  <c r="K8" i="2"/>
  <c r="J8" i="2"/>
  <c r="I8" i="2"/>
  <c r="H8" i="2"/>
  <c r="G8" i="2"/>
  <c r="F8" i="2"/>
  <c r="E8" i="2"/>
  <c r="D8" i="2"/>
  <c r="C8" i="2"/>
  <c r="B8" i="2"/>
  <c r="A8" i="2"/>
  <c r="M7" i="2"/>
  <c r="K7" i="2"/>
  <c r="J7" i="2"/>
  <c r="I7" i="2"/>
  <c r="H7" i="2"/>
  <c r="G7" i="2"/>
  <c r="F7" i="2"/>
  <c r="E7" i="2"/>
  <c r="D7" i="2"/>
  <c r="C7" i="2"/>
  <c r="B7" i="2"/>
  <c r="A7" i="2"/>
  <c r="E25" i="1"/>
  <c r="E24" i="1"/>
  <c r="O21" i="1"/>
  <c r="N21" i="1"/>
  <c r="I21" i="1"/>
  <c r="O20" i="1"/>
  <c r="N20" i="1"/>
  <c r="I20" i="1"/>
  <c r="O19" i="1"/>
  <c r="N19" i="1"/>
  <c r="I19" i="1"/>
  <c r="I25" i="1" s="1"/>
  <c r="C8" i="4" s="1"/>
  <c r="F8" i="4" s="1"/>
  <c r="O18" i="1"/>
  <c r="N18" i="1"/>
  <c r="L18" i="2" s="1"/>
  <c r="N18" i="2" s="1"/>
  <c r="I18" i="1"/>
  <c r="O17" i="1"/>
  <c r="N17" i="1"/>
  <c r="L17" i="2" s="1"/>
  <c r="N17" i="2" s="1"/>
  <c r="I17" i="1"/>
  <c r="O16" i="1"/>
  <c r="N16" i="1"/>
  <c r="L16" i="2" s="1"/>
  <c r="N16" i="2" s="1"/>
  <c r="I16" i="1"/>
  <c r="O15" i="1"/>
  <c r="N15" i="1"/>
  <c r="L15" i="2" s="1"/>
  <c r="N15" i="2" s="1"/>
  <c r="I15" i="1"/>
  <c r="O14" i="1"/>
  <c r="N14" i="1"/>
  <c r="L14" i="2" s="1"/>
  <c r="N14" i="2" s="1"/>
  <c r="I14" i="1"/>
  <c r="O13" i="1"/>
  <c r="N13" i="1"/>
  <c r="I13" i="1"/>
  <c r="O12" i="1"/>
  <c r="N12" i="1"/>
  <c r="L12" i="2" s="1"/>
  <c r="N12" i="2" s="1"/>
  <c r="I12" i="1"/>
  <c r="O11" i="1"/>
  <c r="N11" i="1"/>
  <c r="L11" i="2" s="1"/>
  <c r="N11" i="2" s="1"/>
  <c r="I11" i="1"/>
  <c r="O10" i="1"/>
  <c r="N10" i="1"/>
  <c r="L10" i="2" s="1"/>
  <c r="N10" i="2" s="1"/>
  <c r="I10" i="1"/>
  <c r="O9" i="1"/>
  <c r="N9" i="1"/>
  <c r="L9" i="2" s="1"/>
  <c r="N9" i="2" s="1"/>
  <c r="I9" i="1"/>
  <c r="O8" i="1"/>
  <c r="N8" i="1"/>
  <c r="L8" i="2" s="1"/>
  <c r="N8" i="2" s="1"/>
  <c r="I8" i="1"/>
  <c r="O7" i="1"/>
  <c r="N7" i="1"/>
  <c r="L7" i="2" s="1"/>
  <c r="I7" i="1"/>
  <c r="I24" i="1" s="1"/>
  <c r="C7" i="4" s="1"/>
  <c r="F7" i="4" s="1"/>
  <c r="L13" i="2" l="1"/>
  <c r="G8" i="3"/>
  <c r="N7" i="2"/>
  <c r="F7" i="3"/>
  <c r="F22" i="4"/>
  <c r="N13" i="2" l="1"/>
  <c r="F8" i="3"/>
  <c r="H8" i="3" s="1"/>
  <c r="G7" i="3"/>
  <c r="H7" i="3" s="1"/>
</calcChain>
</file>

<file path=xl/sharedStrings.xml><?xml version="1.0" encoding="utf-8"?>
<sst xmlns="http://schemas.openxmlformats.org/spreadsheetml/2006/main" count="361" uniqueCount="247">
  <si>
    <t>Baño Cartagena · despiece independiente</t>
  </si>
  <si>
    <t>Medidas terminadas en mm. Largo en sentido de veta. B06 se pide rectangular entero; la diagonal, el sifón y los equipos se mecanizan con plantilla confirmada.</t>
  </si>
  <si>
    <t>ID</t>
  </si>
  <si>
    <t>Módulo</t>
  </si>
  <si>
    <t>Pieza</t>
  </si>
  <si>
    <t>Material</t>
  </si>
  <si>
    <t>Cantidad</t>
  </si>
  <si>
    <t>Largo veta mm</t>
  </si>
  <si>
    <t>Ancho mm</t>
  </si>
  <si>
    <t>Espesor mm</t>
  </si>
  <si>
    <t>Área m²</t>
  </si>
  <si>
    <t>Canto L1</t>
  </si>
  <si>
    <t>Canto L2</t>
  </si>
  <si>
    <t>Canto A1</t>
  </si>
  <si>
    <t>Canto A2</t>
  </si>
  <si>
    <t>Corte largo mm</t>
  </si>
  <si>
    <t>Corte ancho mm</t>
  </si>
  <si>
    <t>Nota de fabricación</t>
  </si>
  <si>
    <t>B01</t>
  </si>
  <si>
    <t>BAJO</t>
  </si>
  <si>
    <t>Lateral</t>
  </si>
  <si>
    <t>RH15 Cartagena</t>
  </si>
  <si>
    <t>2</t>
  </si>
  <si>
    <t>0.45</t>
  </si>
  <si>
    <t>Zona húmeda: proteger todos los bordes y sellar perforaciones; dimensiones terminadas.</t>
  </si>
  <si>
    <t>B02</t>
  </si>
  <si>
    <t>Piso</t>
  </si>
  <si>
    <t>B03</t>
  </si>
  <si>
    <t>Entrepaño retranqueado con reserva de sifón</t>
  </si>
  <si>
    <t>Zona húmeda: proteger todos los bordes y sellar perforaciones; dimensiones terminadas. Nicho libre de 150 mm bajo granito. Recorte trasero ilustrativo 100 × 270 mm, centrado; no mecanizar sin sifón real. Retranqueo frontal de 30 mm para agarre.</t>
  </si>
  <si>
    <t>B04</t>
  </si>
  <si>
    <t>Travesaño trasero superior lateral</t>
  </si>
  <si>
    <t>Zona húmeda: proteger todos los bordes y sellar perforaciones; dimensiones terminadas. De canto, interrumpido en el centro para tuberías; no es un colgador certificado.</t>
  </si>
  <si>
    <t>B05</t>
  </si>
  <si>
    <t>Travesaño trasero inferior</t>
  </si>
  <si>
    <t>Zona húmeda: proteger todos los bordes y sellar perforaciones; dimensiones terminadas. Define rigidez posterior; anclajes y uniones por dimensionar.</t>
  </si>
  <si>
    <t>B06</t>
  </si>
  <si>
    <t>Panel común para dos puertas: corte diagonal en armado</t>
  </si>
  <si>
    <t>S01</t>
  </si>
  <si>
    <t>ESPEJO</t>
  </si>
  <si>
    <t>Lateral gabinete superior</t>
  </si>
  <si>
    <t>Zona húmeda: proteger todos los bordes y sellar perforaciones; dimensiones terminadas. Fondo total 130 mm con panel 6 mm, holgura frontal 1 mm, tapa RH15 y espejo 3 mm.</t>
  </si>
  <si>
    <t>S02</t>
  </si>
  <si>
    <t>Piso y techo gabinete superior</t>
  </si>
  <si>
    <t>S03</t>
  </si>
  <si>
    <t>División vertical</t>
  </si>
  <si>
    <t>Zona húmeda: proteger todos los bordes y sellar perforaciones; dimensiones terminadas. Interior cerrado 290 mm; columna derecha abierta 115 mm.</t>
  </si>
  <si>
    <t>S04</t>
  </si>
  <si>
    <t>Entrepaño interior izquierdo</t>
  </si>
  <si>
    <t>Zona húmeda: proteger todos los bordes y sellar perforaciones; dimensiones terminadas. Dos entrepaños fijos como la referencia.</t>
  </si>
  <si>
    <t>S05</t>
  </si>
  <si>
    <t>Entrepaño columna abierta derecha</t>
  </si>
  <si>
    <t>S06</t>
  </si>
  <si>
    <t>Tapa RH15 portadora del espejo</t>
  </si>
  <si>
    <t>Medida exterior de referencia 320 × 500; espejo pegado en cara exterior. Dos bisagras candidatas, peso conjunto aproximado 2,8 kg sin herrajes. Validar holguras, cazoletas y adhesivo compatible con espejo.</t>
  </si>
  <si>
    <t>F01</t>
  </si>
  <si>
    <t>Fondo blanco de 6 mm</t>
  </si>
  <si>
    <t>Fondo melamina blanco RH6</t>
  </si>
  <si>
    <t>Fondo aplicado por detrás, retranqueado 2 mm de los bordes. Reutilización de sobrantes de cocina solo se comprobará en la optimización conjunta final. No soporta el anclaje del gabinete.</t>
  </si>
  <si>
    <t>E01</t>
  </si>
  <si>
    <t>Espejo</t>
  </si>
  <si>
    <t>Espejo 3 mm provisional</t>
  </si>
  <si>
    <t>—</t>
  </si>
  <si>
    <t>320 × 500 mm según usuario; espesor provisional de 3 mm. Canto pulido y protección posterior; no se suma como tablero.</t>
  </si>
  <si>
    <t>E02</t>
  </si>
  <si>
    <t>Granito de retal</t>
  </si>
  <si>
    <t>Granito de retal provisional</t>
  </si>
  <si>
    <t>550 × 470 × 20 mm supuestos. Vuelos laterales 15 mm; delante 5 mm respecto a las puertas. Recortes solo con lavamanos, grifería y retal reales.</t>
  </si>
  <si>
    <t>Total RH15 (sin espejo, granito ni fondo)</t>
  </si>
  <si>
    <t>Fondo blanco RH6, sin asignar sobrantes</t>
  </si>
  <si>
    <t>Pedido de corte y canteado · baño</t>
  </si>
  <si>
    <t>¿El proveedor descuenta cantos de la medida terminada?</t>
  </si>
  <si>
    <t>SÍ</t>
  </si>
  <si>
    <t>Pedir únicamente los bordes indicados. Diagonal de B06 y recortes de obra pendientes; el proveedor confirma tolerancias y cabida en máquina.</t>
  </si>
  <si>
    <t>Lado menor mínimo del tablero para máquina, mm</t>
  </si>
  <si>
    <t>SÍ = medida terminada; NO = tablero con descuento. Se clasifica con el tamaño del tablero. B06: pedir un único panel 517 × 299 terminado; NO separar en tienda. Diagonal central provisional 75° en armado.</t>
  </si>
  <si>
    <t>Lado mayor mínimo del tablero para máquina, mm</t>
  </si>
  <si>
    <t>Largo a pedir</t>
  </si>
  <si>
    <t>Ancho a pedir</t>
  </si>
  <si>
    <t>Largo 1</t>
  </si>
  <si>
    <t>Largo 2</t>
  </si>
  <si>
    <t>Corto 1</t>
  </si>
  <si>
    <t>Corto 2</t>
  </si>
  <si>
    <t>Canteo</t>
  </si>
  <si>
    <t>Medida terminada</t>
  </si>
  <si>
    <t>Observación</t>
  </si>
  <si>
    <t>Cantos del baño · protección por humedad</t>
  </si>
  <si>
    <t>Reserva por borde m</t>
  </si>
  <si>
    <t>Ángulo de la diagonal, grados</t>
  </si>
  <si>
    <t>Longitud de cada diagonal, mm</t>
  </si>
  <si>
    <t>Holgura normal resultante, mm</t>
  </si>
  <si>
    <t>Canto de cada diagonal, mm</t>
  </si>
  <si>
    <t>Holgura horizontal aproximada, mm</t>
  </si>
  <si>
    <t>Tipo</t>
  </si>
  <si>
    <t>Metros netos</t>
  </si>
  <si>
    <t>Bordes</t>
  </si>
  <si>
    <t>Reserva m</t>
  </si>
  <si>
    <t>Metros con reserva</t>
  </si>
  <si>
    <t>Manual neto estimado</t>
  </si>
  <si>
    <t>Bordes manuales</t>
  </si>
  <si>
    <t>Previsión manual m</t>
  </si>
  <si>
    <t>Rígido 2 mm</t>
  </si>
  <si>
    <t>Flexible 0,45 mm</t>
  </si>
  <si>
    <t>Manual: piezas potencialmente rechazadas, más 10 cm por borde y 20 % de reserva. Confirmar entrega real antes de comprar.</t>
  </si>
  <si>
    <t>B06 se cuenta una vez como panel de suministro; sus dos bordes diagonales llevan flexible a mano. El metraje manual está incluido en el total, no se suma dos veces.</t>
  </si>
  <si>
    <t>Compras y accesorios · baño</t>
  </si>
  <si>
    <t>Referencia</t>
  </si>
  <si>
    <t>Uso</t>
  </si>
  <si>
    <t>Unidad</t>
  </si>
  <si>
    <t>Precio COP</t>
  </si>
  <si>
    <t>Subtotal COP</t>
  </si>
  <si>
    <t>Estado</t>
  </si>
  <si>
    <t>Detalle</t>
  </si>
  <si>
    <t>Fuente</t>
  </si>
  <si>
    <t>Tablero del conjunto</t>
  </si>
  <si>
    <t>m²</t>
  </si>
  <si>
    <t>Mismo material de cocina.</t>
  </si>
  <si>
    <t>Fondo blanco RH6</t>
  </si>
  <si>
    <t>Gabinete espejo</t>
  </si>
  <si>
    <t>Solicitud del usuario.</t>
  </si>
  <si>
    <t>Canto rígido 2 mm</t>
  </si>
  <si>
    <t>Bordes indicados</t>
  </si>
  <si>
    <t>m</t>
  </si>
  <si>
    <t>Por cotizar</t>
  </si>
  <si>
    <t>Hoja Cantos.</t>
  </si>
  <si>
    <t>Canto flexible 0,45</t>
  </si>
  <si>
    <t>Protección húmeda</t>
  </si>
  <si>
    <t>HBM897-01 candidata</t>
  </si>
  <si>
    <t>Seis bisagras, tres pares</t>
  </si>
  <si>
    <t>par</t>
  </si>
  <si>
    <t>Precio del presupuesto de cocina; no cotización actual.</t>
  </si>
  <si>
    <t>320 × 500 × 3 mm provisional</t>
  </si>
  <si>
    <t>pieza</t>
  </si>
  <si>
    <t>Cantos pulidos; espesor y adhesivo con vidriero.</t>
  </si>
  <si>
    <t>Medidas del usuario; espesor supuesto.</t>
  </si>
  <si>
    <t>Retal de granito</t>
  </si>
  <si>
    <t>550 × 470 × 20 mm provisional</t>
  </si>
  <si>
    <t>Por elegir</t>
  </si>
  <si>
    <t>Vuelos 15 mm a los lados y 5 mm delante; recortes según equipos.</t>
  </si>
  <si>
    <t>Supuesto solicitado por usuario.</t>
  </si>
  <si>
    <t>Lavamanos de sobreponer</t>
  </si>
  <si>
    <t>Bowl Ø350 × 140 ilustrativo</t>
  </si>
  <si>
    <t>unidad</t>
  </si>
  <si>
    <t>No es un modelo comercial seleccionado.</t>
  </si>
  <si>
    <t>Representación provisional.</t>
  </si>
  <si>
    <t>Grifería</t>
  </si>
  <si>
    <t>Mezclador alto ilustrativo</t>
  </si>
  <si>
    <t>Medir alcance y altura según lavamanos.</t>
  </si>
  <si>
    <t>Desagüe y sifón</t>
  </si>
  <si>
    <t>Evacuación del lavamanos</t>
  </si>
  <si>
    <t>juego</t>
  </si>
  <si>
    <t>Recorte de entrepaño solo con sifón y tuberías reales.</t>
  </si>
  <si>
    <t>Instalación pendiente.</t>
  </si>
  <si>
    <t>Soportes de granito/mueble</t>
  </si>
  <si>
    <t>Soportes estructurales a muro</t>
  </si>
  <si>
    <t>Por dimensionar</t>
  </si>
  <si>
    <t>Capacidad, anclajes y sustrato real; no depende del fondo RH6.</t>
  </si>
  <si>
    <t>Montaje por definir.</t>
  </si>
  <si>
    <t>Fijaciones del espejo</t>
  </si>
  <si>
    <t>Anclajes gabinete superior</t>
  </si>
  <si>
    <t>Fijar por estructura o herrajes de colgar adecuados.</t>
  </si>
  <si>
    <t>Instalador.</t>
  </si>
  <si>
    <t>Sellado y adhesivo</t>
  </si>
  <si>
    <t>Diagonal, recortes y espejo</t>
  </si>
  <si>
    <t>lote</t>
  </si>
  <si>
    <t>Productos compatibles con RH, canto, piedra y espejo según aplicación.</t>
  </si>
  <si>
    <t>Taller y vidriero.</t>
  </si>
  <si>
    <t>Corte y montaje</t>
  </si>
  <si>
    <t>Canteado, diagonal e instalación</t>
  </si>
  <si>
    <t>servicio</t>
  </si>
  <si>
    <t>Incluye división diagonal de B06 y ajuste de tuberías.</t>
  </si>
  <si>
    <t>Proveedor.</t>
  </si>
  <si>
    <t>REFERENCIAS CON PRECIO</t>
  </si>
  <si>
    <t>Tema</t>
  </si>
  <si>
    <t>Medidas inferiores</t>
  </si>
  <si>
    <t>Alturas de instalación</t>
  </si>
  <si>
    <t>Gabinete superior</t>
  </si>
  <si>
    <t>Medidas y fotos del usuario.</t>
  </si>
  <si>
    <t>Granito y equipos</t>
  </si>
  <si>
    <t>Ubicación en la terraza</t>
  </si>
  <si>
    <t>Fuente: fotos IMG_4304–4307 y medidas del usuario, 27/10/2026. Mismo RH15 de cocina y clóset; compra conjunta en compras-proyecto.xlsx.</t>
  </si>
  <si>
    <t>Cantos completos por zona húmeda: todos los bordes de RH15 y del fondo RH6, incluidos los ocultos en uniones. La diagonal entre puertas lleva flexible 0,45 en sus dos bordes; su metraje se incluye aquí como acabado manual.</t>
  </si>
  <si>
    <t>El canto se compra junto con cocina y clóset (compras-proyecto.xlsx): 1 rollo rígido de 100 m con metros sueltos y 1 rollo flexible de 200 m para los tres muebles.</t>
  </si>
  <si>
    <t>Referencias del baño. Tablero, fondo, canto y bisagras se compran junto con cocina y clóset en compras-proyecto.xlsx; equipos, anclajes y servicios pendientes.</t>
  </si>
  <si>
    <t>En compra conjunta</t>
  </si>
  <si>
    <t>Área neta; se compra con cocina y clóset: las piezas RH15 de los tres muebles caben en 8 láminas (compras-proyecto.xlsx).</t>
  </si>
  <si>
    <t>Cabe en la lámina de fondo de la cocina (compras-proyecto.xlsx).</t>
  </si>
  <si>
    <t>Rollo rígido de 100 m conjunto más metros sueltos (compras-proyecto.xlsx).</t>
  </si>
  <si>
    <t>Rollo flexible de 200 m conjunto. Incluye fondo RH6 y los dos cantos diagonales de B06, hechos a mano.</t>
  </si>
  <si>
    <t>Dos por puerta; se compran con las de la cocina (15 pares en total). Validar peso, cabida, sobreposición y plantilla.</t>
  </si>
  <si>
    <t>Subtotal parcial del baño. Tablero, fondo y canto se presupuestan en compras-proyecto.xlsx; faltan espejo, retal, equipos, fijaciones y servicios.</t>
  </si>
  <si>
    <t>Pendientes antes de cortar e instalar · baño</t>
  </si>
  <si>
    <t>Solo lo que falta resolver. Lo ya decidido está en la hoja Decisiones; el despiece y el 3D ya lo reflejan.</t>
  </si>
  <si>
    <t>N°</t>
  </si>
  <si>
    <t>Qué falta</t>
  </si>
  <si>
    <t>Qué bloquea</t>
  </si>
  <si>
    <t>Quién lo define</t>
  </si>
  <si>
    <t>Proveedor de corte</t>
  </si>
  <si>
    <t>Confirmar Q2–Q4 del Pedido de corte (medida terminada y tamaño mínimo que cantea). El pedido conjunto de los tres muebles está en compras-proyecto.xlsx.</t>
  </si>
  <si>
    <t>Pedido de corte</t>
  </si>
  <si>
    <t>Sucursal Madecentro</t>
  </si>
  <si>
    <t>Elegir el retal de granito (espesor real; se supusieron 2 cm), el lavamanos, la grifería y el desagüe. Los huecos del dibujo (Ø45 desagüe, Ø35 grifería) no son plantilla.</t>
  </si>
  <si>
    <t>Alturas de instalación y recortes del granito</t>
  </si>
  <si>
    <t>Usuario / marmolero</t>
  </si>
  <si>
    <t>Confirmar la cara inferior del granito a 73 cm y los 51 cm desde su cara superior al gabinete (base a 126 y techo a 176 cm).</t>
  </si>
  <si>
    <t>Instalación</t>
  </si>
  <si>
    <t>Usuario</t>
  </si>
  <si>
    <t>Diagonal de las puertas (B06)</t>
  </si>
  <si>
    <t>Corte diagonal en el armado</t>
  </si>
  <si>
    <t>Taller</t>
  </si>
  <si>
    <t>Recorte del entrepaño</t>
  </si>
  <si>
    <t>Recortar y sellar en B03 la reserva del sifón con las piezas reales (100 × 270 ilustrativa).</t>
  </si>
  <si>
    <t>Armado</t>
  </si>
  <si>
    <t>Taller / plomero</t>
  </si>
  <si>
    <t>Suspensión del mueble</t>
  </si>
  <si>
    <t>Dos soportes al muro resistente que carguen mueble, granito, agua y equipos: tipo de muro, herraje y tornillos. No colgar nada del fondo de 6 mm.</t>
  </si>
  <si>
    <t>Instalador</t>
  </si>
  <si>
    <t>Gabinete del espejo</t>
  </si>
  <si>
    <t>Comprobar las bisagras HBM897-01 con la puerta de ≈2,8 kg (RH + espejo): capacidad, plantilla y poco fondo; fijar a la estructura. Espesor del espejo y adhesivo con el vidriero.</t>
  </si>
  <si>
    <t>Compra de bisagras y espejo</t>
  </si>
  <si>
    <t>Proveedor / vidriero</t>
  </si>
  <si>
    <t>Comprobar holguras y apertura real en la pared del sanitario (x = 2,12 m, giro 90°).</t>
  </si>
  <si>
    <t>Medición en obra</t>
  </si>
  <si>
    <t>Decisiones aplicadas · baño</t>
  </si>
  <si>
    <t>Registro de lo ya resuelto; el despiece y el 3D ya lo reflejan.</t>
  </si>
  <si>
    <t>Decisión</t>
  </si>
  <si>
    <t>Fecha / fuente</t>
  </si>
  <si>
    <t>Cuerpo de 52 cm de ancho, 47 de alto y 45 de fondo sin puertas; base a 26 cm del suelo. Las puertas añaden 15 mm al fondo.</t>
  </si>
  <si>
    <t>Medidas del usuario, 27/10/2026.</t>
  </si>
  <si>
    <t>45 × 50 × 13 cm totales. Tapa portadora de 32 × 50 en RH15 con espejo de 3 mm provisional; fondo blanco RH6.</t>
  </si>
  <si>
    <t>RH15 Cartagena como cocina y clóset; fondo blanco RH6.</t>
  </si>
  <si>
    <t>Decisión del usuario.</t>
  </si>
  <si>
    <t>Cantos completos</t>
  </si>
  <si>
    <t>Zona húmeda: todos los bordes de RH15 y del fondo llevan canto, incluidos los ocultos en uniones; los dos bordes diagonales de B06 se cantean con flexible 0,45 en el armado; la muesca del sifón y las perforaciones se sellan. A diferencia de cocina y clóset, aquí no se retira el canto de los bordes ocultos. El RH no se trata como material impermeable.</t>
  </si>
  <si>
    <t>Decisión del usuario 27/10/2026.</t>
  </si>
  <si>
    <t>Compra conjunta</t>
  </si>
  <si>
    <t>Tablero, fondo, canto y bisagras se compran con cocina y clóset (compras-proyecto.xlsx): las piezas RH15 de los tres muebles caben en 8 láminas y el fondo del gabinete en la lámina de fondo de la cocina.</t>
  </si>
  <si>
    <t>Encaje conjunto del 27/10/2026.</t>
  </si>
  <si>
    <t>Ubicación</t>
  </si>
  <si>
    <t>Pared del sanitario, x = 2,12 m, giro 90°, con el extremo del granito en la esquina z = 2,20 m; ya no va en la pared de la puerta.</t>
  </si>
  <si>
    <t>Modelo general de la terraza.</t>
  </si>
  <si>
    <t>Corte del disco, mm (Diablo Ultra Finish 7-1/4", 0,059")</t>
  </si>
  <si>
    <t>Una sola pieza rectangular terminada 517 × 299 mm (veta vertical). Pedirla entera, con canto 2 mm en el perímetro; NO dividir en tienda. En el armado, corte central a 75° de la horizontal (provisional entre 70 y 80°) con el disco Diablo de 1,5 mm (corte de 0,059") y canto flexible 0,45 mm en los dos bordes nuevos. Holgura entre puertas tras cantear ≈0,6 mm: probablemente insuficiente (ver Pendientes). La medida de lista es del panel común, no de cada tapa.</t>
  </si>
  <si>
    <t>Pedir el panel entero, sin dividir en tienda. Con el disco Diablo de 1,5 mm la holgura entre puertas queda en ≈0,6 mm tras cantear; lo usual son 2–3 mm. Antes del corte diagonal, decidir si se da una segunda pasada o se lija cada borde hasta ~2 mm de holgura, y confirmar el ángulo (75° provisional).</t>
  </si>
  <si>
    <t>Disco para la diagonal de B06</t>
  </si>
  <si>
    <t>Diablo Ultra Finish 7-1/4" con corte de 0,059" (≈1,5 mm). La holgura resultante (≈0,6 mm) queda como pendiente.</t>
  </si>
  <si>
    <t>Dato del usuario 27/10/2026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</si>
</sst>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&quot;$&quot;#,##0"/>
  </numFmts>
  <fonts count="7">
    <font>
      <sz val="11"/>
      <name val="Carlito"/>
    </font>
    <font>
      <sz val="10"/>
      <name val="Arial"/>
    </font>
    <font>
      <sz val="17"/>
      <name val="Arial"/>
    </font>
    <font>
      <b/>
      <sz val="10"/>
      <color rgb="FFFFFFFF"/>
      <name val="Arial"/>
    </font>
    <font>
      <b/>
      <sz val="14"/>
      <name val="Carlito"/>
    </font>
    <font>
      <i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3B35"/>
      </patternFill>
    </fill>
    <fill>
      <patternFill patternType="solid">
        <fgColor rgb="FFEAF0E3"/>
      </patternFill>
    </fill>
    <fill>
      <patternFill patternType="solid">
        <fgColor rgb="FF253B35"/>
        <bgColor indexed="64"/>
      </patternFill>
    </fill>
  </fills>
  <borders count="2">
    <border>
      <left/>
      <right/>
      <top/>
      <bottom/>
      <diagonal/>
    </border>
    <border>
      <left style="thin">
        <color rgb="FFD3DCD9"/>
      </left>
      <right style="thin">
        <color rgb="FFD3DCD9"/>
      </right>
      <top style="thin">
        <color rgb="FFD3DCD9"/>
      </top>
      <bottom style="thin">
        <color rgb="FFD3DC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3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49" fontId="6" fillId="4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4" fillId="0" borderId="0" xfId="0" applyNumberFormat="1" applyFont="1"/>
    <xf numFmtId="49" fontId="5" fillId="0" borderId="0" xfId="0" applyNumberFormat="1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showGridLines="0" tabSelected="1" workbookViewId="0">
      <pane ySplit="6" topLeftCell="A7" activePane="bottomLeft" state="frozen"/>
      <selection pane="bottomLeft"/>
    </sheetView>
  </sheetViews>
  <sheetFormatPr baseColWidth="10" defaultColWidth="8.796875" defaultRowHeight="13.8"/>
  <cols>
    <col min="1" max="1" width="9" customWidth="1"/>
    <col min="2" max="2" width="12" customWidth="1"/>
    <col min="3" max="3" width="35" customWidth="1"/>
    <col min="4" max="4" width="26" customWidth="1"/>
    <col min="5" max="5" width="10" customWidth="1"/>
    <col min="6" max="6" width="14" customWidth="1"/>
    <col min="7" max="7" width="13" customWidth="1"/>
    <col min="8" max="8" width="12" customWidth="1"/>
    <col min="9" max="9" width="13" customWidth="1"/>
    <col min="10" max="13" width="12" customWidth="1"/>
    <col min="14" max="15" width="16" customWidth="1"/>
    <col min="16" max="16" width="83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1" t="s">
        <v>180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42" customHeight="1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</row>
    <row r="7" spans="1:16" ht="66" customHeight="1">
      <c r="A7" s="1" t="s">
        <v>18</v>
      </c>
      <c r="B7" s="1" t="s">
        <v>19</v>
      </c>
      <c r="C7" s="4" t="s">
        <v>20</v>
      </c>
      <c r="D7" s="4" t="s">
        <v>21</v>
      </c>
      <c r="E7" s="1">
        <v>2</v>
      </c>
      <c r="F7" s="1">
        <v>470</v>
      </c>
      <c r="G7" s="1">
        <v>450</v>
      </c>
      <c r="H7" s="1">
        <v>15</v>
      </c>
      <c r="I7" s="5">
        <f t="shared" ref="I7:I21" si="0">E7*F7*G7/1000000</f>
        <v>0.42299999999999999</v>
      </c>
      <c r="J7" s="1" t="s">
        <v>22</v>
      </c>
      <c r="K7" s="1" t="s">
        <v>23</v>
      </c>
      <c r="L7" s="1" t="s">
        <v>23</v>
      </c>
      <c r="M7" s="1" t="s">
        <v>23</v>
      </c>
      <c r="N7" s="6">
        <f t="shared" ref="N7:N21" si="1">F7-IF(L7="2",2,IF(L7="0.45",0.45,0))-IF(M7="2",2,IF(M7="0.45",0.45,0))</f>
        <v>469.1</v>
      </c>
      <c r="O7" s="6">
        <f t="shared" ref="O7:O21" si="2">G7-IF(J7="2",2,IF(J7="0.45",0.45,0))-IF(K7="2",2,IF(K7="0.45",0.45,0))</f>
        <v>447.55</v>
      </c>
      <c r="P7" s="4" t="s">
        <v>24</v>
      </c>
    </row>
    <row r="8" spans="1:16" ht="66" customHeight="1">
      <c r="A8" s="1" t="s">
        <v>25</v>
      </c>
      <c r="B8" s="1" t="s">
        <v>19</v>
      </c>
      <c r="C8" s="4" t="s">
        <v>26</v>
      </c>
      <c r="D8" s="4" t="s">
        <v>21</v>
      </c>
      <c r="E8" s="1">
        <v>1</v>
      </c>
      <c r="F8" s="1">
        <v>490</v>
      </c>
      <c r="G8" s="1">
        <v>450</v>
      </c>
      <c r="H8" s="1">
        <v>15</v>
      </c>
      <c r="I8" s="5">
        <f t="shared" si="0"/>
        <v>0.2205</v>
      </c>
      <c r="J8" s="1" t="s">
        <v>22</v>
      </c>
      <c r="K8" s="1" t="s">
        <v>23</v>
      </c>
      <c r="L8" s="1" t="s">
        <v>23</v>
      </c>
      <c r="M8" s="1" t="s">
        <v>23</v>
      </c>
      <c r="N8" s="6">
        <f t="shared" si="1"/>
        <v>489.1</v>
      </c>
      <c r="O8" s="6">
        <f t="shared" si="2"/>
        <v>447.55</v>
      </c>
      <c r="P8" s="4" t="s">
        <v>24</v>
      </c>
    </row>
    <row r="9" spans="1:16" ht="97.95" customHeight="1">
      <c r="A9" s="1" t="s">
        <v>27</v>
      </c>
      <c r="B9" s="1" t="s">
        <v>19</v>
      </c>
      <c r="C9" s="4" t="s">
        <v>28</v>
      </c>
      <c r="D9" s="4" t="s">
        <v>21</v>
      </c>
      <c r="E9" s="1">
        <v>1</v>
      </c>
      <c r="F9" s="1">
        <v>490</v>
      </c>
      <c r="G9" s="1">
        <v>405</v>
      </c>
      <c r="H9" s="1">
        <v>15</v>
      </c>
      <c r="I9" s="5">
        <f t="shared" si="0"/>
        <v>0.19844999999999999</v>
      </c>
      <c r="J9" s="1" t="s">
        <v>22</v>
      </c>
      <c r="K9" s="1" t="s">
        <v>23</v>
      </c>
      <c r="L9" s="1" t="s">
        <v>23</v>
      </c>
      <c r="M9" s="1" t="s">
        <v>23</v>
      </c>
      <c r="N9" s="6">
        <f t="shared" si="1"/>
        <v>489.1</v>
      </c>
      <c r="O9" s="6">
        <f t="shared" si="2"/>
        <v>402.55</v>
      </c>
      <c r="P9" s="4" t="s">
        <v>29</v>
      </c>
    </row>
    <row r="10" spans="1:16" ht="66" customHeight="1">
      <c r="A10" s="1" t="s">
        <v>30</v>
      </c>
      <c r="B10" s="1" t="s">
        <v>19</v>
      </c>
      <c r="C10" s="4" t="s">
        <v>31</v>
      </c>
      <c r="D10" s="4" t="s">
        <v>21</v>
      </c>
      <c r="E10" s="1">
        <v>2</v>
      </c>
      <c r="F10" s="1">
        <v>195</v>
      </c>
      <c r="G10" s="1">
        <v>80</v>
      </c>
      <c r="H10" s="1">
        <v>15</v>
      </c>
      <c r="I10" s="5">
        <f t="shared" si="0"/>
        <v>3.1199999999999999E-2</v>
      </c>
      <c r="J10" s="1" t="s">
        <v>23</v>
      </c>
      <c r="K10" s="1" t="s">
        <v>23</v>
      </c>
      <c r="L10" s="1" t="s">
        <v>23</v>
      </c>
      <c r="M10" s="1" t="s">
        <v>23</v>
      </c>
      <c r="N10" s="6">
        <f t="shared" si="1"/>
        <v>194.10000000000002</v>
      </c>
      <c r="O10" s="6">
        <f t="shared" si="2"/>
        <v>79.099999999999994</v>
      </c>
      <c r="P10" s="4" t="s">
        <v>32</v>
      </c>
    </row>
    <row r="11" spans="1:16" ht="66" customHeight="1">
      <c r="A11" s="1" t="s">
        <v>33</v>
      </c>
      <c r="B11" s="1" t="s">
        <v>19</v>
      </c>
      <c r="C11" s="4" t="s">
        <v>34</v>
      </c>
      <c r="D11" s="4" t="s">
        <v>21</v>
      </c>
      <c r="E11" s="1">
        <v>1</v>
      </c>
      <c r="F11" s="1">
        <v>490</v>
      </c>
      <c r="G11" s="1">
        <v>80</v>
      </c>
      <c r="H11" s="1">
        <v>15</v>
      </c>
      <c r="I11" s="5">
        <f t="shared" si="0"/>
        <v>3.9199999999999999E-2</v>
      </c>
      <c r="J11" s="1" t="s">
        <v>23</v>
      </c>
      <c r="K11" s="1" t="s">
        <v>23</v>
      </c>
      <c r="L11" s="1" t="s">
        <v>23</v>
      </c>
      <c r="M11" s="1" t="s">
        <v>23</v>
      </c>
      <c r="N11" s="6">
        <f t="shared" si="1"/>
        <v>489.1</v>
      </c>
      <c r="O11" s="6">
        <f t="shared" si="2"/>
        <v>79.099999999999994</v>
      </c>
      <c r="P11" s="4" t="s">
        <v>35</v>
      </c>
    </row>
    <row r="12" spans="1:16" ht="97.95" customHeight="1">
      <c r="A12" s="1" t="s">
        <v>36</v>
      </c>
      <c r="B12" s="1" t="s">
        <v>19</v>
      </c>
      <c r="C12" s="4" t="s">
        <v>37</v>
      </c>
      <c r="D12" s="4" t="s">
        <v>21</v>
      </c>
      <c r="E12" s="1">
        <v>1</v>
      </c>
      <c r="F12" s="1">
        <v>299</v>
      </c>
      <c r="G12" s="1">
        <v>517</v>
      </c>
      <c r="H12" s="1">
        <v>15</v>
      </c>
      <c r="I12" s="5">
        <f t="shared" si="0"/>
        <v>0.154583</v>
      </c>
      <c r="J12" s="1" t="s">
        <v>22</v>
      </c>
      <c r="K12" s="1" t="s">
        <v>22</v>
      </c>
      <c r="L12" s="1" t="s">
        <v>22</v>
      </c>
      <c r="M12" s="1" t="s">
        <v>22</v>
      </c>
      <c r="N12" s="6">
        <f t="shared" si="1"/>
        <v>295</v>
      </c>
      <c r="O12" s="6">
        <f t="shared" si="2"/>
        <v>513</v>
      </c>
      <c r="P12" s="12" t="s">
        <v>242</v>
      </c>
    </row>
    <row r="13" spans="1:16" ht="66" customHeight="1">
      <c r="A13" s="1" t="s">
        <v>38</v>
      </c>
      <c r="B13" s="1" t="s">
        <v>39</v>
      </c>
      <c r="C13" s="4" t="s">
        <v>40</v>
      </c>
      <c r="D13" s="4" t="s">
        <v>21</v>
      </c>
      <c r="E13" s="1">
        <v>2</v>
      </c>
      <c r="F13" s="1">
        <v>500</v>
      </c>
      <c r="G13" s="1">
        <v>105</v>
      </c>
      <c r="H13" s="1">
        <v>15</v>
      </c>
      <c r="I13" s="5">
        <f t="shared" si="0"/>
        <v>0.105</v>
      </c>
      <c r="J13" s="1" t="s">
        <v>22</v>
      </c>
      <c r="K13" s="1" t="s">
        <v>23</v>
      </c>
      <c r="L13" s="1" t="s">
        <v>23</v>
      </c>
      <c r="M13" s="1" t="s">
        <v>23</v>
      </c>
      <c r="N13" s="6">
        <f t="shared" si="1"/>
        <v>499.1</v>
      </c>
      <c r="O13" s="6">
        <f t="shared" si="2"/>
        <v>102.55</v>
      </c>
      <c r="P13" s="4" t="s">
        <v>41</v>
      </c>
    </row>
    <row r="14" spans="1:16" ht="66" customHeight="1">
      <c r="A14" s="1" t="s">
        <v>42</v>
      </c>
      <c r="B14" s="1" t="s">
        <v>39</v>
      </c>
      <c r="C14" s="4" t="s">
        <v>43</v>
      </c>
      <c r="D14" s="4" t="s">
        <v>21</v>
      </c>
      <c r="E14" s="1">
        <v>2</v>
      </c>
      <c r="F14" s="1">
        <v>420</v>
      </c>
      <c r="G14" s="1">
        <v>105</v>
      </c>
      <c r="H14" s="1">
        <v>15</v>
      </c>
      <c r="I14" s="5">
        <f t="shared" si="0"/>
        <v>8.8200000000000001E-2</v>
      </c>
      <c r="J14" s="1" t="s">
        <v>22</v>
      </c>
      <c r="K14" s="1" t="s">
        <v>23</v>
      </c>
      <c r="L14" s="1" t="s">
        <v>23</v>
      </c>
      <c r="M14" s="1" t="s">
        <v>23</v>
      </c>
      <c r="N14" s="6">
        <f t="shared" si="1"/>
        <v>419.1</v>
      </c>
      <c r="O14" s="6">
        <f t="shared" si="2"/>
        <v>102.55</v>
      </c>
      <c r="P14" s="4" t="s">
        <v>24</v>
      </c>
    </row>
    <row r="15" spans="1:16" ht="66" customHeight="1">
      <c r="A15" s="1" t="s">
        <v>44</v>
      </c>
      <c r="B15" s="1" t="s">
        <v>39</v>
      </c>
      <c r="C15" s="4" t="s">
        <v>45</v>
      </c>
      <c r="D15" s="4" t="s">
        <v>21</v>
      </c>
      <c r="E15" s="1">
        <v>1</v>
      </c>
      <c r="F15" s="1">
        <v>470</v>
      </c>
      <c r="G15" s="1">
        <v>105</v>
      </c>
      <c r="H15" s="1">
        <v>15</v>
      </c>
      <c r="I15" s="5">
        <f t="shared" si="0"/>
        <v>4.9349999999999998E-2</v>
      </c>
      <c r="J15" s="1" t="s">
        <v>22</v>
      </c>
      <c r="K15" s="1" t="s">
        <v>23</v>
      </c>
      <c r="L15" s="1" t="s">
        <v>23</v>
      </c>
      <c r="M15" s="1" t="s">
        <v>23</v>
      </c>
      <c r="N15" s="6">
        <f t="shared" si="1"/>
        <v>469.1</v>
      </c>
      <c r="O15" s="6">
        <f t="shared" si="2"/>
        <v>102.55</v>
      </c>
      <c r="P15" s="4" t="s">
        <v>46</v>
      </c>
    </row>
    <row r="16" spans="1:16" ht="66" customHeight="1">
      <c r="A16" s="1" t="s">
        <v>47</v>
      </c>
      <c r="B16" s="1" t="s">
        <v>39</v>
      </c>
      <c r="C16" s="4" t="s">
        <v>48</v>
      </c>
      <c r="D16" s="4" t="s">
        <v>21</v>
      </c>
      <c r="E16" s="1">
        <v>2</v>
      </c>
      <c r="F16" s="1">
        <v>290</v>
      </c>
      <c r="G16" s="1">
        <v>100</v>
      </c>
      <c r="H16" s="1">
        <v>15</v>
      </c>
      <c r="I16" s="5">
        <f t="shared" si="0"/>
        <v>5.8000000000000003E-2</v>
      </c>
      <c r="J16" s="1" t="s">
        <v>22</v>
      </c>
      <c r="K16" s="1" t="s">
        <v>23</v>
      </c>
      <c r="L16" s="1" t="s">
        <v>23</v>
      </c>
      <c r="M16" s="1" t="s">
        <v>23</v>
      </c>
      <c r="N16" s="6">
        <f t="shared" si="1"/>
        <v>289.10000000000002</v>
      </c>
      <c r="O16" s="6">
        <f t="shared" si="2"/>
        <v>97.55</v>
      </c>
      <c r="P16" s="4" t="s">
        <v>49</v>
      </c>
    </row>
    <row r="17" spans="1:16" ht="66" customHeight="1">
      <c r="A17" s="1" t="s">
        <v>50</v>
      </c>
      <c r="B17" s="1" t="s">
        <v>39</v>
      </c>
      <c r="C17" s="4" t="s">
        <v>51</v>
      </c>
      <c r="D17" s="4" t="s">
        <v>21</v>
      </c>
      <c r="E17" s="1">
        <v>1</v>
      </c>
      <c r="F17" s="1">
        <v>115</v>
      </c>
      <c r="G17" s="1">
        <v>100</v>
      </c>
      <c r="H17" s="1">
        <v>15</v>
      </c>
      <c r="I17" s="5">
        <f t="shared" si="0"/>
        <v>1.15E-2</v>
      </c>
      <c r="J17" s="1" t="s">
        <v>22</v>
      </c>
      <c r="K17" s="1" t="s">
        <v>23</v>
      </c>
      <c r="L17" s="1" t="s">
        <v>23</v>
      </c>
      <c r="M17" s="1" t="s">
        <v>23</v>
      </c>
      <c r="N17" s="6">
        <f t="shared" si="1"/>
        <v>114.1</v>
      </c>
      <c r="O17" s="6">
        <f t="shared" si="2"/>
        <v>97.55</v>
      </c>
      <c r="P17" s="4" t="s">
        <v>24</v>
      </c>
    </row>
    <row r="18" spans="1:16" ht="97.95" customHeight="1">
      <c r="A18" s="1" t="s">
        <v>52</v>
      </c>
      <c r="B18" s="1" t="s">
        <v>39</v>
      </c>
      <c r="C18" s="4" t="s">
        <v>53</v>
      </c>
      <c r="D18" s="4" t="s">
        <v>21</v>
      </c>
      <c r="E18" s="1">
        <v>1</v>
      </c>
      <c r="F18" s="1">
        <v>500</v>
      </c>
      <c r="G18" s="1">
        <v>320</v>
      </c>
      <c r="H18" s="1">
        <v>15</v>
      </c>
      <c r="I18" s="5">
        <f t="shared" si="0"/>
        <v>0.16</v>
      </c>
      <c r="J18" s="1" t="s">
        <v>22</v>
      </c>
      <c r="K18" s="1" t="s">
        <v>22</v>
      </c>
      <c r="L18" s="1" t="s">
        <v>22</v>
      </c>
      <c r="M18" s="1" t="s">
        <v>22</v>
      </c>
      <c r="N18" s="6">
        <f t="shared" si="1"/>
        <v>496</v>
      </c>
      <c r="O18" s="6">
        <f t="shared" si="2"/>
        <v>316</v>
      </c>
      <c r="P18" s="4" t="s">
        <v>54</v>
      </c>
    </row>
    <row r="19" spans="1:16" ht="66" customHeight="1">
      <c r="A19" s="1" t="s">
        <v>55</v>
      </c>
      <c r="B19" s="1" t="s">
        <v>39</v>
      </c>
      <c r="C19" s="4" t="s">
        <v>56</v>
      </c>
      <c r="D19" s="4" t="s">
        <v>57</v>
      </c>
      <c r="E19" s="1">
        <v>1</v>
      </c>
      <c r="F19" s="1">
        <v>496</v>
      </c>
      <c r="G19" s="1">
        <v>446</v>
      </c>
      <c r="H19" s="1">
        <v>6</v>
      </c>
      <c r="I19" s="5">
        <f t="shared" si="0"/>
        <v>0.221216</v>
      </c>
      <c r="J19" s="1" t="s">
        <v>23</v>
      </c>
      <c r="K19" s="1" t="s">
        <v>23</v>
      </c>
      <c r="L19" s="1" t="s">
        <v>23</v>
      </c>
      <c r="M19" s="1" t="s">
        <v>23</v>
      </c>
      <c r="N19" s="6">
        <f t="shared" si="1"/>
        <v>495.1</v>
      </c>
      <c r="O19" s="6">
        <f t="shared" si="2"/>
        <v>445.1</v>
      </c>
      <c r="P19" s="4" t="s">
        <v>58</v>
      </c>
    </row>
    <row r="20" spans="1:16" ht="66" customHeight="1">
      <c r="A20" s="1" t="s">
        <v>59</v>
      </c>
      <c r="B20" s="1" t="s">
        <v>39</v>
      </c>
      <c r="C20" s="4" t="s">
        <v>60</v>
      </c>
      <c r="D20" s="4" t="s">
        <v>61</v>
      </c>
      <c r="E20" s="1">
        <v>1</v>
      </c>
      <c r="F20" s="1">
        <v>500</v>
      </c>
      <c r="G20" s="1">
        <v>320</v>
      </c>
      <c r="H20" s="1">
        <v>3</v>
      </c>
      <c r="I20" s="5">
        <f t="shared" si="0"/>
        <v>0.16</v>
      </c>
      <c r="J20" s="1" t="s">
        <v>62</v>
      </c>
      <c r="K20" s="1" t="s">
        <v>62</v>
      </c>
      <c r="L20" s="1" t="s">
        <v>62</v>
      </c>
      <c r="M20" s="1" t="s">
        <v>62</v>
      </c>
      <c r="N20" s="6">
        <f t="shared" si="1"/>
        <v>500</v>
      </c>
      <c r="O20" s="6">
        <f t="shared" si="2"/>
        <v>320</v>
      </c>
      <c r="P20" s="4" t="s">
        <v>63</v>
      </c>
    </row>
    <row r="21" spans="1:16" ht="66" customHeight="1">
      <c r="A21" s="1" t="s">
        <v>64</v>
      </c>
      <c r="B21" s="1" t="s">
        <v>19</v>
      </c>
      <c r="C21" s="4" t="s">
        <v>65</v>
      </c>
      <c r="D21" s="4" t="s">
        <v>66</v>
      </c>
      <c r="E21" s="1">
        <v>1</v>
      </c>
      <c r="F21" s="1">
        <v>550</v>
      </c>
      <c r="G21" s="1">
        <v>470</v>
      </c>
      <c r="H21" s="1">
        <v>20</v>
      </c>
      <c r="I21" s="5">
        <f t="shared" si="0"/>
        <v>0.25850000000000001</v>
      </c>
      <c r="J21" s="1" t="s">
        <v>62</v>
      </c>
      <c r="K21" s="1" t="s">
        <v>62</v>
      </c>
      <c r="L21" s="1" t="s">
        <v>62</v>
      </c>
      <c r="M21" s="1" t="s">
        <v>62</v>
      </c>
      <c r="N21" s="6">
        <f t="shared" si="1"/>
        <v>550</v>
      </c>
      <c r="O21" s="6">
        <f t="shared" si="2"/>
        <v>470</v>
      </c>
      <c r="P21" s="4" t="s">
        <v>67</v>
      </c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9" t="s">
        <v>68</v>
      </c>
      <c r="B24" s="19"/>
      <c r="C24" s="19"/>
      <c r="D24" s="19"/>
      <c r="E24" s="1">
        <f>SUMIF(D7:D21,"RH15 Cartagena",E7:E21)</f>
        <v>17</v>
      </c>
      <c r="F24" s="1"/>
      <c r="G24" s="1"/>
      <c r="H24" s="1"/>
      <c r="I24" s="5">
        <f>SUMIF(D7:D21,"RH15 Cartagena",I7:I21)</f>
        <v>1.538983</v>
      </c>
      <c r="J24" s="1"/>
      <c r="K24" s="1"/>
      <c r="L24" s="1"/>
      <c r="M24" s="1"/>
      <c r="N24" s="1"/>
      <c r="O24" s="1"/>
      <c r="P24" s="1"/>
    </row>
    <row r="25" spans="1:16">
      <c r="A25" s="19" t="s">
        <v>69</v>
      </c>
      <c r="B25" s="19"/>
      <c r="C25" s="19"/>
      <c r="D25" s="19"/>
      <c r="E25" s="1">
        <f>SUMIF(D7:D21,"Fondo melamina blanco RH6",E7:E21)</f>
        <v>1</v>
      </c>
      <c r="F25" s="1"/>
      <c r="G25" s="1"/>
      <c r="H25" s="1"/>
      <c r="I25" s="5">
        <f>SUMIF(D7:D21,"Fondo melamina blanco RH6",I7:I21)</f>
        <v>0.221216</v>
      </c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2">
    <mergeCell ref="A24:D24"/>
    <mergeCell ref="A25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5"/>
  <sheetViews>
    <sheetView showGridLines="0" workbookViewId="0">
      <pane ySplit="6" topLeftCell="A7" activePane="bottomLeft" state="frozen"/>
      <selection pane="bottomLeft"/>
    </sheetView>
  </sheetViews>
  <sheetFormatPr baseColWidth="10" defaultColWidth="8.796875" defaultRowHeight="13.8"/>
  <cols>
    <col min="1" max="1" width="9" customWidth="1"/>
    <col min="2" max="2" width="12" customWidth="1"/>
    <col min="3" max="3" width="35" customWidth="1"/>
    <col min="4" max="4" width="26" customWidth="1"/>
    <col min="5" max="5" width="10" customWidth="1"/>
    <col min="6" max="7" width="16" customWidth="1"/>
    <col min="8" max="11" width="12" customWidth="1"/>
    <col min="12" max="12" width="16" customWidth="1"/>
    <col min="13" max="13" width="22" customWidth="1"/>
    <col min="14" max="14" width="87" customWidth="1"/>
    <col min="16" max="16" width="55" customWidth="1"/>
    <col min="17" max="17" width="14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21">
      <c r="A2" s="2" t="s">
        <v>70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 t="s">
        <v>71</v>
      </c>
      <c r="Q2" t="s">
        <v>72</v>
      </c>
    </row>
    <row r="3" spans="1:17">
      <c r="A3" s="1" t="s">
        <v>73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74</v>
      </c>
      <c r="Q3">
        <v>100</v>
      </c>
    </row>
    <row r="4" spans="1:17">
      <c r="A4" s="1" t="s">
        <v>75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76</v>
      </c>
      <c r="Q4">
        <v>250</v>
      </c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ht="42" customHeight="1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81</v>
      </c>
      <c r="K6" s="3" t="s">
        <v>82</v>
      </c>
      <c r="L6" s="3" t="s">
        <v>83</v>
      </c>
      <c r="M6" s="3" t="s">
        <v>84</v>
      </c>
      <c r="N6" s="3" t="s">
        <v>85</v>
      </c>
      <c r="O6" s="1"/>
      <c r="P6" s="1"/>
    </row>
    <row r="7" spans="1:17" ht="109.95" customHeight="1">
      <c r="A7" s="1" t="str">
        <f>Despiece!A7</f>
        <v>B01</v>
      </c>
      <c r="B7" s="1" t="str">
        <f>Despiece!B7</f>
        <v>BAJO</v>
      </c>
      <c r="C7" s="4" t="str">
        <f>Despiece!C7</f>
        <v>Lateral</v>
      </c>
      <c r="D7" s="4" t="str">
        <f>Despiece!D7</f>
        <v>RH15 Cartagena</v>
      </c>
      <c r="E7" s="1">
        <f>Despiece!E7</f>
        <v>2</v>
      </c>
      <c r="F7" s="6">
        <f>IF($Q$2="NO",ROUND(Despiece!N7,2),Despiece!F7)</f>
        <v>470</v>
      </c>
      <c r="G7" s="6">
        <f>IF($Q$2="NO",ROUND(Despiece!O7,2),Despiece!G7)</f>
        <v>450</v>
      </c>
      <c r="H7" s="1" t="str">
        <f>IF(Despiece!J7="2","R",IF(Despiece!J7="0.45","F","—"))</f>
        <v>R</v>
      </c>
      <c r="I7" s="1" t="str">
        <f>IF(Despiece!K7="2","R",IF(Despiece!K7="0.45","F","—"))</f>
        <v>F</v>
      </c>
      <c r="J7" s="1" t="str">
        <f>IF(Despiece!L7="2","R",IF(Despiece!L7="0.45","F","—"))</f>
        <v>F</v>
      </c>
      <c r="K7" s="1" t="str">
        <f>IF(Despiece!M7="2","R",IF(Despiece!M7="0.45","F","—"))</f>
        <v>F</v>
      </c>
      <c r="L7" s="1" t="str">
        <f>IF(SUMPRODUCT((Despiece!J7:M7="2")+(Despiece!J7:M7="0.45"))=0,"Sin canto",IF(OR(MIN(Despiece!N7,Despiece!O7)&lt;$Q$3,MAX(Despiece!N7,Despiece!O7)&lt;$Q$4),"Pequeña","Normal"))</f>
        <v>Normal</v>
      </c>
      <c r="M7" s="1" t="str">
        <f>Despiece!F7&amp;" × "&amp;Despiece!G7</f>
        <v>470 × 450</v>
      </c>
      <c r="N7" s="4" t="str">
        <f>IF(L7="Pequeña","Si no la cantean: cortar a "&amp;ROUND(Despiece!N7,2)&amp;" × "&amp;ROUND(Despiece!O7,2)&amp;" y cantear en taller. ","")&amp;Despiece!P7</f>
        <v>Zona húmeda: proteger todos los bordes y sellar perforaciones; dimensiones terminadas.</v>
      </c>
      <c r="O7" s="1"/>
      <c r="P7" s="1"/>
    </row>
    <row r="8" spans="1:17" ht="109.95" customHeight="1">
      <c r="A8" s="1" t="str">
        <f>Despiece!A8</f>
        <v>B02</v>
      </c>
      <c r="B8" s="1" t="str">
        <f>Despiece!B8</f>
        <v>BAJO</v>
      </c>
      <c r="C8" s="4" t="str">
        <f>Despiece!C8</f>
        <v>Piso</v>
      </c>
      <c r="D8" s="4" t="str">
        <f>Despiece!D8</f>
        <v>RH15 Cartagena</v>
      </c>
      <c r="E8" s="1">
        <f>Despiece!E8</f>
        <v>1</v>
      </c>
      <c r="F8" s="6">
        <f>IF($Q$2="NO",ROUND(Despiece!N8,2),Despiece!F8)</f>
        <v>490</v>
      </c>
      <c r="G8" s="6">
        <f>IF($Q$2="NO",ROUND(Despiece!O8,2),Despiece!G8)</f>
        <v>450</v>
      </c>
      <c r="H8" s="1" t="str">
        <f>IF(Despiece!J8="2","R",IF(Despiece!J8="0.45","F","—"))</f>
        <v>R</v>
      </c>
      <c r="I8" s="1" t="str">
        <f>IF(Despiece!K8="2","R",IF(Despiece!K8="0.45","F","—"))</f>
        <v>F</v>
      </c>
      <c r="J8" s="1" t="str">
        <f>IF(Despiece!L8="2","R",IF(Despiece!L8="0.45","F","—"))</f>
        <v>F</v>
      </c>
      <c r="K8" s="1" t="str">
        <f>IF(Despiece!M8="2","R",IF(Despiece!M8="0.45","F","—"))</f>
        <v>F</v>
      </c>
      <c r="L8" s="1" t="str">
        <f>IF(SUMPRODUCT((Despiece!J8:M8="2")+(Despiece!J8:M8="0.45"))=0,"Sin canto",IF(OR(MIN(Despiece!N8,Despiece!O8)&lt;$Q$3,MAX(Despiece!N8,Despiece!O8)&lt;$Q$4),"Pequeña","Normal"))</f>
        <v>Normal</v>
      </c>
      <c r="M8" s="1" t="str">
        <f>Despiece!F8&amp;" × "&amp;Despiece!G8</f>
        <v>490 × 450</v>
      </c>
      <c r="N8" s="4" t="str">
        <f>IF(L8="Pequeña","Si no la cantean: cortar a "&amp;ROUND(Despiece!N8,2)&amp;" × "&amp;ROUND(Despiece!O8,2)&amp;" y cantear en taller. ","")&amp;Despiece!P8</f>
        <v>Zona húmeda: proteger todos los bordes y sellar perforaciones; dimensiones terminadas.</v>
      </c>
      <c r="O8" s="1"/>
      <c r="P8" s="1"/>
    </row>
    <row r="9" spans="1:17" ht="109.95" customHeight="1">
      <c r="A9" s="1" t="str">
        <f>Despiece!A9</f>
        <v>B03</v>
      </c>
      <c r="B9" s="1" t="str">
        <f>Despiece!B9</f>
        <v>BAJO</v>
      </c>
      <c r="C9" s="4" t="str">
        <f>Despiece!C9</f>
        <v>Entrepaño retranqueado con reserva de sifón</v>
      </c>
      <c r="D9" s="4" t="str">
        <f>Despiece!D9</f>
        <v>RH15 Cartagena</v>
      </c>
      <c r="E9" s="1">
        <f>Despiece!E9</f>
        <v>1</v>
      </c>
      <c r="F9" s="6">
        <f>IF($Q$2="NO",ROUND(Despiece!N9,2),Despiece!F9)</f>
        <v>490</v>
      </c>
      <c r="G9" s="6">
        <f>IF($Q$2="NO",ROUND(Despiece!O9,2),Despiece!G9)</f>
        <v>405</v>
      </c>
      <c r="H9" s="1" t="str">
        <f>IF(Despiece!J9="2","R",IF(Despiece!J9="0.45","F","—"))</f>
        <v>R</v>
      </c>
      <c r="I9" s="1" t="str">
        <f>IF(Despiece!K9="2","R",IF(Despiece!K9="0.45","F","—"))</f>
        <v>F</v>
      </c>
      <c r="J9" s="1" t="str">
        <f>IF(Despiece!L9="2","R",IF(Despiece!L9="0.45","F","—"))</f>
        <v>F</v>
      </c>
      <c r="K9" s="1" t="str">
        <f>IF(Despiece!M9="2","R",IF(Despiece!M9="0.45","F","—"))</f>
        <v>F</v>
      </c>
      <c r="L9" s="1" t="str">
        <f>IF(SUMPRODUCT((Despiece!J9:M9="2")+(Despiece!J9:M9="0.45"))=0,"Sin canto",IF(OR(MIN(Despiece!N9,Despiece!O9)&lt;$Q$3,MAX(Despiece!N9,Despiece!O9)&lt;$Q$4),"Pequeña","Normal"))</f>
        <v>Normal</v>
      </c>
      <c r="M9" s="1" t="str">
        <f>Despiece!F9&amp;" × "&amp;Despiece!G9</f>
        <v>490 × 405</v>
      </c>
      <c r="N9" s="4" t="str">
        <f>IF(L9="Pequeña","Si no la cantean: cortar a "&amp;ROUND(Despiece!N9,2)&amp;" × "&amp;ROUND(Despiece!O9,2)&amp;" y cantear en taller. ","")&amp;Despiece!P9</f>
        <v>Zona húmeda: proteger todos los bordes y sellar perforaciones; dimensiones terminadas. Nicho libre de 150 mm bajo granito. Recorte trasero ilustrativo 100 × 270 mm, centrado; no mecanizar sin sifón real. Retranqueo frontal de 30 mm para agarre.</v>
      </c>
      <c r="O9" s="1"/>
      <c r="P9" s="1"/>
    </row>
    <row r="10" spans="1:17" ht="109.95" customHeight="1">
      <c r="A10" s="1" t="str">
        <f>Despiece!A10</f>
        <v>B04</v>
      </c>
      <c r="B10" s="1" t="str">
        <f>Despiece!B10</f>
        <v>BAJO</v>
      </c>
      <c r="C10" s="4" t="str">
        <f>Despiece!C10</f>
        <v>Travesaño trasero superior lateral</v>
      </c>
      <c r="D10" s="4" t="str">
        <f>Despiece!D10</f>
        <v>RH15 Cartagena</v>
      </c>
      <c r="E10" s="1">
        <f>Despiece!E10</f>
        <v>2</v>
      </c>
      <c r="F10" s="6">
        <f>IF($Q$2="NO",ROUND(Despiece!N10,2),Despiece!F10)</f>
        <v>195</v>
      </c>
      <c r="G10" s="6">
        <f>IF($Q$2="NO",ROUND(Despiece!O10,2),Despiece!G10)</f>
        <v>80</v>
      </c>
      <c r="H10" s="1" t="str">
        <f>IF(Despiece!J10="2","R",IF(Despiece!J10="0.45","F","—"))</f>
        <v>F</v>
      </c>
      <c r="I10" s="1" t="str">
        <f>IF(Despiece!K10="2","R",IF(Despiece!K10="0.45","F","—"))</f>
        <v>F</v>
      </c>
      <c r="J10" s="1" t="str">
        <f>IF(Despiece!L10="2","R",IF(Despiece!L10="0.45","F","—"))</f>
        <v>F</v>
      </c>
      <c r="K10" s="1" t="str">
        <f>IF(Despiece!M10="2","R",IF(Despiece!M10="0.45","F","—"))</f>
        <v>F</v>
      </c>
      <c r="L10" s="1" t="str">
        <f>IF(SUMPRODUCT((Despiece!J10:M10="2")+(Despiece!J10:M10="0.45"))=0,"Sin canto",IF(OR(MIN(Despiece!N10,Despiece!O10)&lt;$Q$3,MAX(Despiece!N10,Despiece!O10)&lt;$Q$4),"Pequeña","Normal"))</f>
        <v>Pequeña</v>
      </c>
      <c r="M10" s="1" t="str">
        <f>Despiece!F10&amp;" × "&amp;Despiece!G10</f>
        <v>195 × 80</v>
      </c>
      <c r="N10" s="4" t="str">
        <f>IF(L10="Pequeña","Si no la cantean: cortar a "&amp;ROUND(Despiece!N10,2)&amp;" × "&amp;ROUND(Despiece!O10,2)&amp;" y cantear en taller. ","")&amp;Despiece!P10</f>
        <v>Si no la cantean: cortar a 194,1 × 79,1 y cantear en taller. Zona húmeda: proteger todos los bordes y sellar perforaciones; dimensiones terminadas. De canto, interrumpido en el centro para tuberías; no es un colgador certificado.</v>
      </c>
      <c r="O10" s="1"/>
      <c r="P10" s="1"/>
    </row>
    <row r="11" spans="1:17" ht="109.95" customHeight="1">
      <c r="A11" s="1" t="str">
        <f>Despiece!A11</f>
        <v>B05</v>
      </c>
      <c r="B11" s="1" t="str">
        <f>Despiece!B11</f>
        <v>BAJO</v>
      </c>
      <c r="C11" s="4" t="str">
        <f>Despiece!C11</f>
        <v>Travesaño trasero inferior</v>
      </c>
      <c r="D11" s="4" t="str">
        <f>Despiece!D11</f>
        <v>RH15 Cartagena</v>
      </c>
      <c r="E11" s="1">
        <f>Despiece!E11</f>
        <v>1</v>
      </c>
      <c r="F11" s="6">
        <f>IF($Q$2="NO",ROUND(Despiece!N11,2),Despiece!F11)</f>
        <v>490</v>
      </c>
      <c r="G11" s="6">
        <f>IF($Q$2="NO",ROUND(Despiece!O11,2),Despiece!G11)</f>
        <v>80</v>
      </c>
      <c r="H11" s="1" t="str">
        <f>IF(Despiece!J11="2","R",IF(Despiece!J11="0.45","F","—"))</f>
        <v>F</v>
      </c>
      <c r="I11" s="1" t="str">
        <f>IF(Despiece!K11="2","R",IF(Despiece!K11="0.45","F","—"))</f>
        <v>F</v>
      </c>
      <c r="J11" s="1" t="str">
        <f>IF(Despiece!L11="2","R",IF(Despiece!L11="0.45","F","—"))</f>
        <v>F</v>
      </c>
      <c r="K11" s="1" t="str">
        <f>IF(Despiece!M11="2","R",IF(Despiece!M11="0.45","F","—"))</f>
        <v>F</v>
      </c>
      <c r="L11" s="1" t="str">
        <f>IF(SUMPRODUCT((Despiece!J11:M11="2")+(Despiece!J11:M11="0.45"))=0,"Sin canto",IF(OR(MIN(Despiece!N11,Despiece!O11)&lt;$Q$3,MAX(Despiece!N11,Despiece!O11)&lt;$Q$4),"Pequeña","Normal"))</f>
        <v>Pequeña</v>
      </c>
      <c r="M11" s="1" t="str">
        <f>Despiece!F11&amp;" × "&amp;Despiece!G11</f>
        <v>490 × 80</v>
      </c>
      <c r="N11" s="4" t="str">
        <f>IF(L11="Pequeña","Si no la cantean: cortar a "&amp;ROUND(Despiece!N11,2)&amp;" × "&amp;ROUND(Despiece!O11,2)&amp;" y cantear en taller. ","")&amp;Despiece!P11</f>
        <v>Si no la cantean: cortar a 489,1 × 79,1 y cantear en taller. Zona húmeda: proteger todos los bordes y sellar perforaciones; dimensiones terminadas. Define rigidez posterior; anclajes y uniones por dimensionar.</v>
      </c>
      <c r="O11" s="1"/>
      <c r="P11" s="1"/>
    </row>
    <row r="12" spans="1:17" ht="109.95" customHeight="1">
      <c r="A12" s="1" t="str">
        <f>Despiece!A12</f>
        <v>B06</v>
      </c>
      <c r="B12" s="1" t="str">
        <f>Despiece!B12</f>
        <v>BAJO</v>
      </c>
      <c r="C12" s="4" t="str">
        <f>Despiece!C12</f>
        <v>Panel común para dos puertas: corte diagonal en armado</v>
      </c>
      <c r="D12" s="4" t="str">
        <f>Despiece!D12</f>
        <v>RH15 Cartagena</v>
      </c>
      <c r="E12" s="1">
        <f>Despiece!E12</f>
        <v>1</v>
      </c>
      <c r="F12" s="6">
        <f>IF($Q$2="NO",ROUND(Despiece!N12,2),Despiece!F12)</f>
        <v>299</v>
      </c>
      <c r="G12" s="6">
        <f>IF($Q$2="NO",ROUND(Despiece!O12,2),Despiece!G12)</f>
        <v>517</v>
      </c>
      <c r="H12" s="1" t="str">
        <f>IF(Despiece!J12="2","R",IF(Despiece!J12="0.45","F","—"))</f>
        <v>R</v>
      </c>
      <c r="I12" s="1" t="str">
        <f>IF(Despiece!K12="2","R",IF(Despiece!K12="0.45","F","—"))</f>
        <v>R</v>
      </c>
      <c r="J12" s="1" t="str">
        <f>IF(Despiece!L12="2","R",IF(Despiece!L12="0.45","F","—"))</f>
        <v>R</v>
      </c>
      <c r="K12" s="1" t="str">
        <f>IF(Despiece!M12="2","R",IF(Despiece!M12="0.45","F","—"))</f>
        <v>R</v>
      </c>
      <c r="L12" s="1" t="str">
        <f>IF(SUMPRODUCT((Despiece!J12:M12="2")+(Despiece!J12:M12="0.45"))=0,"Sin canto",IF(OR(MIN(Despiece!N12,Despiece!O12)&lt;$Q$3,MAX(Despiece!N12,Despiece!O12)&lt;$Q$4),"Pequeña","Normal"))</f>
        <v>Normal</v>
      </c>
      <c r="M12" s="1" t="str">
        <f>Despiece!F12&amp;" × "&amp;Despiece!G12</f>
        <v>299 × 517</v>
      </c>
      <c r="N12" s="4" t="str">
        <f>IF(L12="Pequeña","Si no la cantean: cortar a "&amp;ROUND(Despiece!N12,2)&amp;" × "&amp;ROUND(Despiece!O12,2)&amp;" y cantear en taller. ","")&amp;Despiece!P12</f>
        <v>Una sola pieza rectangular terminada 517 × 299 mm (veta vertical). Pedirla entera, con canto 2 mm en el perímetro; NO dividir en tienda. En el armado, corte central a 75° de la horizontal (provisional entre 70 y 80°) con el disco Diablo de 1,5 mm (corte de 0,059") y canto flexible 0,45 mm en los dos bordes nuevos. Holgura entre puertas tras cantear ≈0,6 mm: probablemente insuficiente (ver Pendientes). La medida de lista es del panel común, no de cada tapa.</v>
      </c>
      <c r="O12" s="1"/>
      <c r="P12" s="1"/>
    </row>
    <row r="13" spans="1:17" ht="109.95" customHeight="1">
      <c r="A13" s="1" t="str">
        <f>Despiece!A13</f>
        <v>S01</v>
      </c>
      <c r="B13" s="1" t="str">
        <f>Despiece!B13</f>
        <v>ESPEJO</v>
      </c>
      <c r="C13" s="4" t="str">
        <f>Despiece!C13</f>
        <v>Lateral gabinete superior</v>
      </c>
      <c r="D13" s="4" t="str">
        <f>Despiece!D13</f>
        <v>RH15 Cartagena</v>
      </c>
      <c r="E13" s="1">
        <f>Despiece!E13</f>
        <v>2</v>
      </c>
      <c r="F13" s="6">
        <f>IF($Q$2="NO",ROUND(Despiece!N13,2),Despiece!F13)</f>
        <v>500</v>
      </c>
      <c r="G13" s="6">
        <f>IF($Q$2="NO",ROUND(Despiece!O13,2),Despiece!G13)</f>
        <v>105</v>
      </c>
      <c r="H13" s="1" t="str">
        <f>IF(Despiece!J13="2","R",IF(Despiece!J13="0.45","F","—"))</f>
        <v>R</v>
      </c>
      <c r="I13" s="1" t="str">
        <f>IF(Despiece!K13="2","R",IF(Despiece!K13="0.45","F","—"))</f>
        <v>F</v>
      </c>
      <c r="J13" s="1" t="str">
        <f>IF(Despiece!L13="2","R",IF(Despiece!L13="0.45","F","—"))</f>
        <v>F</v>
      </c>
      <c r="K13" s="1" t="str">
        <f>IF(Despiece!M13="2","R",IF(Despiece!M13="0.45","F","—"))</f>
        <v>F</v>
      </c>
      <c r="L13" s="1" t="str">
        <f>IF(SUMPRODUCT((Despiece!J13:M13="2")+(Despiece!J13:M13="0.45"))=0,"Sin canto",IF(OR(MIN(Despiece!N13,Despiece!O13)&lt;$Q$3,MAX(Despiece!N13,Despiece!O13)&lt;$Q$4),"Pequeña","Normal"))</f>
        <v>Normal</v>
      </c>
      <c r="M13" s="1" t="str">
        <f>Despiece!F13&amp;" × "&amp;Despiece!G13</f>
        <v>500 × 105</v>
      </c>
      <c r="N13" s="4" t="str">
        <f>IF(L13="Pequeña","Si no la cantean: cortar a "&amp;ROUND(Despiece!N13,2)&amp;" × "&amp;ROUND(Despiece!O13,2)&amp;" y cantear en taller. ","")&amp;Despiece!P13</f>
        <v>Zona húmeda: proteger todos los bordes y sellar perforaciones; dimensiones terminadas. Fondo total 130 mm con panel 6 mm, holgura frontal 1 mm, tapa RH15 y espejo 3 mm.</v>
      </c>
      <c r="O13" s="1"/>
      <c r="P13" s="1"/>
    </row>
    <row r="14" spans="1:17" ht="109.95" customHeight="1">
      <c r="A14" s="1" t="str">
        <f>Despiece!A14</f>
        <v>S02</v>
      </c>
      <c r="B14" s="1" t="str">
        <f>Despiece!B14</f>
        <v>ESPEJO</v>
      </c>
      <c r="C14" s="4" t="str">
        <f>Despiece!C14</f>
        <v>Piso y techo gabinete superior</v>
      </c>
      <c r="D14" s="4" t="str">
        <f>Despiece!D14</f>
        <v>RH15 Cartagena</v>
      </c>
      <c r="E14" s="1">
        <f>Despiece!E14</f>
        <v>2</v>
      </c>
      <c r="F14" s="6">
        <f>IF($Q$2="NO",ROUND(Despiece!N14,2),Despiece!F14)</f>
        <v>420</v>
      </c>
      <c r="G14" s="6">
        <f>IF($Q$2="NO",ROUND(Despiece!O14,2),Despiece!G14)</f>
        <v>105</v>
      </c>
      <c r="H14" s="1" t="str">
        <f>IF(Despiece!J14="2","R",IF(Despiece!J14="0.45","F","—"))</f>
        <v>R</v>
      </c>
      <c r="I14" s="1" t="str">
        <f>IF(Despiece!K14="2","R",IF(Despiece!K14="0.45","F","—"))</f>
        <v>F</v>
      </c>
      <c r="J14" s="1" t="str">
        <f>IF(Despiece!L14="2","R",IF(Despiece!L14="0.45","F","—"))</f>
        <v>F</v>
      </c>
      <c r="K14" s="1" t="str">
        <f>IF(Despiece!M14="2","R",IF(Despiece!M14="0.45","F","—"))</f>
        <v>F</v>
      </c>
      <c r="L14" s="1" t="str">
        <f>IF(SUMPRODUCT((Despiece!J14:M14="2")+(Despiece!J14:M14="0.45"))=0,"Sin canto",IF(OR(MIN(Despiece!N14,Despiece!O14)&lt;$Q$3,MAX(Despiece!N14,Despiece!O14)&lt;$Q$4),"Pequeña","Normal"))</f>
        <v>Normal</v>
      </c>
      <c r="M14" s="1" t="str">
        <f>Despiece!F14&amp;" × "&amp;Despiece!G14</f>
        <v>420 × 105</v>
      </c>
      <c r="N14" s="4" t="str">
        <f>IF(L14="Pequeña","Si no la cantean: cortar a "&amp;ROUND(Despiece!N14,2)&amp;" × "&amp;ROUND(Despiece!O14,2)&amp;" y cantear en taller. ","")&amp;Despiece!P14</f>
        <v>Zona húmeda: proteger todos los bordes y sellar perforaciones; dimensiones terminadas.</v>
      </c>
      <c r="O14" s="1"/>
      <c r="P14" s="1"/>
    </row>
    <row r="15" spans="1:17" ht="109.95" customHeight="1">
      <c r="A15" s="1" t="str">
        <f>Despiece!A15</f>
        <v>S03</v>
      </c>
      <c r="B15" s="1" t="str">
        <f>Despiece!B15</f>
        <v>ESPEJO</v>
      </c>
      <c r="C15" s="4" t="str">
        <f>Despiece!C15</f>
        <v>División vertical</v>
      </c>
      <c r="D15" s="4" t="str">
        <f>Despiece!D15</f>
        <v>RH15 Cartagena</v>
      </c>
      <c r="E15" s="1">
        <f>Despiece!E15</f>
        <v>1</v>
      </c>
      <c r="F15" s="6">
        <f>IF($Q$2="NO",ROUND(Despiece!N15,2),Despiece!F15)</f>
        <v>470</v>
      </c>
      <c r="G15" s="6">
        <f>IF($Q$2="NO",ROUND(Despiece!O15,2),Despiece!G15)</f>
        <v>105</v>
      </c>
      <c r="H15" s="1" t="str">
        <f>IF(Despiece!J15="2","R",IF(Despiece!J15="0.45","F","—"))</f>
        <v>R</v>
      </c>
      <c r="I15" s="1" t="str">
        <f>IF(Despiece!K15="2","R",IF(Despiece!K15="0.45","F","—"))</f>
        <v>F</v>
      </c>
      <c r="J15" s="1" t="str">
        <f>IF(Despiece!L15="2","R",IF(Despiece!L15="0.45","F","—"))</f>
        <v>F</v>
      </c>
      <c r="K15" s="1" t="str">
        <f>IF(Despiece!M15="2","R",IF(Despiece!M15="0.45","F","—"))</f>
        <v>F</v>
      </c>
      <c r="L15" s="1" t="str">
        <f>IF(SUMPRODUCT((Despiece!J15:M15="2")+(Despiece!J15:M15="0.45"))=0,"Sin canto",IF(OR(MIN(Despiece!N15,Despiece!O15)&lt;$Q$3,MAX(Despiece!N15,Despiece!O15)&lt;$Q$4),"Pequeña","Normal"))</f>
        <v>Normal</v>
      </c>
      <c r="M15" s="1" t="str">
        <f>Despiece!F15&amp;" × "&amp;Despiece!G15</f>
        <v>470 × 105</v>
      </c>
      <c r="N15" s="4" t="str">
        <f>IF(L15="Pequeña","Si no la cantean: cortar a "&amp;ROUND(Despiece!N15,2)&amp;" × "&amp;ROUND(Despiece!O15,2)&amp;" y cantear en taller. ","")&amp;Despiece!P15</f>
        <v>Zona húmeda: proteger todos los bordes y sellar perforaciones; dimensiones terminadas. Interior cerrado 290 mm; columna derecha abierta 115 mm.</v>
      </c>
      <c r="O15" s="1"/>
      <c r="P15" s="1"/>
    </row>
    <row r="16" spans="1:17" ht="109.95" customHeight="1">
      <c r="A16" s="1" t="str">
        <f>Despiece!A16</f>
        <v>S04</v>
      </c>
      <c r="B16" s="1" t="str">
        <f>Despiece!B16</f>
        <v>ESPEJO</v>
      </c>
      <c r="C16" s="4" t="str">
        <f>Despiece!C16</f>
        <v>Entrepaño interior izquierdo</v>
      </c>
      <c r="D16" s="4" t="str">
        <f>Despiece!D16</f>
        <v>RH15 Cartagena</v>
      </c>
      <c r="E16" s="1">
        <f>Despiece!E16</f>
        <v>2</v>
      </c>
      <c r="F16" s="6">
        <f>IF($Q$2="NO",ROUND(Despiece!N16,2),Despiece!F16)</f>
        <v>290</v>
      </c>
      <c r="G16" s="6">
        <f>IF($Q$2="NO",ROUND(Despiece!O16,2),Despiece!G16)</f>
        <v>100</v>
      </c>
      <c r="H16" s="1" t="str">
        <f>IF(Despiece!J16="2","R",IF(Despiece!J16="0.45","F","—"))</f>
        <v>R</v>
      </c>
      <c r="I16" s="1" t="str">
        <f>IF(Despiece!K16="2","R",IF(Despiece!K16="0.45","F","—"))</f>
        <v>F</v>
      </c>
      <c r="J16" s="1" t="str">
        <f>IF(Despiece!L16="2","R",IF(Despiece!L16="0.45","F","—"))</f>
        <v>F</v>
      </c>
      <c r="K16" s="1" t="str">
        <f>IF(Despiece!M16="2","R",IF(Despiece!M16="0.45","F","—"))</f>
        <v>F</v>
      </c>
      <c r="L16" s="1" t="str">
        <f>IF(SUMPRODUCT((Despiece!J16:M16="2")+(Despiece!J16:M16="0.45"))=0,"Sin canto",IF(OR(MIN(Despiece!N16,Despiece!O16)&lt;$Q$3,MAX(Despiece!N16,Despiece!O16)&lt;$Q$4),"Pequeña","Normal"))</f>
        <v>Pequeña</v>
      </c>
      <c r="M16" s="1" t="str">
        <f>Despiece!F16&amp;" × "&amp;Despiece!G16</f>
        <v>290 × 100</v>
      </c>
      <c r="N16" s="4" t="str">
        <f>IF(L16="Pequeña","Si no la cantean: cortar a "&amp;ROUND(Despiece!N16,2)&amp;" × "&amp;ROUND(Despiece!O16,2)&amp;" y cantear en taller. ","")&amp;Despiece!P16</f>
        <v>Si no la cantean: cortar a 289,1 × 97,55 y cantear en taller. Zona húmeda: proteger todos los bordes y sellar perforaciones; dimensiones terminadas. Dos entrepaños fijos como la referencia.</v>
      </c>
      <c r="O16" s="1"/>
      <c r="P16" s="1"/>
    </row>
    <row r="17" spans="1:16" ht="109.95" customHeight="1">
      <c r="A17" s="1" t="str">
        <f>Despiece!A17</f>
        <v>S05</v>
      </c>
      <c r="B17" s="1" t="str">
        <f>Despiece!B17</f>
        <v>ESPEJO</v>
      </c>
      <c r="C17" s="4" t="str">
        <f>Despiece!C17</f>
        <v>Entrepaño columna abierta derecha</v>
      </c>
      <c r="D17" s="4" t="str">
        <f>Despiece!D17</f>
        <v>RH15 Cartagena</v>
      </c>
      <c r="E17" s="1">
        <f>Despiece!E17</f>
        <v>1</v>
      </c>
      <c r="F17" s="6">
        <f>IF($Q$2="NO",ROUND(Despiece!N17,2),Despiece!F17)</f>
        <v>115</v>
      </c>
      <c r="G17" s="6">
        <f>IF($Q$2="NO",ROUND(Despiece!O17,2),Despiece!G17)</f>
        <v>100</v>
      </c>
      <c r="H17" s="1" t="str">
        <f>IF(Despiece!J17="2","R",IF(Despiece!J17="0.45","F","—"))</f>
        <v>R</v>
      </c>
      <c r="I17" s="1" t="str">
        <f>IF(Despiece!K17="2","R",IF(Despiece!K17="0.45","F","—"))</f>
        <v>F</v>
      </c>
      <c r="J17" s="1" t="str">
        <f>IF(Despiece!L17="2","R",IF(Despiece!L17="0.45","F","—"))</f>
        <v>F</v>
      </c>
      <c r="K17" s="1" t="str">
        <f>IF(Despiece!M17="2","R",IF(Despiece!M17="0.45","F","—"))</f>
        <v>F</v>
      </c>
      <c r="L17" s="1" t="str">
        <f>IF(SUMPRODUCT((Despiece!J17:M17="2")+(Despiece!J17:M17="0.45"))=0,"Sin canto",IF(OR(MIN(Despiece!N17,Despiece!O17)&lt;$Q$3,MAX(Despiece!N17,Despiece!O17)&lt;$Q$4),"Pequeña","Normal"))</f>
        <v>Pequeña</v>
      </c>
      <c r="M17" s="1" t="str">
        <f>Despiece!F17&amp;" × "&amp;Despiece!G17</f>
        <v>115 × 100</v>
      </c>
      <c r="N17" s="4" t="str">
        <f>IF(L17="Pequeña","Si no la cantean: cortar a "&amp;ROUND(Despiece!N17,2)&amp;" × "&amp;ROUND(Despiece!O17,2)&amp;" y cantear en taller. ","")&amp;Despiece!P17</f>
        <v>Si no la cantean: cortar a 114,1 × 97,55 y cantear en taller. Zona húmeda: proteger todos los bordes y sellar perforaciones; dimensiones terminadas.</v>
      </c>
      <c r="O17" s="1"/>
      <c r="P17" s="1"/>
    </row>
    <row r="18" spans="1:16" ht="109.95" customHeight="1">
      <c r="A18" s="1" t="str">
        <f>Despiece!A18</f>
        <v>S06</v>
      </c>
      <c r="B18" s="1" t="str">
        <f>Despiece!B18</f>
        <v>ESPEJO</v>
      </c>
      <c r="C18" s="4" t="str">
        <f>Despiece!C18</f>
        <v>Tapa RH15 portadora del espejo</v>
      </c>
      <c r="D18" s="4" t="str">
        <f>Despiece!D18</f>
        <v>RH15 Cartagena</v>
      </c>
      <c r="E18" s="1">
        <f>Despiece!E18</f>
        <v>1</v>
      </c>
      <c r="F18" s="6">
        <f>IF($Q$2="NO",ROUND(Despiece!N18,2),Despiece!F18)</f>
        <v>500</v>
      </c>
      <c r="G18" s="6">
        <f>IF($Q$2="NO",ROUND(Despiece!O18,2),Despiece!G18)</f>
        <v>320</v>
      </c>
      <c r="H18" s="1" t="str">
        <f>IF(Despiece!J18="2","R",IF(Despiece!J18="0.45","F","—"))</f>
        <v>R</v>
      </c>
      <c r="I18" s="1" t="str">
        <f>IF(Despiece!K18="2","R",IF(Despiece!K18="0.45","F","—"))</f>
        <v>R</v>
      </c>
      <c r="J18" s="1" t="str">
        <f>IF(Despiece!L18="2","R",IF(Despiece!L18="0.45","F","—"))</f>
        <v>R</v>
      </c>
      <c r="K18" s="1" t="str">
        <f>IF(Despiece!M18="2","R",IF(Despiece!M18="0.45","F","—"))</f>
        <v>R</v>
      </c>
      <c r="L18" s="1" t="str">
        <f>IF(SUMPRODUCT((Despiece!J18:M18="2")+(Despiece!J18:M18="0.45"))=0,"Sin canto",IF(OR(MIN(Despiece!N18,Despiece!O18)&lt;$Q$3,MAX(Despiece!N18,Despiece!O18)&lt;$Q$4),"Pequeña","Normal"))</f>
        <v>Normal</v>
      </c>
      <c r="M18" s="1" t="str">
        <f>Despiece!F18&amp;" × "&amp;Despiece!G18</f>
        <v>500 × 320</v>
      </c>
      <c r="N18" s="4" t="str">
        <f>IF(L18="Pequeña","Si no la cantean: cortar a "&amp;ROUND(Despiece!N18,2)&amp;" × "&amp;ROUND(Despiece!O18,2)&amp;" y cantear en taller. ","")&amp;Despiece!P18</f>
        <v>Medida exterior de referencia 320 × 500; espejo pegado en cara exterior. Dos bisagras candidatas, peso conjunto aproximado 2,8 kg sin herrajes. Validar holguras, cazoletas y adhesivo compatible con espejo.</v>
      </c>
      <c r="O18" s="1"/>
      <c r="P18" s="1"/>
    </row>
    <row r="19" spans="1:16" ht="109.95" customHeight="1">
      <c r="A19" s="1" t="str">
        <f>Despiece!A19</f>
        <v>F01</v>
      </c>
      <c r="B19" s="1" t="str">
        <f>Despiece!B19</f>
        <v>ESPEJO</v>
      </c>
      <c r="C19" s="4" t="str">
        <f>Despiece!C19</f>
        <v>Fondo blanco de 6 mm</v>
      </c>
      <c r="D19" s="4" t="str">
        <f>Despiece!D19</f>
        <v>Fondo melamina blanco RH6</v>
      </c>
      <c r="E19" s="1">
        <f>Despiece!E19</f>
        <v>1</v>
      </c>
      <c r="F19" s="6">
        <f>IF($Q$2="NO",ROUND(Despiece!N19,2),Despiece!F19)</f>
        <v>496</v>
      </c>
      <c r="G19" s="6">
        <f>IF($Q$2="NO",ROUND(Despiece!O19,2),Despiece!G19)</f>
        <v>446</v>
      </c>
      <c r="H19" s="1" t="str">
        <f>IF(Despiece!J19="2","R",IF(Despiece!J19="0.45","F","—"))</f>
        <v>F</v>
      </c>
      <c r="I19" s="1" t="str">
        <f>IF(Despiece!K19="2","R",IF(Despiece!K19="0.45","F","—"))</f>
        <v>F</v>
      </c>
      <c r="J19" s="1" t="str">
        <f>IF(Despiece!L19="2","R",IF(Despiece!L19="0.45","F","—"))</f>
        <v>F</v>
      </c>
      <c r="K19" s="1" t="str">
        <f>IF(Despiece!M19="2","R",IF(Despiece!M19="0.45","F","—"))</f>
        <v>F</v>
      </c>
      <c r="L19" s="1" t="str">
        <f>IF(SUMPRODUCT((Despiece!J19:M19="2")+(Despiece!J19:M19="0.45"))=0,"Sin canto",IF(OR(MIN(Despiece!N19,Despiece!O19)&lt;$Q$3,MAX(Despiece!N19,Despiece!O19)&lt;$Q$4),"Pequeña","Normal"))</f>
        <v>Normal</v>
      </c>
      <c r="M19" s="1" t="str">
        <f>Despiece!F19&amp;" × "&amp;Despiece!G19</f>
        <v>496 × 446</v>
      </c>
      <c r="N19" s="4" t="str">
        <f>IF(L19="Pequeña","Si no la cantean: cortar a "&amp;ROUND(Despiece!N19,2)&amp;" × "&amp;ROUND(Despiece!O19,2)&amp;" y cantear en taller. ","")&amp;Despiece!P19</f>
        <v>Fondo aplicado por detrás, retranqueado 2 mm de los bordes. Reutilización de sobrantes de cocina solo se comprobará en la optimización conjunta final. No soporta el anclaje del gabinete.</v>
      </c>
      <c r="O19" s="1"/>
      <c r="P19" s="1"/>
    </row>
    <row r="20" spans="1:16">
      <c r="A20" s="1"/>
      <c r="B20" s="1"/>
      <c r="C20" s="4"/>
      <c r="D20" s="4"/>
      <c r="E20" s="1"/>
      <c r="F20" s="6"/>
      <c r="G20" s="6"/>
      <c r="H20" s="1"/>
      <c r="I20" s="1"/>
      <c r="J20" s="1"/>
      <c r="K20" s="1"/>
      <c r="L20" s="1"/>
      <c r="M20" s="1"/>
      <c r="N20" s="4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5"/>
  <sheetViews>
    <sheetView showGridLines="0" workbookViewId="0">
      <pane ySplit="6" topLeftCell="A7" activePane="bottomLeft" state="frozen"/>
      <selection pane="bottomLeft"/>
    </sheetView>
  </sheetViews>
  <sheetFormatPr baseColWidth="10" defaultColWidth="8.796875" defaultRowHeight="13.8"/>
  <cols>
    <col min="1" max="1" width="27" customWidth="1"/>
    <col min="2" max="2" width="38" customWidth="1"/>
    <col min="3" max="3" width="13" customWidth="1"/>
    <col min="4" max="4" width="12" customWidth="1"/>
    <col min="5" max="5" width="17" customWidth="1"/>
    <col min="6" max="6" width="18" customWidth="1"/>
    <col min="7" max="7" width="21" customWidth="1"/>
    <col min="8" max="8" width="76" customWidth="1"/>
    <col min="9" max="9" width="5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>
      <c r="A2" s="2" t="s">
        <v>105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1" t="s">
        <v>183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42" customHeight="1">
      <c r="A6" s="3" t="s">
        <v>106</v>
      </c>
      <c r="B6" s="3" t="s">
        <v>107</v>
      </c>
      <c r="C6" s="3" t="s">
        <v>6</v>
      </c>
      <c r="D6" s="3" t="s">
        <v>108</v>
      </c>
      <c r="E6" s="3" t="s">
        <v>109</v>
      </c>
      <c r="F6" s="3" t="s">
        <v>110</v>
      </c>
      <c r="G6" s="3" t="s">
        <v>111</v>
      </c>
      <c r="H6" s="3" t="s">
        <v>112</v>
      </c>
      <c r="I6" s="3" t="s">
        <v>113</v>
      </c>
      <c r="J6" s="1"/>
      <c r="K6" s="1"/>
      <c r="L6" s="1"/>
      <c r="M6" s="1"/>
      <c r="N6" s="1"/>
      <c r="O6" s="1"/>
      <c r="P6" s="1"/>
    </row>
    <row r="7" spans="1:16" ht="76.05" customHeight="1">
      <c r="A7" s="4" t="s">
        <v>21</v>
      </c>
      <c r="B7" s="4" t="s">
        <v>114</v>
      </c>
      <c r="C7" s="5">
        <f>Despiece!I24</f>
        <v>1.538983</v>
      </c>
      <c r="D7" s="1" t="s">
        <v>115</v>
      </c>
      <c r="E7" s="9"/>
      <c r="F7" s="9" t="str">
        <f t="shared" ref="F7:F20" si="0">IF(COUNT(C7,E7)=2,C7*E7,"Por cotizar")</f>
        <v>Por cotizar</v>
      </c>
      <c r="G7" s="12" t="s">
        <v>184</v>
      </c>
      <c r="H7" s="12" t="s">
        <v>185</v>
      </c>
      <c r="I7" s="4" t="s">
        <v>116</v>
      </c>
      <c r="J7" s="1"/>
      <c r="K7" s="1"/>
      <c r="L7" s="1"/>
      <c r="M7" s="1"/>
      <c r="N7" s="1"/>
      <c r="O7" s="1"/>
      <c r="P7" s="1"/>
    </row>
    <row r="8" spans="1:16" ht="76.05" customHeight="1">
      <c r="A8" s="4" t="s">
        <v>117</v>
      </c>
      <c r="B8" s="4" t="s">
        <v>118</v>
      </c>
      <c r="C8" s="5">
        <f>Despiece!I25</f>
        <v>0.221216</v>
      </c>
      <c r="D8" s="1" t="s">
        <v>115</v>
      </c>
      <c r="E8" s="9"/>
      <c r="F8" s="9" t="str">
        <f t="shared" si="0"/>
        <v>Por cotizar</v>
      </c>
      <c r="G8" s="12" t="s">
        <v>184</v>
      </c>
      <c r="H8" s="12" t="s">
        <v>186</v>
      </c>
      <c r="I8" s="4" t="s">
        <v>119</v>
      </c>
      <c r="J8" s="1"/>
      <c r="K8" s="1"/>
      <c r="L8" s="1"/>
      <c r="M8" s="1"/>
      <c r="N8" s="1"/>
      <c r="O8" s="1"/>
      <c r="P8" s="1"/>
    </row>
    <row r="9" spans="1:16" ht="76.05" customHeight="1">
      <c r="A9" s="4" t="s">
        <v>120</v>
      </c>
      <c r="B9" s="4" t="s">
        <v>121</v>
      </c>
      <c r="C9" s="1">
        <f>Cantos!E7</f>
        <v>10</v>
      </c>
      <c r="D9" s="1" t="s">
        <v>122</v>
      </c>
      <c r="E9" s="9"/>
      <c r="F9" s="9" t="str">
        <f t="shared" si="0"/>
        <v>Por cotizar</v>
      </c>
      <c r="G9" s="12" t="s">
        <v>184</v>
      </c>
      <c r="H9" s="12" t="s">
        <v>187</v>
      </c>
      <c r="I9" s="4" t="s">
        <v>124</v>
      </c>
      <c r="J9" s="1"/>
      <c r="K9" s="1"/>
      <c r="L9" s="1"/>
      <c r="M9" s="1"/>
      <c r="N9" s="1"/>
      <c r="O9" s="1"/>
      <c r="P9" s="1"/>
    </row>
    <row r="10" spans="1:16" ht="76.05" customHeight="1">
      <c r="A10" s="4" t="s">
        <v>125</v>
      </c>
      <c r="B10" s="4" t="s">
        <v>126</v>
      </c>
      <c r="C10" s="1">
        <f>Cantos!E8</f>
        <v>18</v>
      </c>
      <c r="D10" s="1" t="s">
        <v>122</v>
      </c>
      <c r="E10" s="9"/>
      <c r="F10" s="9" t="str">
        <f t="shared" si="0"/>
        <v>Por cotizar</v>
      </c>
      <c r="G10" s="12" t="s">
        <v>184</v>
      </c>
      <c r="H10" s="12" t="s">
        <v>188</v>
      </c>
      <c r="I10" s="4" t="s">
        <v>124</v>
      </c>
      <c r="J10" s="1"/>
      <c r="K10" s="1"/>
      <c r="L10" s="1"/>
      <c r="M10" s="1"/>
      <c r="N10" s="1"/>
      <c r="O10" s="1"/>
      <c r="P10" s="1"/>
    </row>
    <row r="11" spans="1:16" ht="76.05" customHeight="1">
      <c r="A11" s="4" t="s">
        <v>127</v>
      </c>
      <c r="B11" s="4" t="s">
        <v>128</v>
      </c>
      <c r="C11" s="1">
        <v>3</v>
      </c>
      <c r="D11" s="1" t="s">
        <v>129</v>
      </c>
      <c r="E11" s="9">
        <v>17750</v>
      </c>
      <c r="F11" s="9">
        <f t="shared" si="0"/>
        <v>53250</v>
      </c>
      <c r="G11" s="12" t="s">
        <v>184</v>
      </c>
      <c r="H11" s="12" t="s">
        <v>189</v>
      </c>
      <c r="I11" s="4" t="s">
        <v>130</v>
      </c>
      <c r="J11" s="1"/>
      <c r="K11" s="1"/>
      <c r="L11" s="1"/>
      <c r="M11" s="1"/>
      <c r="N11" s="1"/>
      <c r="O11" s="1"/>
      <c r="P11" s="1"/>
    </row>
    <row r="12" spans="1:16" ht="76.05" customHeight="1">
      <c r="A12" s="4" t="s">
        <v>60</v>
      </c>
      <c r="B12" s="4" t="s">
        <v>131</v>
      </c>
      <c r="C12" s="1">
        <v>1</v>
      </c>
      <c r="D12" s="1" t="s">
        <v>132</v>
      </c>
      <c r="E12" s="9"/>
      <c r="F12" s="9" t="str">
        <f t="shared" si="0"/>
        <v>Por cotizar</v>
      </c>
      <c r="G12" s="4" t="s">
        <v>123</v>
      </c>
      <c r="H12" s="4" t="s">
        <v>133</v>
      </c>
      <c r="I12" s="4" t="s">
        <v>134</v>
      </c>
      <c r="J12" s="1"/>
      <c r="K12" s="1"/>
      <c r="L12" s="1"/>
      <c r="M12" s="1"/>
      <c r="N12" s="1"/>
      <c r="O12" s="1"/>
      <c r="P12" s="1"/>
    </row>
    <row r="13" spans="1:16" ht="76.05" customHeight="1">
      <c r="A13" s="4" t="s">
        <v>135</v>
      </c>
      <c r="B13" s="4" t="s">
        <v>136</v>
      </c>
      <c r="C13" s="1">
        <v>1</v>
      </c>
      <c r="D13" s="1" t="s">
        <v>132</v>
      </c>
      <c r="E13" s="9"/>
      <c r="F13" s="9" t="str">
        <f t="shared" si="0"/>
        <v>Por cotizar</v>
      </c>
      <c r="G13" s="4" t="s">
        <v>137</v>
      </c>
      <c r="H13" s="4" t="s">
        <v>138</v>
      </c>
      <c r="I13" s="4" t="s">
        <v>139</v>
      </c>
      <c r="J13" s="1"/>
      <c r="K13" s="1"/>
      <c r="L13" s="1"/>
      <c r="M13" s="1"/>
      <c r="N13" s="1"/>
      <c r="O13" s="1"/>
      <c r="P13" s="1"/>
    </row>
    <row r="14" spans="1:16" ht="76.05" customHeight="1">
      <c r="A14" s="4" t="s">
        <v>140</v>
      </c>
      <c r="B14" s="4" t="s">
        <v>141</v>
      </c>
      <c r="C14" s="1">
        <v>1</v>
      </c>
      <c r="D14" s="1" t="s">
        <v>142</v>
      </c>
      <c r="E14" s="9"/>
      <c r="F14" s="9" t="str">
        <f t="shared" si="0"/>
        <v>Por cotizar</v>
      </c>
      <c r="G14" s="4" t="s">
        <v>137</v>
      </c>
      <c r="H14" s="4" t="s">
        <v>143</v>
      </c>
      <c r="I14" s="4" t="s">
        <v>144</v>
      </c>
      <c r="J14" s="1"/>
      <c r="K14" s="1"/>
      <c r="L14" s="1"/>
      <c r="M14" s="1"/>
      <c r="N14" s="1"/>
      <c r="O14" s="1"/>
      <c r="P14" s="1"/>
    </row>
    <row r="15" spans="1:16" ht="76.05" customHeight="1">
      <c r="A15" s="4" t="s">
        <v>145</v>
      </c>
      <c r="B15" s="4" t="s">
        <v>146</v>
      </c>
      <c r="C15" s="1">
        <v>1</v>
      </c>
      <c r="D15" s="1" t="s">
        <v>142</v>
      </c>
      <c r="E15" s="9"/>
      <c r="F15" s="9" t="str">
        <f t="shared" si="0"/>
        <v>Por cotizar</v>
      </c>
      <c r="G15" s="4" t="s">
        <v>137</v>
      </c>
      <c r="H15" s="4" t="s">
        <v>147</v>
      </c>
      <c r="I15" s="4" t="s">
        <v>144</v>
      </c>
      <c r="J15" s="1"/>
      <c r="K15" s="1"/>
      <c r="L15" s="1"/>
      <c r="M15" s="1"/>
      <c r="N15" s="1"/>
      <c r="O15" s="1"/>
      <c r="P15" s="1"/>
    </row>
    <row r="16" spans="1:16" ht="76.05" customHeight="1">
      <c r="A16" s="4" t="s">
        <v>148</v>
      </c>
      <c r="B16" s="4" t="s">
        <v>149</v>
      </c>
      <c r="C16" s="1">
        <v>1</v>
      </c>
      <c r="D16" s="1" t="s">
        <v>150</v>
      </c>
      <c r="E16" s="9"/>
      <c r="F16" s="9" t="str">
        <f t="shared" si="0"/>
        <v>Por cotizar</v>
      </c>
      <c r="G16" s="4" t="s">
        <v>137</v>
      </c>
      <c r="H16" s="4" t="s">
        <v>151</v>
      </c>
      <c r="I16" s="4" t="s">
        <v>152</v>
      </c>
      <c r="J16" s="1"/>
      <c r="K16" s="1"/>
      <c r="L16" s="1"/>
      <c r="M16" s="1"/>
      <c r="N16" s="1"/>
      <c r="O16" s="1"/>
      <c r="P16" s="1"/>
    </row>
    <row r="17" spans="1:16" ht="76.05" customHeight="1">
      <c r="A17" s="4" t="s">
        <v>153</v>
      </c>
      <c r="B17" s="4" t="s">
        <v>154</v>
      </c>
      <c r="C17" s="1">
        <v>2</v>
      </c>
      <c r="D17" s="1" t="s">
        <v>142</v>
      </c>
      <c r="E17" s="9"/>
      <c r="F17" s="9" t="str">
        <f t="shared" si="0"/>
        <v>Por cotizar</v>
      </c>
      <c r="G17" s="4" t="s">
        <v>155</v>
      </c>
      <c r="H17" s="4" t="s">
        <v>156</v>
      </c>
      <c r="I17" s="4" t="s">
        <v>157</v>
      </c>
      <c r="J17" s="1"/>
      <c r="K17" s="1"/>
      <c r="L17" s="1"/>
      <c r="M17" s="1"/>
      <c r="N17" s="1"/>
      <c r="O17" s="1"/>
      <c r="P17" s="1"/>
    </row>
    <row r="18" spans="1:16" ht="76.05" customHeight="1">
      <c r="A18" s="4" t="s">
        <v>158</v>
      </c>
      <c r="B18" s="4" t="s">
        <v>159</v>
      </c>
      <c r="C18" s="1">
        <v>1</v>
      </c>
      <c r="D18" s="1" t="s">
        <v>150</v>
      </c>
      <c r="E18" s="9"/>
      <c r="F18" s="9" t="str">
        <f t="shared" si="0"/>
        <v>Por cotizar</v>
      </c>
      <c r="G18" s="4" t="s">
        <v>155</v>
      </c>
      <c r="H18" s="4" t="s">
        <v>160</v>
      </c>
      <c r="I18" s="4" t="s">
        <v>161</v>
      </c>
      <c r="J18" s="1"/>
      <c r="K18" s="1"/>
      <c r="L18" s="1"/>
      <c r="M18" s="1"/>
      <c r="N18" s="1"/>
      <c r="O18" s="1"/>
      <c r="P18" s="1"/>
    </row>
    <row r="19" spans="1:16" ht="76.05" customHeight="1">
      <c r="A19" s="4" t="s">
        <v>162</v>
      </c>
      <c r="B19" s="4" t="s">
        <v>163</v>
      </c>
      <c r="C19" s="1">
        <v>1</v>
      </c>
      <c r="D19" s="1" t="s">
        <v>164</v>
      </c>
      <c r="E19" s="9"/>
      <c r="F19" s="9" t="str">
        <f t="shared" si="0"/>
        <v>Por cotizar</v>
      </c>
      <c r="G19" s="4" t="s">
        <v>123</v>
      </c>
      <c r="H19" s="4" t="s">
        <v>165</v>
      </c>
      <c r="I19" s="4" t="s">
        <v>166</v>
      </c>
      <c r="J19" s="1"/>
      <c r="K19" s="1"/>
      <c r="L19" s="1"/>
      <c r="M19" s="1"/>
      <c r="N19" s="1"/>
      <c r="O19" s="1"/>
      <c r="P19" s="1"/>
    </row>
    <row r="20" spans="1:16" ht="76.05" customHeight="1">
      <c r="A20" s="4" t="s">
        <v>167</v>
      </c>
      <c r="B20" s="4" t="s">
        <v>168</v>
      </c>
      <c r="C20" s="1">
        <v>1</v>
      </c>
      <c r="D20" s="1" t="s">
        <v>169</v>
      </c>
      <c r="E20" s="9"/>
      <c r="F20" s="9" t="str">
        <f t="shared" si="0"/>
        <v>Por cotizar</v>
      </c>
      <c r="G20" s="4" t="s">
        <v>123</v>
      </c>
      <c r="H20" s="4" t="s">
        <v>170</v>
      </c>
      <c r="I20" s="4" t="s">
        <v>171</v>
      </c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9"/>
      <c r="F21" s="9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49.95" customHeight="1">
      <c r="A22" s="8" t="s">
        <v>172</v>
      </c>
      <c r="B22" s="8"/>
      <c r="C22" s="8"/>
      <c r="D22" s="8"/>
      <c r="E22" s="10"/>
      <c r="F22" s="10">
        <f>SUM(F7:F20)</f>
        <v>53250</v>
      </c>
      <c r="G22" s="8"/>
      <c r="H22" s="13" t="s">
        <v>190</v>
      </c>
      <c r="I22" s="8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5"/>
  <sheetViews>
    <sheetView showGridLines="0" workbookViewId="0">
      <pane ySplit="6" topLeftCell="A7" activePane="bottomLeft" state="frozen"/>
      <selection pane="bottomLeft"/>
    </sheetView>
  </sheetViews>
  <sheetFormatPr baseColWidth="10" defaultColWidth="8.796875" defaultRowHeight="13.8"/>
  <cols>
    <col min="1" max="1" width="23" customWidth="1"/>
    <col min="2" max="2" width="17" customWidth="1"/>
    <col min="3" max="3" width="13" customWidth="1"/>
    <col min="4" max="4" width="16" customWidth="1"/>
    <col min="5" max="5" width="22" customWidth="1"/>
    <col min="6" max="6" width="23" customWidth="1"/>
    <col min="7" max="7" width="19" customWidth="1"/>
    <col min="8" max="8" width="21" customWidth="1"/>
    <col min="9" max="9" width="15" customWidth="1"/>
    <col min="10" max="10" width="45" customWidth="1"/>
    <col min="11" max="11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>
      <c r="A2" s="2" t="s">
        <v>86</v>
      </c>
      <c r="B2" s="1"/>
      <c r="C2" s="1"/>
      <c r="D2" s="1"/>
      <c r="E2" s="1"/>
      <c r="F2" s="1"/>
      <c r="G2" s="1"/>
      <c r="H2" s="1" t="s">
        <v>87</v>
      </c>
      <c r="I2" s="1">
        <v>0.05</v>
      </c>
      <c r="J2" s="1"/>
      <c r="K2" s="1"/>
      <c r="L2" s="1"/>
      <c r="M2" s="1"/>
      <c r="N2" s="1"/>
      <c r="O2" s="1"/>
      <c r="P2" s="1"/>
    </row>
    <row r="3" spans="1:16">
      <c r="A3" s="11" t="s">
        <v>181</v>
      </c>
      <c r="B3" s="1"/>
      <c r="C3" s="1"/>
      <c r="D3" s="1"/>
      <c r="E3" s="1"/>
      <c r="F3" s="1"/>
      <c r="G3" s="1"/>
      <c r="H3" s="1" t="s">
        <v>88</v>
      </c>
      <c r="I3" s="1">
        <v>75</v>
      </c>
      <c r="J3" s="1" t="s">
        <v>89</v>
      </c>
      <c r="K3" s="6">
        <f>Despiece!F12/SIN(RADIANS(I3))</f>
        <v>309.54757794261485</v>
      </c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1" t="s">
        <v>241</v>
      </c>
      <c r="I4" s="1">
        <v>1.5</v>
      </c>
      <c r="J4" s="1" t="s">
        <v>90</v>
      </c>
      <c r="K4" s="6">
        <f>I4-2*I5</f>
        <v>0.6</v>
      </c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 t="s">
        <v>91</v>
      </c>
      <c r="I5" s="1">
        <v>0.45</v>
      </c>
      <c r="J5" s="1" t="s">
        <v>92</v>
      </c>
      <c r="K5" s="6">
        <f>K4/SIN(RADIANS(I3))</f>
        <v>0.62116570824604977</v>
      </c>
      <c r="L5" s="1"/>
      <c r="M5" s="1"/>
      <c r="N5" s="1"/>
      <c r="O5" s="1"/>
      <c r="P5" s="1"/>
    </row>
    <row r="6" spans="1:16" ht="42" customHeight="1">
      <c r="A6" s="3" t="s">
        <v>93</v>
      </c>
      <c r="B6" s="3" t="s">
        <v>94</v>
      </c>
      <c r="C6" s="3" t="s">
        <v>95</v>
      </c>
      <c r="D6" s="3" t="s">
        <v>96</v>
      </c>
      <c r="E6" s="3" t="s">
        <v>97</v>
      </c>
      <c r="F6" s="3" t="s">
        <v>98</v>
      </c>
      <c r="G6" s="3" t="s">
        <v>99</v>
      </c>
      <c r="H6" s="3" t="s">
        <v>100</v>
      </c>
      <c r="I6" s="1"/>
      <c r="J6" s="1"/>
      <c r="K6" s="1"/>
      <c r="L6" s="1"/>
      <c r="M6" s="1"/>
      <c r="N6" s="1"/>
      <c r="O6" s="1"/>
      <c r="P6" s="1"/>
    </row>
    <row r="7" spans="1:16" ht="45" customHeight="1">
      <c r="A7" s="1" t="s">
        <v>101</v>
      </c>
      <c r="B7" s="7">
        <f>(SUMPRODUCT(Despiece!$E$7:$E$19,Despiece!$F$7:$F$19,(Despiece!$J$7:$J$19="2")+(Despiece!$K$7:$K$19="2"))+SUMPRODUCT(Despiece!$E$7:$E$19,Despiece!$G$7:$G$19,(Despiece!$L$7:$L$19="2")+(Despiece!$M$7:$M$19="2")))/1000</f>
        <v>8.1969999999999992</v>
      </c>
      <c r="C7" s="1">
        <f>SUMPRODUCT(Despiece!$E$7:$E$19,(Despiece!$J$7:$J$19="2")+(Despiece!$K$7:$K$19="2")+(Despiece!$L$7:$L$19="2")+(Despiece!$M$7:$M$19="2"))</f>
        <v>20</v>
      </c>
      <c r="D7" s="1">
        <f>C7*$I$2</f>
        <v>1</v>
      </c>
      <c r="E7" s="1">
        <f>ROUNDUP(B7+D7,0)</f>
        <v>10</v>
      </c>
      <c r="F7" s="7">
        <f>(SUMPRODUCT(Despiece!$E$7:$E$19,Despiece!$F$7:$F$19,(Despiece!$J$7:$J$19="2")+(Despiece!$K$7:$K$19="2"),--('Pedido de corte'!$L$7:$L$19="Pequeña"))+SUMPRODUCT(Despiece!$E$7:$E$19,Despiece!$G$7:$G$19,(Despiece!$L$7:$L$19="2")+(Despiece!$M$7:$M$19="2"),--('Pedido de corte'!$L$7:$L$19="Pequeña")))/1000</f>
        <v>0.69499999999999995</v>
      </c>
      <c r="G7" s="1">
        <f>SUMPRODUCT(Despiece!$E$7:$E$19,(Despiece!$J$7:$J$19="2")+(Despiece!$K$7:$K$19="2")+(Despiece!$L$7:$L$19="2")+(Despiece!$M$7:$M$19="2"),--('Pedido de corte'!$L$7:$L$19="Pequeña"))</f>
        <v>3</v>
      </c>
      <c r="H7" s="1">
        <f>IF(G7=0,0,ROUNDUP((F7+G7*0.1)*1.2,0))</f>
        <v>2</v>
      </c>
      <c r="I7" s="1"/>
      <c r="J7" s="1"/>
      <c r="K7" s="1"/>
      <c r="L7" s="1"/>
      <c r="M7" s="1"/>
      <c r="N7" s="1"/>
      <c r="O7" s="1"/>
      <c r="P7" s="1"/>
    </row>
    <row r="8" spans="1:16" ht="45" customHeight="1">
      <c r="A8" s="1" t="s">
        <v>102</v>
      </c>
      <c r="B8" s="7">
        <f>(SUMPRODUCT(Despiece!$E$7:$E$19,Despiece!$F$7:$F$19,(Despiece!$J$7:$J$19="0.45")+(Despiece!$K$7:$K$19="0.45"))+SUMPRODUCT(Despiece!$E$7:$E$19,Despiece!$G$7:$G$19,(Despiece!$L$7:$L$19="0.45")+(Despiece!$M$7:$M$19="0.45")))/1000+2*$K$3/1000</f>
        <v>14.828095155885229</v>
      </c>
      <c r="C8" s="1">
        <f>SUMPRODUCT(Despiece!$E$7:$E$19,(Despiece!$J$7:$J$19="0.45")+(Despiece!$K$7:$K$19="0.45")+(Despiece!$L$7:$L$19="0.45")+(Despiece!$M$7:$M$19="0.45"))+2</f>
        <v>54</v>
      </c>
      <c r="D8" s="1">
        <f>C8*$I$2</f>
        <v>2.7</v>
      </c>
      <c r="E8" s="1">
        <f>ROUNDUP(B8+D8,0)</f>
        <v>18</v>
      </c>
      <c r="F8" s="7">
        <f>(SUMPRODUCT(Despiece!$E$7:$E$19,Despiece!$F$7:$F$19,(Despiece!$J$7:$J$19="0.45")+(Despiece!$K$7:$K$19="0.45"),--('Pedido de corte'!$L$7:$L$19="Pequeña"))+SUMPRODUCT(Despiece!$E$7:$E$19,Despiece!$G$7:$G$19,(Despiece!$L$7:$L$19="0.45")+(Despiece!$M$7:$M$19="0.45"),--('Pedido de corte'!$L$7:$L$19="Pequeña")))/1000+2*$K$3/1000</f>
        <v>4.1540951558852299</v>
      </c>
      <c r="G8" s="1">
        <f>SUMPRODUCT(Despiece!$E$7:$E$19,(Despiece!$J$7:$J$19="0.45")+(Despiece!$K$7:$K$19="0.45")+(Despiece!$L$7:$L$19="0.45")+(Despiece!$M$7:$M$19="0.45"),--('Pedido de corte'!$L$7:$L$19="Pequeña"))+2</f>
        <v>23</v>
      </c>
      <c r="H8" s="1">
        <f>IF(G8=0,0,ROUNDUP((F8+G8*0.1)*1.2,0))</f>
        <v>8</v>
      </c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 t="s">
        <v>103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1" t="s">
        <v>182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104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A1CC-7C3F-46E9-941E-332860F704A9}">
  <dimension ref="A2:E14"/>
  <sheetViews>
    <sheetView workbookViewId="0"/>
  </sheetViews>
  <sheetFormatPr baseColWidth="10" defaultRowHeight="13.8"/>
  <cols>
    <col min="1" max="1" width="5.69921875" customWidth="1"/>
    <col min="2" max="2" width="26.69921875" customWidth="1"/>
    <col min="3" max="3" width="80.69921875" customWidth="1"/>
    <col min="4" max="4" width="28.69921875" customWidth="1"/>
    <col min="5" max="5" width="24.69921875" customWidth="1"/>
  </cols>
  <sheetData>
    <row r="2" spans="1:5" ht="17.399999999999999">
      <c r="A2" s="17" t="s">
        <v>191</v>
      </c>
    </row>
    <row r="3" spans="1:5" ht="14.4">
      <c r="A3" s="18" t="s">
        <v>192</v>
      </c>
    </row>
    <row r="6" spans="1:5">
      <c r="A6" s="14" t="s">
        <v>193</v>
      </c>
      <c r="B6" s="14" t="s">
        <v>173</v>
      </c>
      <c r="C6" s="14" t="s">
        <v>194</v>
      </c>
      <c r="D6" s="14" t="s">
        <v>195</v>
      </c>
      <c r="E6" s="14" t="s">
        <v>196</v>
      </c>
    </row>
    <row r="7" spans="1:5" ht="27.6">
      <c r="A7" s="15">
        <v>1</v>
      </c>
      <c r="B7" s="16" t="s">
        <v>197</v>
      </c>
      <c r="C7" s="16" t="s">
        <v>198</v>
      </c>
      <c r="D7" s="16" t="s">
        <v>199</v>
      </c>
      <c r="E7" s="16" t="s">
        <v>200</v>
      </c>
    </row>
    <row r="8" spans="1:5" ht="27.6">
      <c r="A8" s="15">
        <v>2</v>
      </c>
      <c r="B8" s="16" t="s">
        <v>178</v>
      </c>
      <c r="C8" s="16" t="s">
        <v>201</v>
      </c>
      <c r="D8" s="16" t="s">
        <v>202</v>
      </c>
      <c r="E8" s="16" t="s">
        <v>203</v>
      </c>
    </row>
    <row r="9" spans="1:5" ht="27.6">
      <c r="A9" s="15">
        <v>3</v>
      </c>
      <c r="B9" s="16" t="s">
        <v>175</v>
      </c>
      <c r="C9" s="16" t="s">
        <v>204</v>
      </c>
      <c r="D9" s="16" t="s">
        <v>205</v>
      </c>
      <c r="E9" s="16" t="s">
        <v>206</v>
      </c>
    </row>
    <row r="10" spans="1:5" ht="55.2">
      <c r="A10" s="15">
        <v>4</v>
      </c>
      <c r="B10" s="16" t="s">
        <v>207</v>
      </c>
      <c r="C10" s="16" t="s">
        <v>243</v>
      </c>
      <c r="D10" s="16" t="s">
        <v>208</v>
      </c>
      <c r="E10" s="16" t="s">
        <v>209</v>
      </c>
    </row>
    <row r="11" spans="1:5">
      <c r="A11" s="15">
        <v>5</v>
      </c>
      <c r="B11" s="16" t="s">
        <v>210</v>
      </c>
      <c r="C11" s="16" t="s">
        <v>211</v>
      </c>
      <c r="D11" s="16" t="s">
        <v>212</v>
      </c>
      <c r="E11" s="16" t="s">
        <v>213</v>
      </c>
    </row>
    <row r="12" spans="1:5" ht="27.6">
      <c r="A12" s="15">
        <v>6</v>
      </c>
      <c r="B12" s="16" t="s">
        <v>214</v>
      </c>
      <c r="C12" s="16" t="s">
        <v>215</v>
      </c>
      <c r="D12" s="16" t="s">
        <v>205</v>
      </c>
      <c r="E12" s="16" t="s">
        <v>216</v>
      </c>
    </row>
    <row r="13" spans="1:5" ht="27.6">
      <c r="A13" s="15">
        <v>7</v>
      </c>
      <c r="B13" s="16" t="s">
        <v>217</v>
      </c>
      <c r="C13" s="16" t="s">
        <v>218</v>
      </c>
      <c r="D13" s="16" t="s">
        <v>219</v>
      </c>
      <c r="E13" s="16" t="s">
        <v>220</v>
      </c>
    </row>
    <row r="14" spans="1:5">
      <c r="A14" s="15">
        <v>8</v>
      </c>
      <c r="B14" s="16" t="s">
        <v>179</v>
      </c>
      <c r="C14" s="16" t="s">
        <v>221</v>
      </c>
      <c r="D14" s="16" t="s">
        <v>205</v>
      </c>
      <c r="E14" s="16" t="s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316D-5ED7-490A-9235-828A60E405EF}">
  <dimension ref="A2:C13"/>
  <sheetViews>
    <sheetView workbookViewId="0">
      <selection activeCell="A13" sqref="A13:XFD13"/>
    </sheetView>
  </sheetViews>
  <sheetFormatPr baseColWidth="10" defaultRowHeight="13.8"/>
  <cols>
    <col min="1" max="1" width="22.69921875" customWidth="1"/>
    <col min="2" max="2" width="95.69921875" customWidth="1"/>
    <col min="3" max="3" width="34.69921875" customWidth="1"/>
  </cols>
  <sheetData>
    <row r="2" spans="1:3" ht="17.399999999999999">
      <c r="A2" s="17" t="s">
        <v>223</v>
      </c>
    </row>
    <row r="3" spans="1:3" ht="14.4">
      <c r="A3" s="18" t="s">
        <v>224</v>
      </c>
    </row>
    <row r="6" spans="1:3">
      <c r="A6" s="14" t="s">
        <v>173</v>
      </c>
      <c r="B6" s="14" t="s">
        <v>225</v>
      </c>
      <c r="C6" s="14" t="s">
        <v>226</v>
      </c>
    </row>
    <row r="7" spans="1:3" ht="27.6">
      <c r="A7" s="16" t="s">
        <v>174</v>
      </c>
      <c r="B7" s="16" t="s">
        <v>227</v>
      </c>
      <c r="C7" s="16" t="s">
        <v>228</v>
      </c>
    </row>
    <row r="8" spans="1:3">
      <c r="A8" s="16" t="s">
        <v>176</v>
      </c>
      <c r="B8" s="16" t="s">
        <v>229</v>
      </c>
      <c r="C8" s="16" t="s">
        <v>177</v>
      </c>
    </row>
    <row r="9" spans="1:3">
      <c r="A9" s="16" t="s">
        <v>5</v>
      </c>
      <c r="B9" s="16" t="s">
        <v>230</v>
      </c>
      <c r="C9" s="16" t="s">
        <v>231</v>
      </c>
    </row>
    <row r="10" spans="1:3" ht="55.2">
      <c r="A10" s="16" t="s">
        <v>232</v>
      </c>
      <c r="B10" s="16" t="s">
        <v>233</v>
      </c>
      <c r="C10" s="16" t="s">
        <v>234</v>
      </c>
    </row>
    <row r="11" spans="1:3" ht="27.6">
      <c r="A11" s="16" t="s">
        <v>235</v>
      </c>
      <c r="B11" s="16" t="s">
        <v>236</v>
      </c>
      <c r="C11" s="16" t="s">
        <v>237</v>
      </c>
    </row>
    <row r="12" spans="1:3" ht="27.6">
      <c r="A12" s="16" t="s">
        <v>238</v>
      </c>
      <c r="B12" s="16" t="s">
        <v>239</v>
      </c>
      <c r="C12" s="16" t="s">
        <v>240</v>
      </c>
    </row>
    <row r="13" spans="1:3" ht="27.6">
      <c r="A13" s="16" t="s">
        <v>244</v>
      </c>
      <c r="B13" s="16" t="s">
        <v>245</v>
      </c>
      <c r="C13" s="16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Despiece</vt:lpstr>
      <vt:lpstr>Pedido de corte</vt:lpstr>
      <vt:lpstr>Compras</vt:lpstr>
      <vt:lpstr>Cantos</vt:lpstr>
      <vt:lpstr>Pendientes</vt:lpstr>
      <vt:lpstr>Decisiones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Perez Muñoz</cp:lastModifiedBy>
  <dcterms:modified xsi:type="dcterms:W3CDTF">2026-10-28T03:14:29Z</dcterms:modified>
</cp:coreProperties>
</file>