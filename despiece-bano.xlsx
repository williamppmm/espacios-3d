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bb530de5004a63" /></Relationships>
</file>

<file path=xl/workbook.xml><?xml version="1.0" encoding="utf-8"?>
<x:workbook xmlns:x="http://schemas.openxmlformats.org/spreadsheetml/2006/main">
  <x:sheets>
    <x:sheet xmlns:r="http://schemas.openxmlformats.org/officeDocument/2006/relationships" name="Despiece" sheetId="1" r:id="R1f203a39437e40d3"/>
    <x:sheet xmlns:r="http://schemas.openxmlformats.org/officeDocument/2006/relationships" name="Pedido de corte" sheetId="2" r:id="Ree5ab7d6bb8c4695"/>
    <x:sheet xmlns:r="http://schemas.openxmlformats.org/officeDocument/2006/relationships" name="Compras" sheetId="4" r:id="R287fc5ceaf314cb7"/>
    <x:sheet xmlns:r="http://schemas.openxmlformats.org/officeDocument/2006/relationships" name="Cantos" sheetId="3" r:id="Rf08fc2837e274973"/>
    <x:sheet xmlns:r="http://schemas.openxmlformats.org/officeDocument/2006/relationships" name="Pendientes" sheetId="6" r:id="Rb19bd3dee9234783"/>
    <x:sheet xmlns:r="http://schemas.openxmlformats.org/officeDocument/2006/relationships" name="Decisiones" sheetId="7" r:id="Rf7a2641ae61e41a2"/>
  </x:sheets>
</x:workbook>
</file>

<file path=xl/sharedStrings.xml><?xml version="1.0" encoding="utf-8"?>
<x:sst xmlns:x="http://schemas.openxmlformats.org/spreadsheetml/2006/main">
  <x:si>
    <x:t xml:space="preserve">Baño Cartagena · despiece independiente</x:t>
  </x:si>
  <x:si>
    <x:t xml:space="preserve">Fuente: fotos IMG_4304–4307 y medidas del usuario, 27/10/2026. Mismo RH15 de cocina y clóset; compra conjunta en compras-proyecto.xlsx.</x:t>
  </x:si>
  <x:si>
    <x:t xml:space="preserve">Medidas terminadas en mm. Largo en sentido de veta. B06 se pide rectangular entero; la diagonal, el sifón y los equipos se mecanizan con plantilla confirmada.</x:t>
  </x:si>
  <x:si>
    <x:t xml:space="preserve">ID</x:t>
  </x:si>
  <x:si>
    <x:t xml:space="preserve">Módulo</x:t>
  </x:si>
  <x:si>
    <x:t xml:space="preserve">Pieza</x:t>
  </x:si>
  <x:si>
    <x:t xml:space="preserve">Material</x:t>
  </x:si>
  <x:si>
    <x:t xml:space="preserve">Cantidad</x:t>
  </x:si>
  <x:si>
    <x:t xml:space="preserve">Largo veta mm</x:t>
  </x:si>
  <x:si>
    <x:t xml:space="preserve">Ancho mm</x:t>
  </x:si>
  <x:si>
    <x:t xml:space="preserve">Espesor mm</x:t>
  </x:si>
  <x:si>
    <x:t xml:space="preserve">Área m²</x:t>
  </x:si>
  <x:si>
    <x:t xml:space="preserve">Canto L1</x:t>
  </x:si>
  <x:si>
    <x:t xml:space="preserve">Canto L2</x:t>
  </x:si>
  <x:si>
    <x:t xml:space="preserve">Canto A1</x:t>
  </x:si>
  <x:si>
    <x:t xml:space="preserve">Canto A2</x:t>
  </x:si>
  <x:si>
    <x:t xml:space="preserve">Corte largo mm</x:t>
  </x:si>
  <x:si>
    <x:t xml:space="preserve">Corte ancho mm</x:t>
  </x:si>
  <x:si>
    <x:t xml:space="preserve">Nota de fabricación</x:t>
  </x:si>
  <x:si>
    <x:t xml:space="preserve">B01</x:t>
  </x:si>
  <x:si>
    <x:t xml:space="preserve">BAJO</x:t>
  </x:si>
  <x:si>
    <x:t xml:space="preserve">Lateral</x:t>
  </x:si>
  <x:si>
    <x:t xml:space="preserve">RH15 Cartagena</x:t>
  </x:si>
  <x:si>
    <x:t xml:space="preserve">B02</x:t>
  </x:si>
  <x:si>
    <x:t xml:space="preserve">Piso</x:t>
  </x:si>
  <x:si>
    <x:t xml:space="preserve">B03</x:t>
  </x:si>
  <x:si>
    <x:t xml:space="preserve">Entrepaño retranqueado con reserva de sifón</x:t>
  </x:si>
  <x:si>
    <x:t xml:space="preserve">B04</x:t>
  </x:si>
  <x:si>
    <x:t xml:space="preserve">Travesaño trasero superior lateral</x:t>
  </x:si>
  <x:si>
    <x:t xml:space="preserve">B05</x:t>
  </x:si>
  <x:si>
    <x:t xml:space="preserve">Travesaño trasero inferior</x:t>
  </x:si>
  <x:si>
    <x:t xml:space="preserve">B06</x:t>
  </x:si>
  <x:si>
    <x:t xml:space="preserve">Panel común para dos puertas: corte diagonal en armado</x:t>
  </x:si>
  <x:si>
    <x:t xml:space="preserve">S01</x:t>
  </x:si>
  <x:si>
    <x:t xml:space="preserve">ESPEJO</x:t>
  </x:si>
  <x:si>
    <x:t xml:space="preserve">Lateral gabinete superior</x:t>
  </x:si>
  <x:si>
    <x:t xml:space="preserve">S02</x:t>
  </x:si>
  <x:si>
    <x:t xml:space="preserve">Piso y techo gabinete superior</x:t>
  </x:si>
  <x:si>
    <x:t xml:space="preserve">S03</x:t>
  </x:si>
  <x:si>
    <x:t xml:space="preserve">División vertical</x:t>
  </x:si>
  <x:si>
    <x:t xml:space="preserve">S04</x:t>
  </x:si>
  <x:si>
    <x:t xml:space="preserve">Entrepaño interior izquierdo</x:t>
  </x:si>
  <x:si>
    <x:t xml:space="preserve">S05</x:t>
  </x:si>
  <x:si>
    <x:t xml:space="preserve">Entrepaño columna abierta derecha</x:t>
  </x:si>
  <x:si>
    <x:t xml:space="preserve">S06</x:t>
  </x:si>
  <x:si>
    <x:t xml:space="preserve">Tapa RH15 portadora del espejo</x:t>
  </x:si>
  <x:si>
    <x:t xml:space="preserve">F01</x:t>
  </x:si>
  <x:si>
    <x:t xml:space="preserve">Fondo blanco de 6 mm</x:t>
  </x:si>
  <x:si>
    <x:t xml:space="preserve">Fondo melamina blanco RH6</x:t>
  </x:si>
  <x:si>
    <x:t xml:space="preserve">E01</x:t>
  </x:si>
  <x:si>
    <x:t xml:space="preserve">Espejo</x:t>
  </x:si>
  <x:si>
    <x:t xml:space="preserve">Espejo 3 mm provisional</x:t>
  </x:si>
  <x:si>
    <x:t xml:space="preserve">—</x:t>
  </x:si>
  <x:si>
    <x:t xml:space="preserve">320 × 500 mm según usuario; espesor provisional de 3 mm. Canto pulido y protección posterior; no se suma como tablero.</x:t>
  </x:si>
  <x:si>
    <x:t xml:space="preserve">E02</x:t>
  </x:si>
  <x:si>
    <x:t xml:space="preserve">Granito de retal</x:t>
  </x:si>
  <x:si>
    <x:t xml:space="preserve">Granito de retal provisional</x:t>
  </x:si>
  <x:si>
    <x:t xml:space="preserve">550 × 470 × 20 mm supuestos. Vuelos laterales 15 mm; delante 5 mm respecto a las puertas. Recortes solo con lavamanos, grifería y retal reales.</x:t>
  </x:si>
  <x:si>
    <x:t xml:space="preserve">Total RH15 (sin espejo, granito ni fondo)</x:t>
  </x:si>
  <x:si>
    <x:t xml:space="preserve">Fondo blanco RH6, sin asignar sobrantes</x:t>
  </x:si>
  <x:si>
    <x:t xml:space="preserve">Pedido de corte y canteado · baño</x:t>
  </x:si>
  <x:si>
    <x:t xml:space="preserve">¿El proveedor descuenta cantos de la medida terminada?</x:t>
  </x:si>
  <x:si>
    <x:t xml:space="preserve">SÍ</x:t>
  </x:si>
  <x:si>
    <x:t xml:space="preserve">Lado menor mínimo del tablero para máquina, mm</x:t>
  </x:si>
  <x:si>
    <x:t xml:space="preserve">SÍ = medida terminada; NO = tablero con descuento. Se clasifica con el tamaño del tablero. B06: pedir un único panel 517 × 299 terminado; NO separar en tienda. Diagonal central provisional 75° en armado.</x:t>
  </x:si>
  <x:si>
    <x:t xml:space="preserve">Lado mayor mínimo del tablero para máquina, mm</x:t>
  </x:si>
  <x:si>
    <x:t xml:space="preserve">Largo a pedir</x:t>
  </x:si>
  <x:si>
    <x:t xml:space="preserve">Ancho a pedir</x:t>
  </x:si>
  <x:si>
    <x:t xml:space="preserve">Largo 1</x:t>
  </x:si>
  <x:si>
    <x:t xml:space="preserve">Largo 2</x:t>
  </x:si>
  <x:si>
    <x:t xml:space="preserve">Corto 1</x:t>
  </x:si>
  <x:si>
    <x:t xml:space="preserve">Corto 2</x:t>
  </x:si>
  <x:si>
    <x:t xml:space="preserve">Canteo</x:t>
  </x:si>
  <x:si>
    <x:t xml:space="preserve">Medida terminada</x:t>
  </x:si>
  <x:si>
    <x:t xml:space="preserve">Observación</x:t>
  </x:si>
  <x:si>
    <x:t xml:space="preserve">Compras y accesorios · baño</x:t>
  </x:si>
  <x:si>
    <x:t xml:space="preserve">Referencias del baño. Tablero, fondo, canto y bisagras se compran junto con cocina y clóset en compras-proyecto.xlsx; equipos, anclajes y servicios pendientes.</x:t>
  </x:si>
  <x:si>
    <x:t xml:space="preserve">Referencia</x:t>
  </x:si>
  <x:si>
    <x:t xml:space="preserve">Uso</x:t>
  </x:si>
  <x:si>
    <x:t xml:space="preserve">Unidad</x:t>
  </x:si>
  <x:si>
    <x:t xml:space="preserve">Precio COP</x:t>
  </x:si>
  <x:si>
    <x:t xml:space="preserve">Subtotal COP</x:t>
  </x:si>
  <x:si>
    <x:t xml:space="preserve">Estado</x:t>
  </x:si>
  <x:si>
    <x:t xml:space="preserve">Detalle</x:t>
  </x:si>
  <x:si>
    <x:t xml:space="preserve">Fuente</x:t>
  </x:si>
  <x:si>
    <x:t xml:space="preserve">Tablero del conjunto</x:t>
  </x:si>
  <x:si>
    <x:t xml:space="preserve">m²</x:t>
  </x:si>
  <x:si>
    <x:t xml:space="preserve">En compra conjunta</x:t>
  </x:si>
  <x:si>
    <x:t xml:space="preserve">Área neta; se compra con cocina y clóset: las piezas RH15 de los tres muebles caben en 8 láminas (compras-proyecto.xlsx).</x:t>
  </x:si>
  <x:si>
    <x:t xml:space="preserve">Mismo material de cocina.</x:t>
  </x:si>
  <x:si>
    <x:t xml:space="preserve">Fondo blanco RH6</x:t>
  </x:si>
  <x:si>
    <x:t xml:space="preserve">Gabinete espejo</x:t>
  </x:si>
  <x:si>
    <x:t xml:space="preserve">Cabe en la lámina de fondo de la cocina (compras-proyecto.xlsx).</x:t>
  </x:si>
  <x:si>
    <x:t xml:space="preserve">Solicitud del usuario.</x:t>
  </x:si>
  <x:si>
    <x:t xml:space="preserve">Canto rígido 2 mm</x:t>
  </x:si>
  <x:si>
    <x:t xml:space="preserve">Bordes indicados</x:t>
  </x:si>
  <x:si>
    <x:t xml:space="preserve">m</x:t>
  </x:si>
  <x:si>
    <x:t xml:space="preserve">Hoja Cantos.</x:t>
  </x:si>
  <x:si>
    <x:t xml:space="preserve">Canto flexible 0,45</x:t>
  </x:si>
  <x:si>
    <x:t xml:space="preserve">Protección húmeda</x:t>
  </x:si>
  <x:si>
    <x:t xml:space="preserve">Rollo flexible de 200 m conjunto. Incluye fondo RH6 y los dos cantos diagonales de B06, hechos a mano.</x:t>
  </x:si>
  <x:si>
    <x:t xml:space="preserve">HBM897-01 candidata</x:t>
  </x:si>
  <x:si>
    <x:t xml:space="preserve">Seis bisagras, tres pares</x:t>
  </x:si>
  <x:si>
    <x:t xml:space="preserve">par</x:t>
  </x:si>
  <x:si>
    <x:t xml:space="preserve">Dos por puerta; se compran con las de la cocina (15 pares en total). Validar peso, cabida, sobreposición y plantilla.</x:t>
  </x:si>
  <x:si>
    <x:t xml:space="preserve">Precio del presupuesto de cocina; no cotización actual.</x:t>
  </x:si>
  <x:si>
    <x:t xml:space="preserve">320 × 500 × 3 mm provisional</x:t>
  </x:si>
  <x:si>
    <x:t xml:space="preserve">pieza</x:t>
  </x:si>
  <x:si>
    <x:t xml:space="preserve">Por cotizar</x:t>
  </x:si>
  <x:si>
    <x:t xml:space="preserve">Cantos pulidos; espesor y adhesivo con vidriero.</x:t>
  </x:si>
  <x:si>
    <x:t xml:space="preserve">Medidas del usuario; espesor supuesto.</x:t>
  </x:si>
  <x:si>
    <x:t xml:space="preserve">Retal de granito</x:t>
  </x:si>
  <x:si>
    <x:t xml:space="preserve">550 × 470 × 20 mm provisional</x:t>
  </x:si>
  <x:si>
    <x:t xml:space="preserve">Por elegir</x:t>
  </x:si>
  <x:si>
    <x:t xml:space="preserve">Vuelos 15 mm a los lados y 5 mm delante; recortes según equipos.</x:t>
  </x:si>
  <x:si>
    <x:t xml:space="preserve">Supuesto solicitado por usuario.</x:t>
  </x:si>
  <x:si>
    <x:t xml:space="preserve">Lavamanos de sobreponer</x:t>
  </x:si>
  <x:si>
    <x:t xml:space="preserve">Bowl Ø350 × 140 ilustrativo</x:t>
  </x:si>
  <x:si>
    <x:t xml:space="preserve">unidad</x:t>
  </x:si>
  <x:si>
    <x:t xml:space="preserve">No es un modelo comercial seleccionado.</x:t>
  </x:si>
  <x:si>
    <x:t xml:space="preserve">Representación provisional.</x:t>
  </x:si>
  <x:si>
    <x:t xml:space="preserve">Grifería</x:t>
  </x:si>
  <x:si>
    <x:t xml:space="preserve">Mezclador alto ilustrativo</x:t>
  </x:si>
  <x:si>
    <x:t xml:space="preserve">Medir alcance y altura según lavamanos.</x:t>
  </x:si>
  <x:si>
    <x:t xml:space="preserve">Desagüe y sifón</x:t>
  </x:si>
  <x:si>
    <x:t xml:space="preserve">Evacuación del lavamanos</x:t>
  </x:si>
  <x:si>
    <x:t xml:space="preserve">juego</x:t>
  </x:si>
  <x:si>
    <x:t xml:space="preserve">Recorte de entrepaño solo con sifón y tuberías reales.</x:t>
  </x:si>
  <x:si>
    <x:t xml:space="preserve">Instalación pendiente.</x:t>
  </x:si>
  <x:si>
    <x:t xml:space="preserve">Soportes de granito/mueble</x:t>
  </x:si>
  <x:si>
    <x:t xml:space="preserve">Soportes estructurales a muro</x:t>
  </x:si>
  <x:si>
    <x:t xml:space="preserve">Por dimensionar</x:t>
  </x:si>
  <x:si>
    <x:t xml:space="preserve">Capacidad, anclajes y sustrato real; no depende del fondo RH6.</x:t>
  </x:si>
  <x:si>
    <x:t xml:space="preserve">Montaje por definir.</x:t>
  </x:si>
  <x:si>
    <x:t xml:space="preserve">Fijaciones del espejo</x:t>
  </x:si>
  <x:si>
    <x:t xml:space="preserve">Anclajes gabinete superior</x:t>
  </x:si>
  <x:si>
    <x:t xml:space="preserve">Fijar por estructura o herrajes de colgar adecuados.</x:t>
  </x:si>
  <x:si>
    <x:t xml:space="preserve">Instalador.</x:t>
  </x:si>
  <x:si>
    <x:t xml:space="preserve">Sellado y adhesivo</x:t>
  </x:si>
  <x:si>
    <x:t xml:space="preserve">Diagonal, recortes y espejo</x:t>
  </x:si>
  <x:si>
    <x:t xml:space="preserve">lote</x:t>
  </x:si>
  <x:si>
    <x:t xml:space="preserve">Productos compatibles con RH, canto, piedra y espejo según aplicación.</x:t>
  </x:si>
  <x:si>
    <x:t xml:space="preserve">Taller y vidriero.</x:t>
  </x:si>
  <x:si>
    <x:t xml:space="preserve">Corte y montaje</x:t>
  </x:si>
  <x:si>
    <x:t xml:space="preserve">Canteado, diagonal e instalación</x:t>
  </x:si>
  <x:si>
    <x:t xml:space="preserve">servicio</x:t>
  </x:si>
  <x:si>
    <x:t xml:space="preserve">Incluye división diagonal de B06 y ajuste de tuberías.</x:t>
  </x:si>
  <x:si>
    <x:t xml:space="preserve">Proveedor.</x:t>
  </x:si>
  <x:si>
    <x:t xml:space="preserve">REFERENCIAS CON PRECIO</x:t>
  </x:si>
  <x:si>
    <x:t xml:space="preserve">Subtotal parcial del baño. Tablero, fondo y canto se presupuestan en compras-proyecto.xlsx; faltan espejo, retal, equipos, fijaciones y servicios.</x:t>
  </x:si>
  <x:si>
    <x:t xml:space="preserve">Cantos del baño · protección por humedad</x:t>
  </x:si>
  <x:si>
    <x:t xml:space="preserve">Reserva por borde m</x:t>
  </x:si>
  <x:si>
    <x:t xml:space="preserve">Ángulo de la diagonal, grados</x:t>
  </x:si>
  <x:si>
    <x:t xml:space="preserve">Longitud de cada diagonal, mm</x:t>
  </x:si>
  <x:si>
    <x:t xml:space="preserve">Corte del disco, mm (Diablo Ultra Finish 7-1/4", 0,059")</x:t>
  </x:si>
  <x:si>
    <x:t xml:space="preserve">Holgura normal resultante, mm</x:t>
  </x:si>
  <x:si>
    <x:t xml:space="preserve">Canto de cada diagonal, mm</x:t>
  </x:si>
  <x:si>
    <x:t xml:space="preserve">Holgura horizontal aproximada, mm</x:t>
  </x:si>
  <x:si>
    <x:t xml:space="preserve">Tipo</x:t>
  </x:si>
  <x:si>
    <x:t xml:space="preserve">Metros netos</x:t>
  </x:si>
  <x:si>
    <x:t xml:space="preserve">Bordes</x:t>
  </x:si>
  <x:si>
    <x:t xml:space="preserve">Reserva m</x:t>
  </x:si>
  <x:si>
    <x:t xml:space="preserve">Metros con reserva</x:t>
  </x:si>
  <x:si>
    <x:t xml:space="preserve">Manual neto estimado</x:t>
  </x:si>
  <x:si>
    <x:t xml:space="preserve">Bordes manuales</x:t>
  </x:si>
  <x:si>
    <x:t xml:space="preserve">Previsión manual m</x:t>
  </x:si>
  <x:si>
    <x:t xml:space="preserve">Rígido 2 mm</x:t>
  </x:si>
  <x:si>
    <x:t xml:space="preserve">Flexible 0,45 mm</x:t>
  </x:si>
  <x:si>
    <x:t xml:space="preserve">Manual: piezas potencialmente rechazadas, más 10 cm por borde y 20 % de reserva. Confirmar entrega real antes de comprar.</x:t>
  </x:si>
  <x:si>
    <x:t xml:space="preserve">B06 se cuenta una vez como panel de suministro; sus dos bordes diagonales llevan flexible a mano. El metraje manual está incluido en el total, no se suma dos veces.</x:t>
  </x:si>
  <x:si>
    <x:t xml:space="preserve">Pendientes antes de cortar e instalar · baño</x:t>
  </x:si>
  <x:si>
    <x:t xml:space="preserve">Solo lo que falta resolver. Lo ya decidido está en la hoja Decisiones; el despiece y el 3D ya lo reflejan.</x:t>
  </x:si>
  <x:si>
    <x:t xml:space="preserve">N°</x:t>
  </x:si>
  <x:si>
    <x:t xml:space="preserve">Tema</x:t>
  </x:si>
  <x:si>
    <x:t xml:space="preserve">Qué falta</x:t>
  </x:si>
  <x:si>
    <x:t xml:space="preserve">Qué bloquea</x:t>
  </x:si>
  <x:si>
    <x:t xml:space="preserve">Quién lo define</x:t>
  </x:si>
  <x:si>
    <x:t xml:space="preserve">Proveedor de corte</x:t>
  </x:si>
  <x:si>
    <x:t xml:space="preserve">Confirmar Q2–Q4 del Pedido de corte (medida terminada y tamaño mínimo que cantea). El pedido conjunto de los tres muebles está en compras-proyecto.xlsx.</x:t>
  </x:si>
  <x:si>
    <x:t xml:space="preserve">Pedido de corte</x:t>
  </x:si>
  <x:si>
    <x:t xml:space="preserve">Sucursal Madecentro</x:t>
  </x:si>
  <x:si>
    <x:t xml:space="preserve">Granito y equipos</x:t>
  </x:si>
  <x:si>
    <x:t xml:space="preserve">Elegir el retal de granito (espesor real; se supusieron 2 cm), el lavamanos, la grifería y el desagüe. Los huecos del dibujo (Ø45 desagüe, Ø35 grifería) no son plantilla.</x:t>
  </x:si>
  <x:si>
    <x:t xml:space="preserve">Alturas de instalación y recortes del granito</x:t>
  </x:si>
  <x:si>
    <x:t xml:space="preserve">Usuario / marmolero</x:t>
  </x:si>
  <x:si>
    <x:t xml:space="preserve">Alturas de instalación</x:t>
  </x:si>
  <x:si>
    <x:t xml:space="preserve">Confirmar la cara inferior del granito a 73 cm y los 51 cm desde su cara superior al gabinete (base a 126 y techo a 176 cm).</x:t>
  </x:si>
  <x:si>
    <x:t xml:space="preserve">Instalación</x:t>
  </x:si>
  <x:si>
    <x:t xml:space="preserve">Usuario</x:t>
  </x:si>
  <x:si>
    <x:t xml:space="preserve">Diagonal de las puertas (B06)</x:t>
  </x:si>
  <x:si>
    <x:t xml:space="preserve">Pedir el panel entero, sin dividir en tienda. Con el disco Diablo de 1,5 mm la holgura entre puertas queda en ≈0,6 mm tras cantear; lo usual son 2–3 mm. Antes del corte diagonal, decidir si se da una segunda pasada o se lija cada borde hasta ~2 mm de holgura, y confirmar el ángulo (75° provisional).</x:t>
  </x:si>
  <x:si>
    <x:t xml:space="preserve">Corte diagonal en el armado</x:t>
  </x:si>
  <x:si>
    <x:t xml:space="preserve">Taller</x:t>
  </x:si>
  <x:si>
    <x:t xml:space="preserve">Recorte del entrepaño</x:t>
  </x:si>
  <x:si>
    <x:t xml:space="preserve">Recortar y sellar en B03 la reserva del sifón con las piezas reales (100 × 270 ilustrativa).</x:t>
  </x:si>
  <x:si>
    <x:t xml:space="preserve">Armado</x:t>
  </x:si>
  <x:si>
    <x:t xml:space="preserve">Taller / plomero</x:t>
  </x:si>
  <x:si>
    <x:t xml:space="preserve">Suspensión del mueble</x:t>
  </x:si>
  <x:si>
    <x:t xml:space="preserve">Dos soportes al muro resistente que carguen mueble, granito, agua y equipos: tipo de muro, herraje y tornillos. No colgar nada del fondo de 6 mm.</x:t>
  </x:si>
  <x:si>
    <x:t xml:space="preserve">Instalador</x:t>
  </x:si>
  <x:si>
    <x:t xml:space="preserve">Gabinete del espejo</x:t>
  </x:si>
  <x:si>
    <x:t xml:space="preserve">Comprobar las bisagras HBM897-01 con la puerta de ≈2,8 kg (RH + espejo): capacidad, plantilla y poco fondo; fijar a la estructura. Espesor del espejo y adhesivo con el vidriero.</x:t>
  </x:si>
  <x:si>
    <x:t xml:space="preserve">Compra de bisagras y espejo</x:t>
  </x:si>
  <x:si>
    <x:t xml:space="preserve">Proveedor / vidriero</x:t>
  </x:si>
  <x:si>
    <x:t xml:space="preserve">Ubicación en la terraza</x:t>
  </x:si>
  <x:si>
    <x:t xml:space="preserve">Comprobar holguras y apertura real en la pared del sanitario (x = 2,12 m, giro 90°).</x:t>
  </x:si>
  <x:si>
    <x:t xml:space="preserve">Medición en obra</x:t>
  </x:si>
  <x:si>
    <x:t xml:space="preserve">Decisiones aplicadas · baño</x:t>
  </x:si>
  <x:si>
    <x:t xml:space="preserve">Registro de lo ya resuelto; el despiece y el 3D ya lo reflejan.</x:t>
  </x:si>
  <x:si>
    <x:t xml:space="preserve">Decisión</x:t>
  </x:si>
  <x:si>
    <x:t xml:space="preserve">Fecha / fuente</x:t>
  </x:si>
  <x:si>
    <x:t xml:space="preserve">Medidas inferiores</x:t>
  </x:si>
  <x:si>
    <x:t xml:space="preserve">Cuerpo de 52 cm de ancho, 47 de alto y 45 de fondo sin puertas; base a 26 cm del suelo. Las puertas añaden 15 mm al fondo.</x:t>
  </x:si>
  <x:si>
    <x:t xml:space="preserve">Medidas del usuario, 27/10/2026.</x:t>
  </x:si>
  <x:si>
    <x:t xml:space="preserve">Gabinete superior</x:t>
  </x:si>
  <x:si>
    <x:t xml:space="preserve">45 × 50 × 13 cm totales. Tapa portadora de 32 × 50 en RH15 con espejo de 3 mm provisional; fondo blanco RH6.</x:t>
  </x:si>
  <x:si>
    <x:t xml:space="preserve">Medidas y fotos del usuario.</x:t>
  </x:si>
  <x:si>
    <x:t xml:space="preserve">RH15 Cartagena como cocina y clóset; fondo blanco RH6.</x:t>
  </x:si>
  <x:si>
    <x:t xml:space="preserve">Decisión del usuario.</x:t>
  </x:si>
  <x:si>
    <x:t xml:space="preserve">Cantos completos</x:t>
  </x:si>
  <x:si>
    <x:t xml:space="preserve">Decisión del usuario 27/10/2026.</x:t>
  </x:si>
  <x:si>
    <x:t xml:space="preserve">Compra conjunta</x:t>
  </x:si>
  <x:si>
    <x:t xml:space="preserve">Tablero, fondo, canto y bisagras se compran con cocina y clóset (compras-proyecto.xlsx): las piezas RH15 de los tres muebles caben en 8 láminas y el fondo del gabinete en la lámina de fondo de la cocina.</x:t>
  </x:si>
  <x:si>
    <x:t xml:space="preserve">Encaje conjunto del 27/10/2026.</x:t>
  </x:si>
  <x:si>
    <x:t xml:space="preserve">Ubicación</x:t>
  </x:si>
  <x:si>
    <x:t xml:space="preserve">Pared del sanitario, x = 2,12 m, giro 90°, con el extremo del granito en la esquina z = 2,20 m; ya no va en la pared de la puerta.</x:t>
  </x:si>
  <x:si>
    <x:t xml:space="preserve">Modelo general de la terraza.</x:t>
  </x:si>
  <x:si>
    <x:t xml:space="preserve">Disco para la diagonal de B06</x:t>
  </x:si>
  <x:si>
    <x:t xml:space="preserve">Diablo Ultra Finish 7-1/4" con corte de 0,059" (≈1,5 mm). La holgura resultante (≈0,6 mm) queda como pendiente.</x:t>
  </x:si>
  <x:si>
    <x:t xml:space="preserve">Dato del usuario 27/10/2026</x:t>
  </x:si>
</x:sst>
</file>

<file path=xl/styles.xml><?xml version="1.0" encoding="utf-8"?>
<x:styleSheet xmlns:x="http://schemas.openxmlformats.org/spreadsheetml/2006/main">
  <x:numFmts count="3">
    <x:numFmt numFmtId="164" formatCode="0.000000"/>
    <x:numFmt numFmtId="165" formatCode="0.000"/>
    <x:numFmt numFmtId="166" formatCode="&quot;$&quot;#,##0"/>
  </x:numFmts>
  <x:fonts count="7">
    <x:font>
      <x:sz val="11"/>
      <x:name val="Carlito"/>
    </x:font>
    <x:font>
      <x:sz val="10"/>
      <x:name val="Arial"/>
    </x:font>
    <x:font>
      <x:sz val="17"/>
      <x:name val="Arial"/>
    </x:font>
    <x:font>
      <x:b/>
      <x:sz val="10"/>
      <x:color rgb="FFFFFFFF"/>
      <x:name val="Arial"/>
    </x:font>
    <x:font>
      <x:b/>
      <x:sz val="14"/>
      <x:name val="Carlito"/>
    </x:font>
    <x:font>
      <x:i/>
      <x:sz val="11"/>
      <x:name val="Carlito"/>
    </x:font>
    <x:font>
      <x:b/>
      <x:sz val="11"/>
      <x:color rgb="FFFFFFFF"/>
      <x:name val="Carlito"/>
    </x:font>
  </x:fonts>
  <x:fills count="5">
    <x:fill>
      <x:patternFill patternType="none"/>
    </x:fill>
    <x:fill>
      <x:patternFill patternType="gray125"/>
    </x:fill>
    <x:fill>
      <x:patternFill patternType="solid">
        <x:fgColor rgb="FF253B35"/>
      </x:patternFill>
    </x:fill>
    <x:fill>
      <x:patternFill patternType="solid">
        <x:fgColor rgb="FFEAF0E3"/>
      </x:patternFill>
    </x:fill>
    <x:fill>
      <x:patternFill patternType="solid">
        <x:fgColor rgb="FF253B35"/>
      </x:patternFill>
    </x:fill>
  </x:fills>
  <x:borders count="2">
    <x:border>
      <x:left/>
      <x:right/>
      <x:top/>
      <x:bottom/>
      <x:diagonal/>
    </x:border>
    <x:border>
      <x:left style="thin">
        <x:color rgb="FFD3DCD9"/>
      </x:left>
      <x:right style="thin">
        <x:color rgb="FFD3DCD9"/>
      </x:right>
      <x:top style="thin">
        <x:color rgb="FFD3DCD9"/>
      </x:top>
      <x:bottom style="thin">
        <x:color rgb="FFD3DCD9"/>
      </x:bottom>
      <x:diagonal/>
    </x:border>
  </x:borders>
  <x:cellStyleXfs count="1">
    <x:xf numFmtId="0" fontId="0" fillId="0" borderId="0"/>
  </x:cellStyleXfs>
  <x:cellXfs count="22">
    <x:xf numFmtId="0" fontId="0" fillId="0" borderId="0" xfId="0"/>
    <x:xf numFmtId="0" fontId="1" fillId="0" borderId="0" xfId="0" applyFont="1" applyAlignment="1">
      <x:alignment vertical="center"/>
    </x:xf>
    <x:xf numFmtId="0" fontId="2" fillId="0" borderId="0" xfId="0" applyFont="1" applyAlignment="1">
      <x:alignment vertical="center"/>
    </x:xf>
    <x:xf numFmtId="0" fontId="3" fillId="2" borderId="0" xfId="0" applyFont="1" applyFill="1" applyAlignment="1">
      <x:alignment vertical="center" wrapText="1"/>
    </x:xf>
    <x:xf numFmtId="0" fontId="1" fillId="0" borderId="0" xfId="0" applyFont="1" applyAlignment="1">
      <x:alignment vertical="center" wrapText="1"/>
    </x:xf>
    <x:xf numFmtId="164" fontId="1" fillId="0" borderId="0" xfId="0" applyNumberFormat="1" applyFont="1" applyAlignment="1">
      <x:alignment vertical="center"/>
    </x:xf>
    <x:xf numFmtId="2" fontId="1" fillId="0" borderId="0" xfId="0" applyNumberFormat="1" applyFont="1" applyAlignment="1">
      <x:alignment vertical="center"/>
    </x:xf>
    <x:xf numFmtId="165" fontId="1" fillId="0" borderId="0" xfId="0" applyNumberFormat="1" applyFont="1" applyAlignment="1">
      <x:alignment vertical="center"/>
    </x:xf>
    <x:xf numFmtId="0" fontId="1" fillId="3" borderId="0" xfId="0" applyFont="1" applyFill="1" applyAlignment="1">
      <x:alignment vertical="center"/>
    </x:xf>
    <x:xf numFmtId="166" fontId="1" fillId="0" borderId="0" xfId="0" applyNumberFormat="1" applyFont="1" applyAlignment="1">
      <x:alignment vertical="center"/>
    </x:xf>
    <x:xf numFmtId="166" fontId="1" fillId="3" borderId="0" xfId="0" applyNumberFormat="1" applyFont="1" applyFill="1" applyAlignment="1">
      <x:alignment vertical="center"/>
    </x:xf>
    <x:xf numFmtId="49" fontId="1" fillId="0" borderId="0" xfId="0" applyNumberFormat="1" applyFont="1" applyAlignment="1">
      <x:alignment vertical="center"/>
    </x:xf>
    <x:xf numFmtId="49" fontId="1" fillId="0" borderId="0" xfId="0" applyNumberFormat="1" applyFont="1" applyAlignment="1">
      <x:alignment vertical="center" wrapText="1"/>
    </x:xf>
    <x:xf numFmtId="49" fontId="1" fillId="3" borderId="0" xfId="0" applyNumberFormat="1" applyFont="1" applyFill="1" applyAlignment="1">
      <x:alignment vertical="center" wrapText="1"/>
    </x:xf>
    <x:xf numFmtId="49" fontId="6" fillId="4" borderId="1" xfId="0" applyNumberFormat="1" applyFont="1" applyFill="1" applyBorder="1" applyAlignment="1">
      <x:alignment vertical="top" wrapText="1"/>
    </x:xf>
    <x:xf numFmtId="0" fontId="0" fillId="0" borderId="1" xfId="0" applyBorder="1" applyAlignment="1">
      <x:alignment vertical="top" wrapText="1"/>
    </x:xf>
    <x:xf numFmtId="49" fontId="0" fillId="0" borderId="1" xfId="0" applyNumberFormat="1" applyBorder="1" applyAlignment="1">
      <x:alignment vertical="top" wrapText="1"/>
    </x:xf>
    <x:xf numFmtId="49" fontId="4" fillId="0" borderId="0" xfId="0" applyNumberFormat="1" applyFont="1"/>
    <x:xf numFmtId="49" fontId="5" fillId="0" borderId="0" xfId="0" applyNumberFormat="1" applyFont="1"/>
    <x:xf numFmtId="0" fontId="1" fillId="0" borderId="0" xfId="0" applyFont="1" applyAlignment="1">
      <x:alignment vertical="center"/>
    </x:xf>
    <x:xf numFmtId="49" fontId="1" fillId="0" borderId="0" xfId="0" applyNumberFormat="1" applyFont="1" applyFill="1" applyBorder="1" applyAlignment="1">
      <x:alignment vertical="center" wrapText="1"/>
    </x:xf>
    <x:xf numFmtId="49" fontId="0" fillId="0"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fd191afee3d4a98" /><Relationship Type="http://schemas.openxmlformats.org/officeDocument/2006/relationships/theme" Target="/xl/theme/theme1.xml" Id="R950171f115d04cf5" /><Relationship Type="http://schemas.openxmlformats.org/officeDocument/2006/relationships/sharedStrings" Target="/xl/sharedStrings.xml" Id="R14845edeb1e94d3b" /><Relationship Type="http://schemas.openxmlformats.org/officeDocument/2006/relationships/worksheet" Target="/xl/worksheets/sheet1.xml" Id="R1f203a39437e40d3" /><Relationship Type="http://schemas.openxmlformats.org/officeDocument/2006/relationships/worksheet" Target="/xl/worksheets/sheet2.xml" Id="Ree5ab7d6bb8c4695" /><Relationship Type="http://schemas.openxmlformats.org/officeDocument/2006/relationships/worksheet" Target="/xl/worksheets/sheet3.xml" Id="R287fc5ceaf314cb7" /><Relationship Type="http://schemas.openxmlformats.org/officeDocument/2006/relationships/worksheet" Target="/xl/worksheets/sheet4.xml" Id="Rf08fc2837e274973" /><Relationship Type="http://schemas.openxmlformats.org/officeDocument/2006/relationships/worksheet" Target="/xl/worksheets/sheet5.xml" Id="Rb19bd3dee9234783" /><Relationship Type="http://schemas.openxmlformats.org/officeDocument/2006/relationships/worksheet" Target="/xl/worksheets/sheet6.xml" Id="Rf7a2641ae61e41a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796875" defaultRowHeight="13.800000190734863"/>
  <x:cols>
    <x:col min="1" max="1" width="9" customWidth="1"/>
    <x:col min="2" max="2" width="12" customWidth="1"/>
    <x:col min="3" max="3" width="35" customWidth="1"/>
    <x:col min="4" max="4" width="26" customWidth="1"/>
    <x:col min="5" max="5" width="10" customWidth="1"/>
    <x:col min="6" max="6" width="14" customWidth="1"/>
    <x:col min="7" max="7" width="13" customWidth="1"/>
    <x:col min="8" max="8" width="12" customWidth="1"/>
    <x:col min="9" max="9" width="13" customWidth="1"/>
    <x:col min="10" max="13" width="12" customWidth="1"/>
    <x:col min="14" max="15" width="16" customWidth="1"/>
    <x:col min="16" max="16" width="83" customWidth="1"/>
  </x:cols>
  <x:sheetData>
    <x:row r="1">
      <x:c r="A1" s="1"/>
      <x:c r="B1" s="1"/>
      <x:c r="C1" s="1"/>
      <x:c r="D1" s="1"/>
      <x:c r="E1" s="1"/>
      <x:c r="F1" s="1"/>
      <x:c r="G1" s="1"/>
      <x:c r="H1" s="1"/>
      <x:c r="I1" s="1"/>
      <x:c r="J1" s="1"/>
      <x:c r="K1" s="1"/>
      <x:c r="L1" s="1"/>
      <x:c r="M1" s="1"/>
      <x:c r="N1" s="1"/>
      <x:c r="O1" s="1"/>
      <x:c r="P1" s="1"/>
    </x:row>
    <x:row r="2" ht="21">
      <x:c r="A2" s="2" t="s">
        <x:v>0</x:v>
      </x:c>
      <x:c r="B2" s="1"/>
      <x:c r="C2" s="1"/>
      <x:c r="D2" s="1"/>
      <x:c r="E2" s="1"/>
      <x:c r="F2" s="1"/>
      <x:c r="G2" s="1"/>
      <x:c r="H2" s="1"/>
      <x:c r="I2" s="1"/>
      <x:c r="J2" s="1"/>
      <x:c r="K2" s="1"/>
      <x:c r="L2" s="1"/>
      <x:c r="M2" s="1"/>
      <x:c r="N2" s="1"/>
      <x:c r="O2" s="1"/>
      <x:c r="P2" s="1"/>
    </x:row>
    <x:row r="3">
      <x:c r="A3" s="11" t="s">
        <x:v>1</x:v>
      </x:c>
      <x:c r="B3" s="1"/>
      <x:c r="C3" s="1"/>
      <x:c r="D3" s="1"/>
      <x:c r="E3" s="1"/>
      <x:c r="F3" s="1"/>
      <x:c r="G3" s="1"/>
      <x:c r="H3" s="1"/>
      <x:c r="I3" s="1"/>
      <x:c r="J3" s="1"/>
      <x:c r="K3" s="1"/>
      <x:c r="L3" s="1"/>
      <x:c r="M3" s="1"/>
      <x:c r="N3" s="1"/>
      <x:c r="O3" s="1"/>
      <x:c r="P3" s="1"/>
    </x:row>
    <x:row r="4">
      <x:c r="A4" s="1" t="s">
        <x:v>2</x:v>
      </x:c>
      <x:c r="B4" s="1"/>
      <x:c r="C4" s="1"/>
      <x:c r="D4" s="1"/>
      <x:c r="E4" s="1"/>
      <x:c r="F4" s="1"/>
      <x:c r="G4" s="1"/>
      <x:c r="H4" s="1"/>
      <x:c r="I4" s="1"/>
      <x:c r="J4" s="1"/>
      <x:c r="K4" s="1"/>
      <x:c r="L4" s="1"/>
      <x:c r="M4" s="1"/>
      <x:c r="N4" s="1"/>
      <x:c r="O4" s="1"/>
      <x:c r="P4" s="1"/>
    </x:row>
    <x:row r="5">
      <x:c r="A5" s="1"/>
      <x:c r="B5" s="1"/>
      <x:c r="C5" s="1"/>
      <x:c r="D5" s="1"/>
      <x:c r="E5" s="1"/>
      <x:c r="F5" s="1"/>
      <x:c r="G5" s="1"/>
      <x:c r="H5" s="1"/>
      <x:c r="I5" s="1"/>
      <x:c r="J5" s="1"/>
      <x:c r="K5" s="1"/>
      <x:c r="L5" s="1"/>
      <x:c r="M5" s="1"/>
      <x:c r="N5" s="1"/>
      <x:c r="O5" s="1"/>
      <x:c r="P5" s="1"/>
    </x:row>
    <x:row r="6" ht="42" customHeight="1">
      <x:c r="A6" s="3" t="s">
        <x:v>3</x:v>
      </x:c>
      <x:c r="B6" s="3" t="s">
        <x:v>4</x:v>
      </x:c>
      <x:c r="C6" s="3" t="s">
        <x:v>5</x:v>
      </x:c>
      <x:c r="D6" s="3" t="s">
        <x:v>6</x:v>
      </x:c>
      <x:c r="E6" s="3" t="s">
        <x:v>7</x:v>
      </x:c>
      <x:c r="F6" s="3" t="s">
        <x:v>8</x:v>
      </x:c>
      <x:c r="G6" s="3" t="s">
        <x:v>9</x:v>
      </x:c>
      <x:c r="H6" s="3" t="s">
        <x:v>10</x:v>
      </x:c>
      <x:c r="I6" s="3" t="s">
        <x:v>11</x:v>
      </x:c>
      <x:c r="J6" s="3" t="s">
        <x:v>12</x:v>
      </x:c>
      <x:c r="K6" s="3" t="s">
        <x:v>13</x:v>
      </x:c>
      <x:c r="L6" s="3" t="s">
        <x:v>14</x:v>
      </x:c>
      <x:c r="M6" s="3" t="s">
        <x:v>15</x:v>
      </x:c>
      <x:c r="N6" s="3" t="s">
        <x:v>16</x:v>
      </x:c>
      <x:c r="O6" s="3" t="s">
        <x:v>17</x:v>
      </x:c>
      <x:c r="P6" s="3" t="s">
        <x:v>18</x:v>
      </x:c>
    </x:row>
    <x:row r="7" ht="66" customHeight="1">
      <x:c r="A7" s="1" t="s">
        <x:v>19</x:v>
      </x:c>
      <x:c r="B7" s="1" t="s">
        <x:v>20</x:v>
      </x:c>
      <x:c r="C7" s="4" t="s">
        <x:v>21</x:v>
      </x:c>
      <x:c r="D7" s="4" t="s">
        <x:v>22</x:v>
      </x:c>
      <x:c r="E7" s="1">
        <x:v>2</x:v>
      </x:c>
      <x:c r="F7" s="1">
        <x:v>470</x:v>
      </x:c>
      <x:c r="G7" s="1">
        <x:v>450</x:v>
      </x:c>
      <x:c r="H7" s="1">
        <x:v>15</x:v>
      </x:c>
      <x:c r="I7" s="5" t="n">
        <x:f t="shared" ref="I7:I21" si="0">E7*F7*G7/1000000</x:f>
        <x:v>0.423</x:v>
      </x:c>
      <x:c r="J7" s="1" t="str">
        <x:v>0.45</x:v>
      </x:c>
      <x:c r="K7" s="1" t="str">
        <x:v>0.45</x:v>
      </x:c>
      <x:c r="L7" s="1" t="str">
        <x:v>0.45</x:v>
      </x:c>
      <x:c r="M7" s="1" t="str">
        <x:v>0.45</x:v>
      </x:c>
      <x:c r="N7" s="6" t="n">
        <x:f t="shared" ref="N7:N21" si="1">F7-IF(L7="2",2,IF(L7="0.45",0.45,0))-IF(M7="2",2,IF(M7="0.45",0.45,0))</x:f>
        <x:v>469.1</x:v>
      </x:c>
      <x:c r="O7" s="6" t="n">
        <x:f t="shared" ref="O7:O21" si="2">G7-IF(J7="2",2,IF(J7="0.45",0.45,0))-IF(K7="2",2,IF(K7="0.45",0.45,0))</x:f>
        <x:v>449.1</x:v>
      </x:c>
      <x:c r="P7" s="4" t="str">
        <x:v>Zona húmeda: proteger todos los bordes y sellar perforaciones; dimensiones terminadas. Canto flexible 0,45 mm en todo el perímetro; mantener sellados recortes y perforaciones.</x:v>
      </x:c>
    </x:row>
    <x:row r="8" ht="66" customHeight="1">
      <x:c r="A8" s="1" t="s">
        <x:v>23</x:v>
      </x:c>
      <x:c r="B8" s="1" t="s">
        <x:v>20</x:v>
      </x:c>
      <x:c r="C8" s="4" t="s">
        <x:v>24</x:v>
      </x:c>
      <x:c r="D8" s="4" t="s">
        <x:v>22</x:v>
      </x:c>
      <x:c r="E8" s="1">
        <x:v>1</x:v>
      </x:c>
      <x:c r="F8" s="1">
        <x:v>490</x:v>
      </x:c>
      <x:c r="G8" s="1">
        <x:v>450</x:v>
      </x:c>
      <x:c r="H8" s="1">
        <x:v>15</x:v>
      </x:c>
      <x:c r="I8" s="5" t="n">
        <x:f t="shared" si="0">E8*F8*G8/1000000</x:f>
        <x:v>0.2205</x:v>
      </x:c>
      <x:c r="J8" s="1" t="str">
        <x:v>0.45</x:v>
      </x:c>
      <x:c r="K8" s="1" t="str">
        <x:v>0.45</x:v>
      </x:c>
      <x:c r="L8" s="1" t="str">
        <x:v>0.45</x:v>
      </x:c>
      <x:c r="M8" s="1" t="str">
        <x:v>0.45</x:v>
      </x:c>
      <x:c r="N8" s="6" t="n">
        <x:f t="shared" si="1">F8-IF(L8="2",2,IF(L8="0.45",0.45,0))-IF(M8="2",2,IF(M8="0.45",0.45,0))</x:f>
        <x:v>489.1</x:v>
      </x:c>
      <x:c r="O8" s="6" t="n">
        <x:f t="shared" si="2">G8-IF(J8="2",2,IF(J8="0.45",0.45,0))-IF(K8="2",2,IF(K8="0.45",0.45,0))</x:f>
        <x:v>449.1</x:v>
      </x:c>
      <x:c r="P8" s="4" t="str">
        <x:v>Zona húmeda: proteger todos los bordes y sellar perforaciones; dimensiones terminadas. Canto flexible 0,45 mm en todo el perímetro; mantener sellados recortes y perforaciones.</x:v>
      </x:c>
    </x:row>
    <x:row r="9" ht="97.94999694824219" customHeight="1">
      <x:c r="A9" s="1" t="s">
        <x:v>25</x:v>
      </x:c>
      <x:c r="B9" s="1" t="s">
        <x:v>20</x:v>
      </x:c>
      <x:c r="C9" s="4" t="s">
        <x:v>26</x:v>
      </x:c>
      <x:c r="D9" s="4" t="s">
        <x:v>22</x:v>
      </x:c>
      <x:c r="E9" s="1">
        <x:v>1</x:v>
      </x:c>
      <x:c r="F9" s="1">
        <x:v>490</x:v>
      </x:c>
      <x:c r="G9" s="1">
        <x:v>405</x:v>
      </x:c>
      <x:c r="H9" s="1">
        <x:v>15</x:v>
      </x:c>
      <x:c r="I9" s="5" t="n">
        <x:f t="shared" si="0">E9*F9*G9/1000000</x:f>
        <x:v>0.19845</x:v>
      </x:c>
      <x:c r="J9" s="1" t="str">
        <x:v>0.45</x:v>
      </x:c>
      <x:c r="K9" s="1" t="str">
        <x:v>0.45</x:v>
      </x:c>
      <x:c r="L9" s="1" t="str">
        <x:v>0.45</x:v>
      </x:c>
      <x:c r="M9" s="1" t="str">
        <x:v>0.45</x:v>
      </x:c>
      <x:c r="N9" s="6" t="n">
        <x:f t="shared" si="1">F9-IF(L9="2",2,IF(L9="0.45",0.45,0))-IF(M9="2",2,IF(M9="0.45",0.45,0))</x:f>
        <x:v>489.1</x:v>
      </x:c>
      <x:c r="O9" s="6" t="n">
        <x:f t="shared" si="2">G9-IF(J9="2",2,IF(J9="0.45",0.45,0))-IF(K9="2",2,IF(K9="0.45",0.45,0))</x:f>
        <x:v>404.1</x:v>
      </x:c>
      <x:c r="P9" s="4" t="str">
        <x:v>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x:v>
      </x:c>
    </x:row>
    <x:row r="10" ht="66" customHeight="1">
      <x:c r="A10" s="1" t="s">
        <x:v>27</x:v>
      </x:c>
      <x:c r="B10" s="1" t="s">
        <x:v>20</x:v>
      </x:c>
      <x:c r="C10" s="4" t="s">
        <x:v>28</x:v>
      </x:c>
      <x:c r="D10" s="4" t="s">
        <x:v>22</x:v>
      </x:c>
      <x:c r="E10" s="1">
        <x:v>2</x:v>
      </x:c>
      <x:c r="F10" s="1">
        <x:v>195</x:v>
      </x:c>
      <x:c r="G10" s="1">
        <x:v>80</x:v>
      </x:c>
      <x:c r="H10" s="1">
        <x:v>15</x:v>
      </x:c>
      <x:c r="I10" s="5" t="n">
        <x:f t="shared" si="0">E10*F10*G10/1000000</x:f>
        <x:v>0.0312</x:v>
      </x:c>
      <x:c r="J10" s="1" t="str">
        <x:v>0.45</x:v>
      </x:c>
      <x:c r="K10" s="1" t="str">
        <x:v>0.45</x:v>
      </x:c>
      <x:c r="L10" s="1" t="str">
        <x:v>0.45</x:v>
      </x:c>
      <x:c r="M10" s="1" t="str">
        <x:v>0.45</x:v>
      </x:c>
      <x:c r="N10" s="6" t="n">
        <x:f t="shared" si="1">F10-IF(L10="2",2,IF(L10="0.45",0.45,0))-IF(M10="2",2,IF(M10="0.45",0.45,0))</x:f>
        <x:v>194.10000000000002</x:v>
      </x:c>
      <x:c r="O10" s="6" t="n">
        <x:f t="shared" si="2">G10-IF(J10="2",2,IF(J10="0.45",0.45,0))-IF(K10="2",2,IF(K10="0.45",0.45,0))</x:f>
        <x:v>79.1</x:v>
      </x:c>
      <x:c r="P10" s="4" t="str">
        <x:v>Zona húmeda: proteger todos los bordes y sellar perforaciones; dimensiones terminadas. De canto, interrumpido en el centro para tuberías; no es un colgador certificado. Canto flexible 0,45 mm en todo el perímetro; mantener sellados recortes y perforaciones.</x:v>
      </x:c>
    </x:row>
    <x:row r="11" ht="66" customHeight="1">
      <x:c r="A11" s="1" t="s">
        <x:v>29</x:v>
      </x:c>
      <x:c r="B11" s="1" t="s">
        <x:v>20</x:v>
      </x:c>
      <x:c r="C11" s="4" t="s">
        <x:v>30</x:v>
      </x:c>
      <x:c r="D11" s="4" t="s">
        <x:v>22</x:v>
      </x:c>
      <x:c r="E11" s="1">
        <x:v>1</x:v>
      </x:c>
      <x:c r="F11" s="1">
        <x:v>490</x:v>
      </x:c>
      <x:c r="G11" s="1">
        <x:v>80</x:v>
      </x:c>
      <x:c r="H11" s="1">
        <x:v>15</x:v>
      </x:c>
      <x:c r="I11" s="5" t="n">
        <x:f t="shared" si="0">E11*F11*G11/1000000</x:f>
        <x:v>0.0392</x:v>
      </x:c>
      <x:c r="J11" s="1" t="str">
        <x:v>0.45</x:v>
      </x:c>
      <x:c r="K11" s="1" t="str">
        <x:v>0.45</x:v>
      </x:c>
      <x:c r="L11" s="1" t="str">
        <x:v>0.45</x:v>
      </x:c>
      <x:c r="M11" s="1" t="str">
        <x:v>0.45</x:v>
      </x:c>
      <x:c r="N11" s="6" t="n">
        <x:f t="shared" si="1">F11-IF(L11="2",2,IF(L11="0.45",0.45,0))-IF(M11="2",2,IF(M11="0.45",0.45,0))</x:f>
        <x:v>489.1</x:v>
      </x:c>
      <x:c r="O11" s="6" t="n">
        <x:f t="shared" si="2">G11-IF(J11="2",2,IF(J11="0.45",0.45,0))-IF(K11="2",2,IF(K11="0.45",0.45,0))</x:f>
        <x:v>79.1</x:v>
      </x:c>
      <x:c r="P11" s="4" t="str">
        <x:v>Zona húmeda: proteger todos los bordes y sellar perforaciones; dimensiones terminadas. Define rigidez posterior; anclajes y uniones por dimensionar. Canto flexible 0,45 mm en todo el perímetro; mantener sellados recortes y perforaciones.</x:v>
      </x:c>
    </x:row>
    <x:row r="12" ht="97.94999694824219" customHeight="1">
      <x:c r="A12" s="1" t="s">
        <x:v>31</x:v>
      </x:c>
      <x:c r="B12" s="1" t="s">
        <x:v>20</x:v>
      </x:c>
      <x:c r="C12" s="4" t="s">
        <x:v>32</x:v>
      </x:c>
      <x:c r="D12" s="4" t="s">
        <x:v>22</x:v>
      </x:c>
      <x:c r="E12" s="1">
        <x:v>1</x:v>
      </x:c>
      <x:c r="F12" s="1">
        <x:v>299</x:v>
      </x:c>
      <x:c r="G12" s="1">
        <x:v>517</x:v>
      </x:c>
      <x:c r="H12" s="1">
        <x:v>15</x:v>
      </x:c>
      <x:c r="I12" s="5" t="n">
        <x:f t="shared" si="0">E12*F12*G12/1000000</x:f>
        <x:v>0.154583</x:v>
      </x:c>
      <x:c r="J12" s="1" t="str">
        <x:v>2</x:v>
      </x:c>
      <x:c r="K12" s="1" t="str">
        <x:v>2</x:v>
      </x:c>
      <x:c r="L12" s="1" t="str">
        <x:v>2</x:v>
      </x:c>
      <x:c r="M12" s="1" t="str">
        <x:v>2</x:v>
      </x:c>
      <x:c r="N12" s="6" t="n">
        <x:f t="shared" si="1">F12-IF(L12="2",2,IF(L12="0.45",0.45,0))-IF(M12="2",2,IF(M12="0.45",0.45,0))</x:f>
        <x:v>295</x:v>
      </x:c>
      <x:c r="O12" s="6" t="n">
        <x:f t="shared" si="2">G12-IF(J12="2",2,IF(J12="0.45",0.45,0))-IF(K12="2",2,IF(K12="0.45",0.45,0))</x:f>
        <x:v>513</x:v>
      </x:c>
      <x:c r="P12" s="12" t="str">
        <x:v>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x:v>
      </x:c>
    </x:row>
    <x:row r="13" ht="66" customHeight="1">
      <x:c r="A13" s="1" t="s">
        <x:v>33</x:v>
      </x:c>
      <x:c r="B13" s="1" t="s">
        <x:v>34</x:v>
      </x:c>
      <x:c r="C13" s="4" t="s">
        <x:v>35</x:v>
      </x:c>
      <x:c r="D13" s="4" t="s">
        <x:v>22</x:v>
      </x:c>
      <x:c r="E13" s="1">
        <x:v>2</x:v>
      </x:c>
      <x:c r="F13" s="1">
        <x:v>500</x:v>
      </x:c>
      <x:c r="G13" s="1">
        <x:v>105</x:v>
      </x:c>
      <x:c r="H13" s="1">
        <x:v>15</x:v>
      </x:c>
      <x:c r="I13" s="5" t="n">
        <x:f t="shared" si="0">E13*F13*G13/1000000</x:f>
        <x:v>0.105</x:v>
      </x:c>
      <x:c r="J13" s="1" t="str">
        <x:v>0.45</x:v>
      </x:c>
      <x:c r="K13" s="1" t="str">
        <x:v>0.45</x:v>
      </x:c>
      <x:c r="L13" s="1" t="str">
        <x:v>0.45</x:v>
      </x:c>
      <x:c r="M13" s="1" t="str">
        <x:v>0.45</x:v>
      </x:c>
      <x:c r="N13" s="6" t="n">
        <x:f t="shared" si="1">F13-IF(L13="2",2,IF(L13="0.45",0.45,0))-IF(M13="2",2,IF(M13="0.45",0.45,0))</x:f>
        <x:v>499.1</x:v>
      </x:c>
      <x:c r="O13" s="6" t="n">
        <x:f t="shared" si="2">G13-IF(J13="2",2,IF(J13="0.45",0.45,0))-IF(K13="2",2,IF(K13="0.45",0.45,0))</x:f>
        <x:v>104.1</x:v>
      </x:c>
      <x:c r="P13" s="4" t="str">
        <x:v>Zona húmeda: proteger todos los bordes y sellar perforaciones; dimensiones terminadas. Fondo total 130 mm con panel 6 mm, holgura frontal 1 mm, tapa RH15 y espejo 3 mm. Canto flexible 0,45 mm en todo el perímetro; mantener sellados recortes y perforaciones.</x:v>
      </x:c>
    </x:row>
    <x:row r="14" ht="66" customHeight="1">
      <x:c r="A14" s="1" t="s">
        <x:v>36</x:v>
      </x:c>
      <x:c r="B14" s="1" t="s">
        <x:v>34</x:v>
      </x:c>
      <x:c r="C14" s="4" t="s">
        <x:v>37</x:v>
      </x:c>
      <x:c r="D14" s="4" t="s">
        <x:v>22</x:v>
      </x:c>
      <x:c r="E14" s="1">
        <x:v>2</x:v>
      </x:c>
      <x:c r="F14" s="1">
        <x:v>420</x:v>
      </x:c>
      <x:c r="G14" s="1">
        <x:v>105</x:v>
      </x:c>
      <x:c r="H14" s="1">
        <x:v>15</x:v>
      </x:c>
      <x:c r="I14" s="5" t="n">
        <x:f t="shared" si="0">E14*F14*G14/1000000</x:f>
        <x:v>0.0882</x:v>
      </x:c>
      <x:c r="J14" s="1" t="str">
        <x:v>0.45</x:v>
      </x:c>
      <x:c r="K14" s="1" t="str">
        <x:v>0.45</x:v>
      </x:c>
      <x:c r="L14" s="1" t="str">
        <x:v>0.45</x:v>
      </x:c>
      <x:c r="M14" s="1" t="str">
        <x:v>0.45</x:v>
      </x:c>
      <x:c r="N14" s="6" t="n">
        <x:f t="shared" si="1">F14-IF(L14="2",2,IF(L14="0.45",0.45,0))-IF(M14="2",2,IF(M14="0.45",0.45,0))</x:f>
        <x:v>419.1</x:v>
      </x:c>
      <x:c r="O14" s="6" t="n">
        <x:f t="shared" si="2">G14-IF(J14="2",2,IF(J14="0.45",0.45,0))-IF(K14="2",2,IF(K14="0.45",0.45,0))</x:f>
        <x:v>104.1</x:v>
      </x:c>
      <x:c r="P14" s="4" t="str">
        <x:v>Zona húmeda: proteger todos los bordes y sellar perforaciones; dimensiones terminadas. Canto flexible 0,45 mm en todo el perímetro; mantener sellados recortes y perforaciones.</x:v>
      </x:c>
    </x:row>
    <x:row r="15" ht="66" customHeight="1">
      <x:c r="A15" s="1" t="s">
        <x:v>38</x:v>
      </x:c>
      <x:c r="B15" s="1" t="s">
        <x:v>34</x:v>
      </x:c>
      <x:c r="C15" s="4" t="s">
        <x:v>39</x:v>
      </x:c>
      <x:c r="D15" s="4" t="s">
        <x:v>22</x:v>
      </x:c>
      <x:c r="E15" s="1">
        <x:v>1</x:v>
      </x:c>
      <x:c r="F15" s="1">
        <x:v>470</x:v>
      </x:c>
      <x:c r="G15" s="1">
        <x:v>105</x:v>
      </x:c>
      <x:c r="H15" s="1">
        <x:v>15</x:v>
      </x:c>
      <x:c r="I15" s="5" t="n">
        <x:f t="shared" si="0">E15*F15*G15/1000000</x:f>
        <x:v>0.04935</x:v>
      </x:c>
      <x:c r="J15" s="1" t="str">
        <x:v>0.45</x:v>
      </x:c>
      <x:c r="K15" s="1" t="str">
        <x:v>0.45</x:v>
      </x:c>
      <x:c r="L15" s="1" t="str">
        <x:v>0.45</x:v>
      </x:c>
      <x:c r="M15" s="1" t="str">
        <x:v>0.45</x:v>
      </x:c>
      <x:c r="N15" s="6" t="n">
        <x:f t="shared" si="1">F15-IF(L15="2",2,IF(L15="0.45",0.45,0))-IF(M15="2",2,IF(M15="0.45",0.45,0))</x:f>
        <x:v>469.1</x:v>
      </x:c>
      <x:c r="O15" s="6" t="n">
        <x:f t="shared" si="2">G15-IF(J15="2",2,IF(J15="0.45",0.45,0))-IF(K15="2",2,IF(K15="0.45",0.45,0))</x:f>
        <x:v>104.1</x:v>
      </x:c>
      <x:c r="P15" s="4" t="str">
        <x:v>Zona húmeda: proteger todos los bordes y sellar perforaciones; dimensiones terminadas. Interior cerrado 290 mm; columna derecha abierta 115 mm. Canto flexible 0,45 mm en todo el perímetro; mantener sellados recortes y perforaciones.</x:v>
      </x:c>
    </x:row>
    <x:row r="16" ht="66" customHeight="1">
      <x:c r="A16" s="1" t="s">
        <x:v>40</x:v>
      </x:c>
      <x:c r="B16" s="1" t="s">
        <x:v>34</x:v>
      </x:c>
      <x:c r="C16" s="4" t="s">
        <x:v>41</x:v>
      </x:c>
      <x:c r="D16" s="4" t="s">
        <x:v>22</x:v>
      </x:c>
      <x:c r="E16" s="1">
        <x:v>2</x:v>
      </x:c>
      <x:c r="F16" s="1">
        <x:v>290</x:v>
      </x:c>
      <x:c r="G16" s="1">
        <x:v>100</x:v>
      </x:c>
      <x:c r="H16" s="1">
        <x:v>15</x:v>
      </x:c>
      <x:c r="I16" s="5" t="n">
        <x:f t="shared" si="0">E16*F16*G16/1000000</x:f>
        <x:v>0.058</x:v>
      </x:c>
      <x:c r="J16" s="1" t="str">
        <x:v>0.45</x:v>
      </x:c>
      <x:c r="K16" s="1" t="str">
        <x:v>0.45</x:v>
      </x:c>
      <x:c r="L16" s="1" t="str">
        <x:v>0.45</x:v>
      </x:c>
      <x:c r="M16" s="1" t="str">
        <x:v>0.45</x:v>
      </x:c>
      <x:c r="N16" s="6" t="n">
        <x:f t="shared" si="1">F16-IF(L16="2",2,IF(L16="0.45",0.45,0))-IF(M16="2",2,IF(M16="0.45",0.45,0))</x:f>
        <x:v>289.1</x:v>
      </x:c>
      <x:c r="O16" s="6" t="n">
        <x:f t="shared" si="2">G16-IF(J16="2",2,IF(J16="0.45",0.45,0))-IF(K16="2",2,IF(K16="0.45",0.45,0))</x:f>
        <x:v>99.1</x:v>
      </x:c>
      <x:c r="P16" s="4" t="str">
        <x:v>Zona húmeda: proteger todos los bordes y sellar perforaciones; dimensiones terminadas. Dos entrepaños fijos como la referencia. Canto flexible 0,45 mm en todo el perímetro; mantener sellados recortes y perforaciones.</x:v>
      </x:c>
    </x:row>
    <x:row r="17" ht="66" customHeight="1">
      <x:c r="A17" s="1" t="s">
        <x:v>42</x:v>
      </x:c>
      <x:c r="B17" s="1" t="s">
        <x:v>34</x:v>
      </x:c>
      <x:c r="C17" s="4" t="s">
        <x:v>43</x:v>
      </x:c>
      <x:c r="D17" s="4" t="s">
        <x:v>22</x:v>
      </x:c>
      <x:c r="E17" s="1">
        <x:v>1</x:v>
      </x:c>
      <x:c r="F17" s="1">
        <x:v>115</x:v>
      </x:c>
      <x:c r="G17" s="1">
        <x:v>100</x:v>
      </x:c>
      <x:c r="H17" s="1">
        <x:v>15</x:v>
      </x:c>
      <x:c r="I17" s="5" t="n">
        <x:f t="shared" si="0">E17*F17*G17/1000000</x:f>
        <x:v>0.0115</x:v>
      </x:c>
      <x:c r="J17" s="1" t="str">
        <x:v>0.45</x:v>
      </x:c>
      <x:c r="K17" s="1" t="str">
        <x:v>0.45</x:v>
      </x:c>
      <x:c r="L17" s="1" t="str">
        <x:v>0.45</x:v>
      </x:c>
      <x:c r="M17" s="1" t="str">
        <x:v>0.45</x:v>
      </x:c>
      <x:c r="N17" s="6" t="n">
        <x:f t="shared" si="1">F17-IF(L17="2",2,IF(L17="0.45",0.45,0))-IF(M17="2",2,IF(M17="0.45",0.45,0))</x:f>
        <x:v>114.1</x:v>
      </x:c>
      <x:c r="O17" s="6" t="n">
        <x:f t="shared" si="2">G17-IF(J17="2",2,IF(J17="0.45",0.45,0))-IF(K17="2",2,IF(K17="0.45",0.45,0))</x:f>
        <x:v>99.1</x:v>
      </x:c>
      <x:c r="P17" s="4" t="str">
        <x:v>Zona húmeda: proteger todos los bordes y sellar perforaciones; dimensiones terminadas. Canto flexible 0,45 mm en todo el perímetro; mantener sellados recortes y perforaciones.</x:v>
      </x:c>
    </x:row>
    <x:row r="18" ht="97.94999694824219" customHeight="1">
      <x:c r="A18" s="1" t="s">
        <x:v>44</x:v>
      </x:c>
      <x:c r="B18" s="1" t="s">
        <x:v>34</x:v>
      </x:c>
      <x:c r="C18" s="4" t="s">
        <x:v>45</x:v>
      </x:c>
      <x:c r="D18" s="4" t="s">
        <x:v>22</x:v>
      </x:c>
      <x:c r="E18" s="1">
        <x:v>1</x:v>
      </x:c>
      <x:c r="F18" s="1">
        <x:v>500</x:v>
      </x:c>
      <x:c r="G18" s="1">
        <x:v>320</x:v>
      </x:c>
      <x:c r="H18" s="1">
        <x:v>15</x:v>
      </x:c>
      <x:c r="I18" s="5" t="n">
        <x:f t="shared" si="0">E18*F18*G18/1000000</x:f>
        <x:v>0.16</x:v>
      </x:c>
      <x:c r="J18" s="1" t="str">
        <x:v>0.45</x:v>
      </x:c>
      <x:c r="K18" s="1" t="str">
        <x:v>0.45</x:v>
      </x:c>
      <x:c r="L18" s="1" t="str">
        <x:v>0.45</x:v>
      </x:c>
      <x:c r="M18" s="1" t="str">
        <x:v>0.45</x:v>
      </x:c>
      <x:c r="N18" s="6" t="n">
        <x:f t="shared" si="1">F18-IF(L18="2",2,IF(L18="0.45",0.45,0))-IF(M18="2",2,IF(M18="0.45",0.45,0))</x:f>
        <x:v>499.1</x:v>
      </x:c>
      <x:c r="O18" s="6" t="n">
        <x:f t="shared" si="2">G18-IF(J18="2",2,IF(J18="0.45",0.45,0))-IF(K18="2",2,IF(K18="0.45",0.45,0))</x:f>
        <x:v>319.1</x:v>
      </x:c>
      <x:c r="P18" s="4" t="str">
        <x:v>Medida exterior de referencia 320 × 500; espejo pegado en cara exterior. Dos bisagras candidatas, peso conjunto aproximado 2,8 kg sin herrajes. Validar holguras, cazoletas y adhesivo compatible con espejo. Canto flexible 0,45 mm en todo el perímetro; mantener sellados recortes y perforaciones.</x:v>
      </x:c>
    </x:row>
    <x:row r="19" ht="66" customHeight="1">
      <x:c r="A19" s="1" t="s">
        <x:v>46</x:v>
      </x:c>
      <x:c r="B19" s="1" t="s">
        <x:v>34</x:v>
      </x:c>
      <x:c r="C19" s="4" t="s">
        <x:v>47</x:v>
      </x:c>
      <x:c r="D19" s="4" t="s">
        <x:v>48</x:v>
      </x:c>
      <x:c r="E19" s="1">
        <x:v>1</x:v>
      </x:c>
      <x:c r="F19" s="1">
        <x:v>496</x:v>
      </x:c>
      <x:c r="G19" s="1">
        <x:v>446</x:v>
      </x:c>
      <x:c r="H19" s="1">
        <x:v>6</x:v>
      </x:c>
      <x:c r="I19" s="5" t="n">
        <x:f t="shared" si="0">E19*F19*G19/1000000</x:f>
        <x:v>0.221216</x:v>
      </x:c>
      <x:c r="J19" s="1" t="str">
        <x:v>0.45</x:v>
      </x:c>
      <x:c r="K19" s="1" t="str">
        <x:v>0.45</x:v>
      </x:c>
      <x:c r="L19" s="1" t="str">
        <x:v>0.45</x:v>
      </x:c>
      <x:c r="M19" s="1" t="str">
        <x:v>0.45</x:v>
      </x:c>
      <x:c r="N19" s="6" t="n">
        <x:f t="shared" si="1">F19-IF(L19="2",2,IF(L19="0.45",0.45,0))-IF(M19="2",2,IF(M19="0.45",0.45,0))</x:f>
        <x:v>495.1</x:v>
      </x:c>
      <x:c r="O19" s="6" t="n">
        <x:f t="shared" si="2">G19-IF(J19="2",2,IF(J19="0.45",0.45,0))-IF(K19="2",2,IF(K19="0.45",0.45,0))</x:f>
        <x:v>445.1</x:v>
      </x:c>
      <x:c r="P19" s="4" t="str">
        <x:v>Fondo aplicado por detrás, retranqueado 2 mm de los bordes. Reutilización de sobrantes de cocina solo se comprobará en la optimización conjunta final. No soporta el anclaje del gabinete. Canto flexible 0,45 mm en todo el perímetro; mantener sellados recortes y perforaciones.</x:v>
      </x:c>
    </x:row>
    <x:row r="20" ht="66" customHeight="1">
      <x:c r="A20" s="1" t="s">
        <x:v>49</x:v>
      </x:c>
      <x:c r="B20" s="1" t="s">
        <x:v>34</x:v>
      </x:c>
      <x:c r="C20" s="4" t="s">
        <x:v>50</x:v>
      </x:c>
      <x:c r="D20" s="4" t="s">
        <x:v>51</x:v>
      </x:c>
      <x:c r="E20" s="1">
        <x:v>1</x:v>
      </x:c>
      <x:c r="F20" s="1">
        <x:v>500</x:v>
      </x:c>
      <x:c r="G20" s="1">
        <x:v>320</x:v>
      </x:c>
      <x:c r="H20" s="1">
        <x:v>3</x:v>
      </x:c>
      <x:c r="I20" s="5" t="n">
        <x:f t="shared" si="0">E20*F20*G20/1000000</x:f>
        <x:v>0.16</x:v>
      </x:c>
      <x:c r="J20" s="1" t="s">
        <x:v>52</x:v>
      </x:c>
      <x:c r="K20" s="1" t="s">
        <x:v>52</x:v>
      </x:c>
      <x:c r="L20" s="1" t="s">
        <x:v>52</x:v>
      </x:c>
      <x:c r="M20" s="1" t="s">
        <x:v>52</x:v>
      </x:c>
      <x:c r="N20" s="6" t="n">
        <x:f t="shared" si="1">F20-IF(L20="2",2,IF(L20="0.45",0.45,0))-IF(M20="2",2,IF(M20="0.45",0.45,0))</x:f>
        <x:v>500</x:v>
      </x:c>
      <x:c r="O20" s="6" t="n">
        <x:f t="shared" si="2">G20-IF(J20="2",2,IF(J20="0.45",0.45,0))-IF(K20="2",2,IF(K20="0.45",0.45,0))</x:f>
        <x:v>320</x:v>
      </x:c>
      <x:c r="P20" s="4" t="s">
        <x:v>53</x:v>
      </x:c>
    </x:row>
    <x:row r="21" ht="66" customHeight="1">
      <x:c r="A21" s="1" t="s">
        <x:v>54</x:v>
      </x:c>
      <x:c r="B21" s="1" t="s">
        <x:v>20</x:v>
      </x:c>
      <x:c r="C21" s="4" t="s">
        <x:v>55</x:v>
      </x:c>
      <x:c r="D21" s="4" t="s">
        <x:v>56</x:v>
      </x:c>
      <x:c r="E21" s="1">
        <x:v>1</x:v>
      </x:c>
      <x:c r="F21" s="1">
        <x:v>550</x:v>
      </x:c>
      <x:c r="G21" s="1">
        <x:v>470</x:v>
      </x:c>
      <x:c r="H21" s="1">
        <x:v>20</x:v>
      </x:c>
      <x:c r="I21" s="5" t="n">
        <x:f t="shared" si="0">E21*F21*G21/1000000</x:f>
        <x:v>0.2585</x:v>
      </x:c>
      <x:c r="J21" s="1" t="s">
        <x:v>52</x:v>
      </x:c>
      <x:c r="K21" s="1" t="s">
        <x:v>52</x:v>
      </x:c>
      <x:c r="L21" s="1" t="s">
        <x:v>52</x:v>
      </x:c>
      <x:c r="M21" s="1" t="s">
        <x:v>52</x:v>
      </x:c>
      <x:c r="N21" s="6" t="n">
        <x:f t="shared" si="1">F21-IF(L21="2",2,IF(L21="0.45",0.45,0))-IF(M21="2",2,IF(M21="0.45",0.45,0))</x:f>
        <x:v>550</x:v>
      </x:c>
      <x:c r="O21" s="6" t="n">
        <x:f t="shared" si="2">G21-IF(J21="2",2,IF(J21="0.45",0.45,0))-IF(K21="2",2,IF(K21="0.45",0.45,0))</x:f>
        <x:v>470</x:v>
      </x:c>
      <x:c r="P21" s="4" t="s">
        <x:v>57</x:v>
      </x:c>
    </x:row>
    <x:row r="22">
      <x:c r="A22" s="1"/>
      <x:c r="B22" s="1"/>
      <x:c r="C22" s="1"/>
      <x:c r="D22" s="1"/>
      <x:c r="E22" s="1"/>
      <x:c r="F22" s="1"/>
      <x:c r="G22" s="1"/>
      <x:c r="H22" s="1"/>
      <x:c r="I22" s="1"/>
      <x:c r="J22" s="1"/>
      <x:c r="K22" s="1"/>
      <x:c r="L22" s="1"/>
      <x:c r="M22" s="1"/>
      <x:c r="N22" s="1"/>
      <x:c r="O22" s="1"/>
      <x:c r="P22" s="1"/>
    </x:row>
    <x:row r="23">
      <x:c r="A23" s="1"/>
      <x:c r="B23" s="1"/>
      <x:c r="C23" s="1"/>
      <x:c r="D23" s="1"/>
      <x:c r="E23" s="1"/>
      <x:c r="F23" s="1"/>
      <x:c r="G23" s="1"/>
      <x:c r="H23" s="1"/>
      <x:c r="I23" s="1"/>
      <x:c r="J23" s="1"/>
      <x:c r="K23" s="1"/>
      <x:c r="L23" s="1"/>
      <x:c r="M23" s="1"/>
      <x:c r="N23" s="1"/>
      <x:c r="O23" s="1"/>
      <x:c r="P23" s="1"/>
    </x:row>
    <x:row r="24">
      <x:c r="A24" s="19" t="s">
        <x:v>58</x:v>
      </x:c>
      <x:c r="B24" s="19"/>
      <x:c r="C24" s="19"/>
      <x:c r="D24" s="19"/>
      <x:c r="E24" s="1" t="n">
        <x:f>SUMIF(D7:D21,"RH15 Cartagena",E7:E21)</x:f>
        <x:v>17</x:v>
      </x:c>
      <x:c r="F24" s="1"/>
      <x:c r="G24" s="1"/>
      <x:c r="H24" s="1"/>
      <x:c r="I24" s="5" t="n">
        <x:f>SUMIF(D7:D21,"RH15 Cartagena",I7:I21)</x:f>
        <x:v>1.538983</x:v>
      </x:c>
      <x:c r="J24" s="1"/>
      <x:c r="K24" s="1"/>
      <x:c r="L24" s="1"/>
      <x:c r="M24" s="1"/>
      <x:c r="N24" s="1"/>
      <x:c r="O24" s="1"/>
      <x:c r="P24" s="1"/>
    </x:row>
    <x:row r="25">
      <x:c r="A25" s="19" t="s">
        <x:v>59</x:v>
      </x:c>
      <x:c r="B25" s="19"/>
      <x:c r="C25" s="19"/>
      <x:c r="D25" s="19"/>
      <x:c r="E25" s="1" t="n">
        <x:f>SUMIF(D7:D21,"Fondo melamina blanco RH6",E7:E21)</x:f>
        <x:v>1</x:v>
      </x:c>
      <x:c r="F25" s="1"/>
      <x:c r="G25" s="1"/>
      <x:c r="H25" s="1"/>
      <x:c r="I25" s="5" t="n">
        <x:f>SUMIF(D7:D21,"Fondo melamina blanco RH6",I7:I21)</x:f>
        <x:v>0.221216</x:v>
      </x:c>
      <x:c r="J25" s="1"/>
      <x:c r="K25" s="1"/>
      <x:c r="L25" s="1"/>
      <x:c r="M25" s="1"/>
      <x:c r="N25" s="1"/>
      <x:c r="O25" s="1"/>
      <x:c r="P25" s="1"/>
    </x:row>
    <x:row r="26">
      <x:c r="A26" s="1"/>
      <x:c r="B26" s="1"/>
      <x:c r="C26" s="1"/>
      <x:c r="D26" s="1"/>
      <x:c r="E26" s="1"/>
      <x:c r="F26" s="1"/>
      <x:c r="G26" s="1"/>
      <x:c r="H26" s="1"/>
      <x:c r="I26" s="1"/>
      <x:c r="J26" s="1"/>
      <x:c r="K26" s="1"/>
      <x:c r="L26" s="1"/>
      <x:c r="M26" s="1"/>
      <x:c r="N26" s="1"/>
      <x:c r="O26" s="1"/>
      <x:c r="P26" s="1"/>
    </x:row>
    <x:row r="27">
      <x:c r="A27" s="1"/>
      <x:c r="B27" s="1"/>
      <x:c r="C27" s="1"/>
      <x:c r="D27" s="1"/>
      <x:c r="E27" s="1"/>
      <x:c r="F27" s="1"/>
      <x:c r="G27" s="1"/>
      <x:c r="H27" s="1"/>
      <x:c r="I27" s="1"/>
      <x:c r="J27" s="1"/>
      <x:c r="K27" s="1"/>
      <x:c r="L27" s="1"/>
      <x:c r="M27" s="1"/>
      <x:c r="N27" s="1"/>
      <x:c r="O27" s="1"/>
      <x:c r="P27" s="1"/>
    </x:row>
    <x:row r="28">
      <x:c r="A28" s="1"/>
      <x:c r="B28" s="1"/>
      <x:c r="C28" s="1"/>
      <x:c r="D28" s="1"/>
      <x:c r="E28" s="1"/>
      <x:c r="F28" s="1"/>
      <x:c r="G28" s="1"/>
      <x:c r="H28" s="1"/>
      <x:c r="I28" s="1"/>
      <x:c r="J28" s="1"/>
      <x:c r="K28" s="1"/>
      <x:c r="L28" s="1"/>
      <x:c r="M28" s="1"/>
      <x:c r="N28" s="1"/>
      <x:c r="O28" s="1"/>
      <x:c r="P28" s="1"/>
    </x:row>
    <x:row r="29">
      <x:c r="A29" s="1"/>
      <x:c r="B29" s="1"/>
      <x:c r="C29" s="1"/>
      <x:c r="D29" s="1"/>
      <x:c r="E29" s="1"/>
      <x:c r="F29" s="1"/>
      <x:c r="G29" s="1"/>
      <x:c r="H29" s="1"/>
      <x:c r="I29" s="1"/>
      <x:c r="J29" s="1"/>
      <x:c r="K29" s="1"/>
      <x:c r="L29" s="1"/>
      <x:c r="M29" s="1"/>
      <x:c r="N29" s="1"/>
      <x:c r="O29" s="1"/>
      <x:c r="P29" s="1"/>
    </x:row>
    <x:row r="30">
      <x:c r="A30" s="1"/>
      <x:c r="B30" s="1"/>
      <x:c r="C30" s="1"/>
      <x:c r="D30" s="1"/>
      <x:c r="E30" s="1"/>
      <x:c r="F30" s="1"/>
      <x:c r="G30" s="1"/>
      <x:c r="H30" s="1"/>
      <x:c r="I30" s="1"/>
      <x:c r="J30" s="1"/>
      <x:c r="K30" s="1"/>
      <x:c r="L30" s="1"/>
      <x:c r="M30" s="1"/>
      <x:c r="N30" s="1"/>
      <x:c r="O30" s="1"/>
      <x:c r="P30" s="1"/>
    </x:row>
    <x:row r="31">
      <x:c r="A31" s="1"/>
      <x:c r="B31" s="1"/>
      <x:c r="C31" s="1"/>
      <x:c r="D31" s="1"/>
      <x:c r="E31" s="1"/>
      <x:c r="F31" s="1"/>
      <x:c r="G31" s="1"/>
      <x:c r="H31" s="1"/>
      <x:c r="I31" s="1"/>
      <x:c r="J31" s="1"/>
      <x:c r="K31" s="1"/>
      <x:c r="L31" s="1"/>
      <x:c r="M31" s="1"/>
      <x:c r="N31" s="1"/>
      <x:c r="O31" s="1"/>
      <x:c r="P31" s="1"/>
    </x:row>
    <x:row r="32">
      <x:c r="A32" s="1"/>
      <x:c r="B32" s="1"/>
      <x:c r="C32" s="1"/>
      <x:c r="D32" s="1"/>
      <x:c r="E32" s="1"/>
      <x:c r="F32" s="1"/>
      <x:c r="G32" s="1"/>
      <x:c r="H32" s="1"/>
      <x:c r="I32" s="1"/>
      <x:c r="J32" s="1"/>
      <x:c r="K32" s="1"/>
      <x:c r="L32" s="1"/>
      <x:c r="M32" s="1"/>
      <x:c r="N32" s="1"/>
      <x:c r="O32" s="1"/>
      <x:c r="P32" s="1"/>
    </x:row>
    <x:row r="33">
      <x:c r="A33" s="1"/>
      <x:c r="B33" s="1"/>
      <x:c r="C33" s="1"/>
      <x:c r="D33" s="1"/>
      <x:c r="E33" s="1"/>
      <x:c r="F33" s="1"/>
      <x:c r="G33" s="1"/>
      <x:c r="H33" s="1"/>
      <x:c r="I33" s="1"/>
      <x:c r="J33" s="1"/>
      <x:c r="K33" s="1"/>
      <x:c r="L33" s="1"/>
      <x:c r="M33" s="1"/>
      <x:c r="N33" s="1"/>
      <x:c r="O33" s="1"/>
      <x:c r="P33" s="1"/>
    </x:row>
    <x:row r="34">
      <x:c r="A34" s="1"/>
      <x:c r="B34" s="1"/>
      <x:c r="C34" s="1"/>
      <x:c r="D34" s="1"/>
      <x:c r="E34" s="1"/>
      <x:c r="F34" s="1"/>
      <x:c r="G34" s="1"/>
      <x:c r="H34" s="1"/>
      <x:c r="I34" s="1"/>
      <x:c r="J34" s="1"/>
      <x:c r="K34" s="1"/>
      <x:c r="L34" s="1"/>
      <x:c r="M34" s="1"/>
      <x:c r="N34" s="1"/>
      <x:c r="O34" s="1"/>
      <x:c r="P34" s="1"/>
    </x:row>
    <x:row r="35">
      <x:c r="A35" s="1"/>
      <x:c r="B35" s="1"/>
      <x:c r="C35" s="1"/>
      <x:c r="D35" s="1"/>
      <x:c r="E35" s="1"/>
      <x:c r="F35" s="1"/>
      <x:c r="G35" s="1"/>
      <x:c r="H35" s="1"/>
      <x:c r="I35" s="1"/>
      <x:c r="J35" s="1"/>
      <x:c r="K35" s="1"/>
      <x:c r="L35" s="1"/>
      <x:c r="M35" s="1"/>
      <x:c r="N35" s="1"/>
      <x:c r="O35" s="1"/>
      <x:c r="P35" s="1"/>
    </x:row>
    <x:row r="36">
      <x:c r="A36" s="1"/>
      <x:c r="B36" s="1"/>
      <x:c r="C36" s="1"/>
      <x:c r="D36" s="1"/>
      <x:c r="E36" s="1"/>
      <x:c r="F36" s="1"/>
      <x:c r="G36" s="1"/>
      <x:c r="H36" s="1"/>
      <x:c r="I36" s="1"/>
      <x:c r="J36" s="1"/>
      <x:c r="K36" s="1"/>
      <x:c r="L36" s="1"/>
      <x:c r="M36" s="1"/>
      <x:c r="N36" s="1"/>
      <x:c r="O36" s="1"/>
      <x:c r="P36" s="1"/>
    </x:row>
    <x:row r="37">
      <x:c r="A37" s="1"/>
      <x:c r="B37" s="1"/>
      <x:c r="C37" s="1"/>
      <x:c r="D37" s="1"/>
      <x:c r="E37" s="1"/>
      <x:c r="F37" s="1"/>
      <x:c r="G37" s="1"/>
      <x:c r="H37" s="1"/>
      <x:c r="I37" s="1"/>
      <x:c r="J37" s="1"/>
      <x:c r="K37" s="1"/>
      <x:c r="L37" s="1"/>
      <x:c r="M37" s="1"/>
      <x:c r="N37" s="1"/>
      <x:c r="O37" s="1"/>
      <x:c r="P37" s="1"/>
    </x:row>
    <x:row r="38">
      <x:c r="A38" s="1"/>
      <x:c r="B38" s="1"/>
      <x:c r="C38" s="1"/>
      <x:c r="D38" s="1"/>
      <x:c r="E38" s="1"/>
      <x:c r="F38" s="1"/>
      <x:c r="G38" s="1"/>
      <x:c r="H38" s="1"/>
      <x:c r="I38" s="1"/>
      <x:c r="J38" s="1"/>
      <x:c r="K38" s="1"/>
      <x:c r="L38" s="1"/>
      <x:c r="M38" s="1"/>
      <x:c r="N38" s="1"/>
      <x:c r="O38" s="1"/>
      <x:c r="P38" s="1"/>
    </x:row>
    <x:row r="39">
      <x:c r="A39" s="1"/>
      <x:c r="B39" s="1"/>
      <x:c r="C39" s="1"/>
      <x:c r="D39" s="1"/>
      <x:c r="E39" s="1"/>
      <x:c r="F39" s="1"/>
      <x:c r="G39" s="1"/>
      <x:c r="H39" s="1"/>
      <x:c r="I39" s="1"/>
      <x:c r="J39" s="1"/>
      <x:c r="K39" s="1"/>
      <x:c r="L39" s="1"/>
      <x:c r="M39" s="1"/>
      <x:c r="N39" s="1"/>
      <x:c r="O39" s="1"/>
      <x:c r="P39" s="1"/>
    </x:row>
    <x:row r="40">
      <x:c r="A40" s="1"/>
      <x:c r="B40" s="1"/>
      <x:c r="C40" s="1"/>
      <x:c r="D40" s="1"/>
      <x:c r="E40" s="1"/>
      <x:c r="F40" s="1"/>
      <x:c r="G40" s="1"/>
      <x:c r="H40" s="1"/>
      <x:c r="I40" s="1"/>
      <x:c r="J40" s="1"/>
      <x:c r="K40" s="1"/>
      <x:c r="L40" s="1"/>
      <x:c r="M40" s="1"/>
      <x:c r="N40" s="1"/>
      <x:c r="O40" s="1"/>
      <x:c r="P40" s="1"/>
    </x:row>
    <x:row r="41">
      <x:c r="A41" s="1"/>
      <x:c r="B41" s="1"/>
      <x:c r="C41" s="1"/>
      <x:c r="D41" s="1"/>
      <x:c r="E41" s="1"/>
      <x:c r="F41" s="1"/>
      <x:c r="G41" s="1"/>
      <x:c r="H41" s="1"/>
      <x:c r="I41" s="1"/>
      <x:c r="J41" s="1"/>
      <x:c r="K41" s="1"/>
      <x:c r="L41" s="1"/>
      <x:c r="M41" s="1"/>
      <x:c r="N41" s="1"/>
      <x:c r="O41" s="1"/>
      <x:c r="P41" s="1"/>
    </x:row>
    <x:row r="42">
      <x:c r="A42" s="1"/>
      <x:c r="B42" s="1"/>
      <x:c r="C42" s="1"/>
      <x:c r="D42" s="1"/>
      <x:c r="E42" s="1"/>
      <x:c r="F42" s="1"/>
      <x:c r="G42" s="1"/>
      <x:c r="H42" s="1"/>
      <x:c r="I42" s="1"/>
      <x:c r="J42" s="1"/>
      <x:c r="K42" s="1"/>
      <x:c r="L42" s="1"/>
      <x:c r="M42" s="1"/>
      <x:c r="N42" s="1"/>
      <x:c r="O42" s="1"/>
      <x:c r="P42" s="1"/>
    </x:row>
    <x:row r="43">
      <x:c r="A43" s="1"/>
      <x:c r="B43" s="1"/>
      <x:c r="C43" s="1"/>
      <x:c r="D43" s="1"/>
      <x:c r="E43" s="1"/>
      <x:c r="F43" s="1"/>
      <x:c r="G43" s="1"/>
      <x:c r="H43" s="1"/>
      <x:c r="I43" s="1"/>
      <x:c r="J43" s="1"/>
      <x:c r="K43" s="1"/>
      <x:c r="L43" s="1"/>
      <x:c r="M43" s="1"/>
      <x:c r="N43" s="1"/>
      <x:c r="O43" s="1"/>
      <x:c r="P43" s="1"/>
    </x:row>
    <x:row r="44">
      <x:c r="A44" s="1"/>
      <x:c r="B44" s="1"/>
      <x:c r="C44" s="1"/>
      <x:c r="D44" s="1"/>
      <x:c r="E44" s="1"/>
      <x:c r="F44" s="1"/>
      <x:c r="G44" s="1"/>
      <x:c r="H44" s="1"/>
      <x:c r="I44" s="1"/>
      <x:c r="J44" s="1"/>
      <x:c r="K44" s="1"/>
      <x:c r="L44" s="1"/>
      <x:c r="M44" s="1"/>
      <x:c r="N44" s="1"/>
      <x:c r="O44" s="1"/>
      <x:c r="P44" s="1"/>
    </x:row>
    <x:row r="45">
      <x:c r="A45" s="1"/>
      <x:c r="B45" s="1"/>
      <x:c r="C45" s="1"/>
      <x:c r="D45" s="1"/>
      <x:c r="E45" s="1"/>
      <x:c r="F45" s="1"/>
      <x:c r="G45" s="1"/>
      <x:c r="H45" s="1"/>
      <x:c r="I45" s="1"/>
      <x:c r="J45" s="1"/>
      <x:c r="K45" s="1"/>
      <x:c r="L45" s="1"/>
      <x:c r="M45" s="1"/>
      <x:c r="N45" s="1"/>
      <x:c r="O45" s="1"/>
      <x:c r="P45" s="1"/>
    </x:row>
  </x:sheetData>
  <x:mergeCells>
    <x:mergeCell ref="A24:D24"/>
    <x:mergeCell ref="A25:D25"/>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796875" defaultRowHeight="13.800000190734863"/>
  <x:cols>
    <x:col min="1" max="1" width="9" customWidth="1"/>
    <x:col min="2" max="2" width="12" customWidth="1"/>
    <x:col min="3" max="3" width="35" customWidth="1"/>
    <x:col min="4" max="4" width="26" customWidth="1"/>
    <x:col min="5" max="5" width="10" customWidth="1"/>
    <x:col min="6" max="7" width="16" customWidth="1"/>
    <x:col min="8" max="11" width="12" customWidth="1"/>
    <x:col min="12" max="12" width="16" customWidth="1"/>
    <x:col min="13" max="13" width="22" customWidth="1"/>
    <x:col min="14" max="14" width="87" customWidth="1"/>
    <x:col min="16" max="16" width="55" customWidth="1"/>
    <x:col min="17" max="17" width="14" customWidth="1"/>
  </x:cols>
  <x:sheetData>
    <x:row r="1">
      <x:c r="A1" s="1"/>
      <x:c r="B1" s="1"/>
      <x:c r="C1" s="1"/>
      <x:c r="D1" s="1"/>
      <x:c r="E1" s="1"/>
      <x:c r="F1" s="1"/>
      <x:c r="G1" s="1"/>
      <x:c r="H1" s="1"/>
      <x:c r="I1" s="1"/>
      <x:c r="J1" s="1"/>
      <x:c r="K1" s="1"/>
      <x:c r="L1" s="1"/>
      <x:c r="M1" s="1"/>
      <x:c r="N1" s="1"/>
      <x:c r="O1" s="1"/>
      <x:c r="P1" s="1"/>
    </x:row>
    <x:row r="2" ht="21">
      <x:c r="A2" s="2" t="s">
        <x:v>60</x:v>
      </x:c>
      <x:c r="B2" s="1"/>
      <x:c r="C2" s="1"/>
      <x:c r="D2" s="1"/>
      <x:c r="E2" s="1"/>
      <x:c r="F2" s="1"/>
      <x:c r="G2" s="1"/>
      <x:c r="H2" s="1"/>
      <x:c r="I2" s="1"/>
      <x:c r="J2" s="1"/>
      <x:c r="K2" s="1"/>
      <x:c r="L2" s="1"/>
      <x:c r="M2" s="1"/>
      <x:c r="N2" s="1"/>
      <x:c r="O2" s="1"/>
      <x:c r="P2" s="1" t="s">
        <x:v>61</x:v>
      </x:c>
      <x:c r="Q2" t="s">
        <x:v>62</x:v>
      </x:c>
    </x:row>
    <x:row r="3">
      <x:c r="A3" s="1" t="str">
        <x:v>Medidas finales con canto incluido. R = rígido 2 mm; F = flexible 0,45 mm; — = sin canto. Un solo tipo por pieza; solo se cantean los bordes marcados.</x:v>
      </x:c>
      <x:c r="B3" s="1"/>
      <x:c r="C3" s="1"/>
      <x:c r="D3" s="1"/>
      <x:c r="E3" s="1"/>
      <x:c r="F3" s="1"/>
      <x:c r="G3" s="1"/>
      <x:c r="H3" s="1"/>
      <x:c r="I3" s="1"/>
      <x:c r="J3" s="1"/>
      <x:c r="K3" s="1"/>
      <x:c r="L3" s="1"/>
      <x:c r="M3" s="1"/>
      <x:c r="N3" s="1"/>
      <x:c r="O3" s="1"/>
      <x:c r="P3" s="1" t="s">
        <x:v>63</x:v>
      </x:c>
      <x:c r="Q3">
        <x:v>100</x:v>
      </x:c>
    </x:row>
    <x:row r="4">
      <x:c r="A4" s="1" t="s">
        <x:v>64</x:v>
      </x:c>
      <x:c r="B4" s="1"/>
      <x:c r="C4" s="1"/>
      <x:c r="D4" s="1"/>
      <x:c r="E4" s="1"/>
      <x:c r="F4" s="1"/>
      <x:c r="G4" s="1"/>
      <x:c r="H4" s="1"/>
      <x:c r="I4" s="1"/>
      <x:c r="J4" s="1"/>
      <x:c r="K4" s="1"/>
      <x:c r="L4" s="1"/>
      <x:c r="M4" s="1"/>
      <x:c r="N4" s="1"/>
      <x:c r="O4" s="1"/>
      <x:c r="P4" s="1" t="s">
        <x:v>65</x:v>
      </x:c>
      <x:c r="Q4">
        <x:v>250</x:v>
      </x:c>
    </x:row>
    <x:row r="5">
      <x:c r="A5" s="1"/>
      <x:c r="B5" s="1"/>
      <x:c r="C5" s="1"/>
      <x:c r="D5" s="1"/>
      <x:c r="E5" s="1"/>
      <x:c r="F5" s="1"/>
      <x:c r="G5" s="1"/>
      <x:c r="H5" s="1"/>
      <x:c r="I5" s="1"/>
      <x:c r="J5" s="1"/>
      <x:c r="K5" s="1"/>
      <x:c r="L5" s="1"/>
      <x:c r="M5" s="1"/>
      <x:c r="N5" s="1"/>
      <x:c r="O5" s="1"/>
      <x:c r="P5" s="1"/>
    </x:row>
    <x:row r="6" ht="42" customHeight="1">
      <x:c r="A6" s="3" t="s">
        <x:v>3</x:v>
      </x:c>
      <x:c r="B6" s="3" t="s">
        <x:v>4</x:v>
      </x:c>
      <x:c r="C6" s="3" t="s">
        <x:v>5</x:v>
      </x:c>
      <x:c r="D6" s="3" t="s">
        <x:v>6</x:v>
      </x:c>
      <x:c r="E6" s="3" t="s">
        <x:v>7</x:v>
      </x:c>
      <x:c r="F6" s="3" t="s">
        <x:v>66</x:v>
      </x:c>
      <x:c r="G6" s="3" t="s">
        <x:v>67</x:v>
      </x:c>
      <x:c r="H6" s="3" t="s">
        <x:v>68</x:v>
      </x:c>
      <x:c r="I6" s="3" t="s">
        <x:v>69</x:v>
      </x:c>
      <x:c r="J6" s="3" t="s">
        <x:v>70</x:v>
      </x:c>
      <x:c r="K6" s="3" t="s">
        <x:v>71</x:v>
      </x:c>
      <x:c r="L6" s="3" t="s">
        <x:v>72</x:v>
      </x:c>
      <x:c r="M6" s="3" t="s">
        <x:v>73</x:v>
      </x:c>
      <x:c r="N6" s="3" t="s">
        <x:v>74</x:v>
      </x:c>
      <x:c r="O6" s="1"/>
      <x:c r="P6" s="1"/>
    </x:row>
    <x:row r="7" ht="109.94999694824219" customHeight="1">
      <x:c r="A7" s="1" t="str">
        <x:f>Despiece!A7</x:f>
        <x:v>B01</x:v>
      </x:c>
      <x:c r="B7" s="1" t="str">
        <x:f>Despiece!B7</x:f>
        <x:v>BAJO</x:v>
      </x:c>
      <x:c r="C7" s="4" t="str">
        <x:f>Despiece!C7</x:f>
        <x:v>Lateral</x:v>
      </x:c>
      <x:c r="D7" s="4" t="str">
        <x:f>Despiece!D7</x:f>
        <x:v>RH15 Cartagena</x:v>
      </x:c>
      <x:c r="E7" s="1" t="n">
        <x:f>Despiece!E7</x:f>
        <x:v>2</x:v>
      </x:c>
      <x:c r="F7" s="6" t="n">
        <x:f>IF($Q$2="NO",ROUND(Despiece!N7,2),Despiece!F7)</x:f>
        <x:v>470</x:v>
      </x:c>
      <x:c r="G7" s="6" t="n">
        <x:f>IF($Q$2="NO",ROUND(Despiece!O7,2),Despiece!G7)</x:f>
        <x:v>450</x:v>
      </x:c>
      <x:c r="H7" s="1" t="str">
        <x:f>IF(Despiece!J7="2","R",IF(Despiece!J7="0.45","F","—"))</x:f>
        <x:v>F</x:v>
      </x:c>
      <x:c r="I7" s="1" t="str">
        <x:f>IF(Despiece!K7="2","R",IF(Despiece!K7="0.45","F","—"))</x:f>
        <x:v>F</x:v>
      </x:c>
      <x:c r="J7" s="1" t="str">
        <x:f>IF(Despiece!L7="2","R",IF(Despiece!L7="0.45","F","—"))</x:f>
        <x:v>F</x:v>
      </x:c>
      <x:c r="K7" s="1" t="str">
        <x:f>IF(Despiece!M7="2","R",IF(Despiece!M7="0.45","F","—"))</x:f>
        <x:v>F</x:v>
      </x:c>
      <x:c r="L7" s="1" t="str">
        <x:f>IF(SUMPRODUCT((Despiece!J7:M7="2")+(Despiece!J7:M7="0.45"))=0,"Sin canto",IF(OR(MIN(Despiece!N7,Despiece!O7)&lt;$Q$3,MAX(Despiece!N7,Despiece!O7)&lt;$Q$4),"Pequeña","Normal"))</x:f>
        <x:v>Normal</x:v>
      </x:c>
      <x:c r="M7" s="1" t="str">
        <x:f>Despiece!F7&amp;" × "&amp;Despiece!G7</x:f>
        <x:v>470 × 450</x:v>
      </x:c>
      <x:c r="N7" s="4" t="str">
        <x:f>IF(L7="Pequeña","Si no la cantean: cortar a "&amp;ROUND(Despiece!N7,2)&amp;" × "&amp;ROUND(Despiece!O7,2)&amp;" y cantear en taller. ","")&amp;Despiece!P7</x:f>
        <x:v>Zona húmeda: proteger todos los bordes y sellar perforaciones; dimensiones terminadas. Canto flexible 0,45 mm en todo el perímetro; mantener sellados recortes y perforaciones.</x:v>
      </x:c>
      <x:c r="O7" s="1"/>
      <x:c r="P7" s="1"/>
    </x:row>
    <x:row r="8" ht="109.94999694824219" customHeight="1">
      <x:c r="A8" s="1" t="str">
        <x:f>Despiece!A8</x:f>
        <x:v>B02</x:v>
      </x:c>
      <x:c r="B8" s="1" t="str">
        <x:f>Despiece!B8</x:f>
        <x:v>BAJO</x:v>
      </x:c>
      <x:c r="C8" s="4" t="str">
        <x:f>Despiece!C8</x:f>
        <x:v>Piso</x:v>
      </x:c>
      <x:c r="D8" s="4" t="str">
        <x:f>Despiece!D8</x:f>
        <x:v>RH15 Cartagena</x:v>
      </x:c>
      <x:c r="E8" s="1" t="n">
        <x:f>Despiece!E8</x:f>
        <x:v>1</x:v>
      </x:c>
      <x:c r="F8" s="6" t="n">
        <x:f>IF($Q$2="NO",ROUND(Despiece!N8,2),Despiece!F8)</x:f>
        <x:v>490</x:v>
      </x:c>
      <x:c r="G8" s="6" t="n">
        <x:f>IF($Q$2="NO",ROUND(Despiece!O8,2),Despiece!G8)</x:f>
        <x:v>450</x:v>
      </x:c>
      <x:c r="H8" s="1" t="str">
        <x:f>IF(Despiece!J8="2","R",IF(Despiece!J8="0.45","F","—"))</x:f>
        <x:v>F</x:v>
      </x:c>
      <x:c r="I8" s="1" t="str">
        <x:f>IF(Despiece!K8="2","R",IF(Despiece!K8="0.45","F","—"))</x:f>
        <x:v>F</x:v>
      </x:c>
      <x:c r="J8" s="1" t="str">
        <x:f>IF(Despiece!L8="2","R",IF(Despiece!L8="0.45","F","—"))</x:f>
        <x:v>F</x:v>
      </x:c>
      <x:c r="K8" s="1" t="str">
        <x:f>IF(Despiece!M8="2","R",IF(Despiece!M8="0.45","F","—"))</x:f>
        <x:v>F</x:v>
      </x:c>
      <x:c r="L8" s="1" t="str">
        <x:f>IF(SUMPRODUCT((Despiece!J8:M8="2")+(Despiece!J8:M8="0.45"))=0,"Sin canto",IF(OR(MIN(Despiece!N8,Despiece!O8)&lt;$Q$3,MAX(Despiece!N8,Despiece!O8)&lt;$Q$4),"Pequeña","Normal"))</x:f>
        <x:v>Normal</x:v>
      </x:c>
      <x:c r="M8" s="1" t="str">
        <x:f>Despiece!F8&amp;" × "&amp;Despiece!G8</x:f>
        <x:v>490 × 450</x:v>
      </x:c>
      <x:c r="N8" s="4" t="str">
        <x:f>IF(L8="Pequeña","Si no la cantean: cortar a "&amp;ROUND(Despiece!N8,2)&amp;" × "&amp;ROUND(Despiece!O8,2)&amp;" y cantear en taller. ","")&amp;Despiece!P8</x:f>
        <x:v>Zona húmeda: proteger todos los bordes y sellar perforaciones; dimensiones terminadas. Canto flexible 0,45 mm en todo el perímetro; mantener sellados recortes y perforaciones.</x:v>
      </x:c>
      <x:c r="O8" s="1"/>
      <x:c r="P8" s="1"/>
    </x:row>
    <x:row r="9" ht="109.94999694824219" customHeight="1">
      <x:c r="A9" s="1" t="str">
        <x:f>Despiece!A9</x:f>
        <x:v>B03</x:v>
      </x:c>
      <x:c r="B9" s="1" t="str">
        <x:f>Despiece!B9</x:f>
        <x:v>BAJO</x:v>
      </x:c>
      <x:c r="C9" s="4" t="str">
        <x:f>Despiece!C9</x:f>
        <x:v>Entrepaño retranqueado con reserva de sifón</x:v>
      </x:c>
      <x:c r="D9" s="4" t="str">
        <x:f>Despiece!D9</x:f>
        <x:v>RH15 Cartagena</x:v>
      </x:c>
      <x:c r="E9" s="1" t="n">
        <x:f>Despiece!E9</x:f>
        <x:v>1</x:v>
      </x:c>
      <x:c r="F9" s="6" t="n">
        <x:f>IF($Q$2="NO",ROUND(Despiece!N9,2),Despiece!F9)</x:f>
        <x:v>490</x:v>
      </x:c>
      <x:c r="G9" s="6" t="n">
        <x:f>IF($Q$2="NO",ROUND(Despiece!O9,2),Despiece!G9)</x:f>
        <x:v>405</x:v>
      </x:c>
      <x:c r="H9" s="1" t="str">
        <x:f>IF(Despiece!J9="2","R",IF(Despiece!J9="0.45","F","—"))</x:f>
        <x:v>F</x:v>
      </x:c>
      <x:c r="I9" s="1" t="str">
        <x:f>IF(Despiece!K9="2","R",IF(Despiece!K9="0.45","F","—"))</x:f>
        <x:v>F</x:v>
      </x:c>
      <x:c r="J9" s="1" t="str">
        <x:f>IF(Despiece!L9="2","R",IF(Despiece!L9="0.45","F","—"))</x:f>
        <x:v>F</x:v>
      </x:c>
      <x:c r="K9" s="1" t="str">
        <x:f>IF(Despiece!M9="2","R",IF(Despiece!M9="0.45","F","—"))</x:f>
        <x:v>F</x:v>
      </x:c>
      <x:c r="L9" s="1" t="str">
        <x:f>IF(SUMPRODUCT((Despiece!J9:M9="2")+(Despiece!J9:M9="0.45"))=0,"Sin canto",IF(OR(MIN(Despiece!N9,Despiece!O9)&lt;$Q$3,MAX(Despiece!N9,Despiece!O9)&lt;$Q$4),"Pequeña","Normal"))</x:f>
        <x:v>Normal</x:v>
      </x:c>
      <x:c r="M9" s="1" t="str">
        <x:f>Despiece!F9&amp;" × "&amp;Despiece!G9</x:f>
        <x:v>490 × 405</x:v>
      </x:c>
      <x:c r="N9" s="4" t="str">
        <x:f>IF(L9="Pequeña","Si no la cantean: cortar a "&amp;ROUND(Despiece!N9,2)&amp;" × "&amp;ROUND(Despiece!O9,2)&amp;" y cantear en taller. ","")&amp;Despiece!P9</x:f>
        <x:v>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x:v>
      </x:c>
      <x:c r="O9" s="1"/>
      <x:c r="P9" s="1"/>
    </x:row>
    <x:row r="10" ht="109.94999694824219" customHeight="1">
      <x:c r="A10" s="1" t="str">
        <x:f>Despiece!A10</x:f>
        <x:v>B04</x:v>
      </x:c>
      <x:c r="B10" s="1" t="str">
        <x:f>Despiece!B10</x:f>
        <x:v>BAJO</x:v>
      </x:c>
      <x:c r="C10" s="4" t="str">
        <x:f>Despiece!C10</x:f>
        <x:v>Travesaño trasero superior lateral</x:v>
      </x:c>
      <x:c r="D10" s="4" t="str">
        <x:f>Despiece!D10</x:f>
        <x:v>RH15 Cartagena</x:v>
      </x:c>
      <x:c r="E10" s="1" t="n">
        <x:f>Despiece!E10</x:f>
        <x:v>2</x:v>
      </x:c>
      <x:c r="F10" s="6" t="n">
        <x:f>IF($Q$2="NO",ROUND(Despiece!N10,2),Despiece!F10)</x:f>
        <x:v>195</x:v>
      </x:c>
      <x:c r="G10" s="6" t="n">
        <x:f>IF($Q$2="NO",ROUND(Despiece!O10,2),Despiece!G10)</x:f>
        <x:v>80</x:v>
      </x:c>
      <x:c r="H10" s="1" t="str">
        <x:f>IF(Despiece!J10="2","R",IF(Despiece!J10="0.45","F","—"))</x:f>
        <x:v>F</x:v>
      </x:c>
      <x:c r="I10" s="1" t="str">
        <x:f>IF(Despiece!K10="2","R",IF(Despiece!K10="0.45","F","—"))</x:f>
        <x:v>F</x:v>
      </x:c>
      <x:c r="J10" s="1" t="str">
        <x:f>IF(Despiece!L10="2","R",IF(Despiece!L10="0.45","F","—"))</x:f>
        <x:v>F</x:v>
      </x:c>
      <x:c r="K10" s="1" t="str">
        <x:f>IF(Despiece!M10="2","R",IF(Despiece!M10="0.45","F","—"))</x:f>
        <x:v>F</x:v>
      </x:c>
      <x:c r="L10" s="1" t="str">
        <x:f>IF(SUMPRODUCT((Despiece!J10:M10="2")+(Despiece!J10:M10="0.45"))=0,"Sin canto",IF(OR(MIN(Despiece!N10,Despiece!O10)&lt;$Q$3,MAX(Despiece!N10,Despiece!O10)&lt;$Q$4),"Pequeña","Normal"))</x:f>
        <x:v>Pequeña</x:v>
      </x:c>
      <x:c r="M10" s="1" t="str">
        <x:f>Despiece!F10&amp;" × "&amp;Despiece!G10</x:f>
        <x:v>195 × 80</x:v>
      </x:c>
      <x:c r="N10" s="4" t="str">
        <x:f>IF(L10="Pequeña","Si no la cantean: cortar a "&amp;ROUND(Despiece!N10,2)&amp;" × "&amp;ROUND(Despiece!O10,2)&amp;" y cantear en taller. ","")&amp;Despiece!P10</x:f>
        <x:v>Si no la cantean: cortar a 194.1 × 79.1 y cantear en taller. Zona húmeda: proteger todos los bordes y sellar perforaciones; dimensiones terminadas. De canto, interrumpido en el centro para tuberías; no es un colgador certificado. Canto flexible 0,45 mm en todo el perímetro; mantener sellados recortes y perforaciones.</x:v>
      </x:c>
      <x:c r="O10" s="1"/>
      <x:c r="P10" s="1"/>
    </x:row>
    <x:row r="11" ht="109.94999694824219" customHeight="1">
      <x:c r="A11" s="1" t="str">
        <x:f>Despiece!A11</x:f>
        <x:v>B05</x:v>
      </x:c>
      <x:c r="B11" s="1" t="str">
        <x:f>Despiece!B11</x:f>
        <x:v>BAJO</x:v>
      </x:c>
      <x:c r="C11" s="4" t="str">
        <x:f>Despiece!C11</x:f>
        <x:v>Travesaño trasero inferior</x:v>
      </x:c>
      <x:c r="D11" s="4" t="str">
        <x:f>Despiece!D11</x:f>
        <x:v>RH15 Cartagena</x:v>
      </x:c>
      <x:c r="E11" s="1" t="n">
        <x:f>Despiece!E11</x:f>
        <x:v>1</x:v>
      </x:c>
      <x:c r="F11" s="6" t="n">
        <x:f>IF($Q$2="NO",ROUND(Despiece!N11,2),Despiece!F11)</x:f>
        <x:v>490</x:v>
      </x:c>
      <x:c r="G11" s="6" t="n">
        <x:f>IF($Q$2="NO",ROUND(Despiece!O11,2),Despiece!G11)</x:f>
        <x:v>80</x:v>
      </x:c>
      <x:c r="H11" s="1" t="str">
        <x:f>IF(Despiece!J11="2","R",IF(Despiece!J11="0.45","F","—"))</x:f>
        <x:v>F</x:v>
      </x:c>
      <x:c r="I11" s="1" t="str">
        <x:f>IF(Despiece!K11="2","R",IF(Despiece!K11="0.45","F","—"))</x:f>
        <x:v>F</x:v>
      </x:c>
      <x:c r="J11" s="1" t="str">
        <x:f>IF(Despiece!L11="2","R",IF(Despiece!L11="0.45","F","—"))</x:f>
        <x:v>F</x:v>
      </x:c>
      <x:c r="K11" s="1" t="str">
        <x:f>IF(Despiece!M11="2","R",IF(Despiece!M11="0.45","F","—"))</x:f>
        <x:v>F</x:v>
      </x:c>
      <x:c r="L11" s="1" t="str">
        <x:f>IF(SUMPRODUCT((Despiece!J11:M11="2")+(Despiece!J11:M11="0.45"))=0,"Sin canto",IF(OR(MIN(Despiece!N11,Despiece!O11)&lt;$Q$3,MAX(Despiece!N11,Despiece!O11)&lt;$Q$4),"Pequeña","Normal"))</x:f>
        <x:v>Pequeña</x:v>
      </x:c>
      <x:c r="M11" s="1" t="str">
        <x:f>Despiece!F11&amp;" × "&amp;Despiece!G11</x:f>
        <x:v>490 × 80</x:v>
      </x:c>
      <x:c r="N11" s="4" t="str">
        <x:f>IF(L11="Pequeña","Si no la cantean: cortar a "&amp;ROUND(Despiece!N11,2)&amp;" × "&amp;ROUND(Despiece!O11,2)&amp;" y cantear en taller. ","")&amp;Despiece!P11</x:f>
        <x:v>Si no la cantean: cortar a 489.1 × 79.1 y cantear en taller. Zona húmeda: proteger todos los bordes y sellar perforaciones; dimensiones terminadas. Define rigidez posterior; anclajes y uniones por dimensionar. Canto flexible 0,45 mm en todo el perímetro; mantener sellados recortes y perforaciones.</x:v>
      </x:c>
      <x:c r="O11" s="1"/>
      <x:c r="P11" s="1"/>
    </x:row>
    <x:row r="12" ht="109.94999694824219" customHeight="1">
      <x:c r="A12" s="1" t="str">
        <x:f>Despiece!A12</x:f>
        <x:v>B06</x:v>
      </x:c>
      <x:c r="B12" s="1" t="str">
        <x:f>Despiece!B12</x:f>
        <x:v>BAJO</x:v>
      </x:c>
      <x:c r="C12" s="4" t="str">
        <x:f>Despiece!C12</x:f>
        <x:v>Panel común para dos puertas: corte diagonal en armado</x:v>
      </x:c>
      <x:c r="D12" s="4" t="str">
        <x:f>Despiece!D12</x:f>
        <x:v>RH15 Cartagena</x:v>
      </x:c>
      <x:c r="E12" s="1" t="n">
        <x:f>Despiece!E12</x:f>
        <x:v>1</x:v>
      </x:c>
      <x:c r="F12" s="6" t="n">
        <x:f>IF($Q$2="NO",ROUND(Despiece!N12,2),Despiece!F12)</x:f>
        <x:v>299</x:v>
      </x:c>
      <x:c r="G12" s="6" t="n">
        <x:f>IF($Q$2="NO",ROUND(Despiece!O12,2),Despiece!G12)</x:f>
        <x:v>517</x:v>
      </x:c>
      <x:c r="H12" s="1" t="str">
        <x:f>IF(Despiece!J12="2","R",IF(Despiece!J12="0.45","F","—"))</x:f>
        <x:v>R</x:v>
      </x:c>
      <x:c r="I12" s="1" t="str">
        <x:f>IF(Despiece!K12="2","R",IF(Despiece!K12="0.45","F","—"))</x:f>
        <x:v>R</x:v>
      </x:c>
      <x:c r="J12" s="1" t="str">
        <x:f>IF(Despiece!L12="2","R",IF(Despiece!L12="0.45","F","—"))</x:f>
        <x:v>R</x:v>
      </x:c>
      <x:c r="K12" s="1" t="str">
        <x:f>IF(Despiece!M12="2","R",IF(Despiece!M12="0.45","F","—"))</x:f>
        <x:v>R</x:v>
      </x:c>
      <x:c r="L12" s="1" t="str">
        <x:f>IF(SUMPRODUCT((Despiece!J12:M12="2")+(Despiece!J12:M12="0.45"))=0,"Sin canto",IF(OR(MIN(Despiece!N12,Despiece!O12)&lt;$Q$3,MAX(Despiece!N12,Despiece!O12)&lt;$Q$4),"Pequeña","Normal"))</x:f>
        <x:v>Normal</x:v>
      </x:c>
      <x:c r="M12" s="1" t="str">
        <x:f>Despiece!F12&amp;" × "&amp;Despiece!G12</x:f>
        <x:v>299 × 517</x:v>
      </x:c>
      <x:c r="N12" s="4" t="str">
        <x:f>IF(L12="Pequeña","Si no la cantean: cortar a "&amp;ROUND(Despiece!N12,2)&amp;" × "&amp;ROUND(Despiece!O12,2)&amp;" y cantear en taller. ","")&amp;Despiece!P12</x:f>
        <x:v>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x:v>
      </x:c>
      <x:c r="O12" s="1"/>
      <x:c r="P12" s="1"/>
    </x:row>
    <x:row r="13" ht="109.94999694824219" customHeight="1">
      <x:c r="A13" s="1" t="str">
        <x:f>Despiece!A13</x:f>
        <x:v>S01</x:v>
      </x:c>
      <x:c r="B13" s="1" t="str">
        <x:f>Despiece!B13</x:f>
        <x:v>ESPEJO</x:v>
      </x:c>
      <x:c r="C13" s="4" t="str">
        <x:f>Despiece!C13</x:f>
        <x:v>Lateral gabinete superior</x:v>
      </x:c>
      <x:c r="D13" s="4" t="str">
        <x:f>Despiece!D13</x:f>
        <x:v>RH15 Cartagena</x:v>
      </x:c>
      <x:c r="E13" s="1" t="n">
        <x:f>Despiece!E13</x:f>
        <x:v>2</x:v>
      </x:c>
      <x:c r="F13" s="6" t="n">
        <x:f>IF($Q$2="NO",ROUND(Despiece!N13,2),Despiece!F13)</x:f>
        <x:v>500</x:v>
      </x:c>
      <x:c r="G13" s="6" t="n">
        <x:f>IF($Q$2="NO",ROUND(Despiece!O13,2),Despiece!G13)</x:f>
        <x:v>105</x:v>
      </x:c>
      <x:c r="H13" s="1" t="str">
        <x:f>IF(Despiece!J13="2","R",IF(Despiece!J13="0.45","F","—"))</x:f>
        <x:v>F</x:v>
      </x:c>
      <x:c r="I13" s="1" t="str">
        <x:f>IF(Despiece!K13="2","R",IF(Despiece!K13="0.45","F","—"))</x:f>
        <x:v>F</x:v>
      </x:c>
      <x:c r="J13" s="1" t="str">
        <x:f>IF(Despiece!L13="2","R",IF(Despiece!L13="0.45","F","—"))</x:f>
        <x:v>F</x:v>
      </x:c>
      <x:c r="K13" s="1" t="str">
        <x:f>IF(Despiece!M13="2","R",IF(Despiece!M13="0.45","F","—"))</x:f>
        <x:v>F</x:v>
      </x:c>
      <x:c r="L13" s="1" t="str">
        <x:f>IF(SUMPRODUCT((Despiece!J13:M13="2")+(Despiece!J13:M13="0.45"))=0,"Sin canto",IF(OR(MIN(Despiece!N13,Despiece!O13)&lt;$Q$3,MAX(Despiece!N13,Despiece!O13)&lt;$Q$4),"Pequeña","Normal"))</x:f>
        <x:v>Normal</x:v>
      </x:c>
      <x:c r="M13" s="1" t="str">
        <x:f>Despiece!F13&amp;" × "&amp;Despiece!G13</x:f>
        <x:v>500 × 105</x:v>
      </x:c>
      <x:c r="N13" s="4" t="str">
        <x:f>IF(L13="Pequeña","Si no la cantean: cortar a "&amp;ROUND(Despiece!N13,2)&amp;" × "&amp;ROUND(Despiece!O13,2)&amp;" y cantear en taller. ","")&amp;Despiece!P13</x:f>
        <x:v>Zona húmeda: proteger todos los bordes y sellar perforaciones; dimensiones terminadas. Fondo total 130 mm con panel 6 mm, holgura frontal 1 mm, tapa RH15 y espejo 3 mm. Canto flexible 0,45 mm en todo el perímetro; mantener sellados recortes y perforaciones.</x:v>
      </x:c>
      <x:c r="O13" s="1"/>
      <x:c r="P13" s="1"/>
    </x:row>
    <x:row r="14" ht="109.94999694824219" customHeight="1">
      <x:c r="A14" s="1" t="str">
        <x:f>Despiece!A14</x:f>
        <x:v>S02</x:v>
      </x:c>
      <x:c r="B14" s="1" t="str">
        <x:f>Despiece!B14</x:f>
        <x:v>ESPEJO</x:v>
      </x:c>
      <x:c r="C14" s="4" t="str">
        <x:f>Despiece!C14</x:f>
        <x:v>Piso y techo gabinete superior</x:v>
      </x:c>
      <x:c r="D14" s="4" t="str">
        <x:f>Despiece!D14</x:f>
        <x:v>RH15 Cartagena</x:v>
      </x:c>
      <x:c r="E14" s="1" t="n">
        <x:f>Despiece!E14</x:f>
        <x:v>2</x:v>
      </x:c>
      <x:c r="F14" s="6" t="n">
        <x:f>IF($Q$2="NO",ROUND(Despiece!N14,2),Despiece!F14)</x:f>
        <x:v>420</x:v>
      </x:c>
      <x:c r="G14" s="6" t="n">
        <x:f>IF($Q$2="NO",ROUND(Despiece!O14,2),Despiece!G14)</x:f>
        <x:v>105</x:v>
      </x:c>
      <x:c r="H14" s="1" t="str">
        <x:f>IF(Despiece!J14="2","R",IF(Despiece!J14="0.45","F","—"))</x:f>
        <x:v>F</x:v>
      </x:c>
      <x:c r="I14" s="1" t="str">
        <x:f>IF(Despiece!K14="2","R",IF(Despiece!K14="0.45","F","—"))</x:f>
        <x:v>F</x:v>
      </x:c>
      <x:c r="J14" s="1" t="str">
        <x:f>IF(Despiece!L14="2","R",IF(Despiece!L14="0.45","F","—"))</x:f>
        <x:v>F</x:v>
      </x:c>
      <x:c r="K14" s="1" t="str">
        <x:f>IF(Despiece!M14="2","R",IF(Despiece!M14="0.45","F","—"))</x:f>
        <x:v>F</x:v>
      </x:c>
      <x:c r="L14" s="1" t="str">
        <x:f>IF(SUMPRODUCT((Despiece!J14:M14="2")+(Despiece!J14:M14="0.45"))=0,"Sin canto",IF(OR(MIN(Despiece!N14,Despiece!O14)&lt;$Q$3,MAX(Despiece!N14,Despiece!O14)&lt;$Q$4),"Pequeña","Normal"))</x:f>
        <x:v>Normal</x:v>
      </x:c>
      <x:c r="M14" s="1" t="str">
        <x:f>Despiece!F14&amp;" × "&amp;Despiece!G14</x:f>
        <x:v>420 × 105</x:v>
      </x:c>
      <x:c r="N14" s="4" t="str">
        <x:f>IF(L14="Pequeña","Si no la cantean: cortar a "&amp;ROUND(Despiece!N14,2)&amp;" × "&amp;ROUND(Despiece!O14,2)&amp;" y cantear en taller. ","")&amp;Despiece!P14</x:f>
        <x:v>Zona húmeda: proteger todos los bordes y sellar perforaciones; dimensiones terminadas. Canto flexible 0,45 mm en todo el perímetro; mantener sellados recortes y perforaciones.</x:v>
      </x:c>
      <x:c r="O14" s="1"/>
      <x:c r="P14" s="1"/>
    </x:row>
    <x:row r="15" ht="109.94999694824219" customHeight="1">
      <x:c r="A15" s="1" t="str">
        <x:f>Despiece!A15</x:f>
        <x:v>S03</x:v>
      </x:c>
      <x:c r="B15" s="1" t="str">
        <x:f>Despiece!B15</x:f>
        <x:v>ESPEJO</x:v>
      </x:c>
      <x:c r="C15" s="4" t="str">
        <x:f>Despiece!C15</x:f>
        <x:v>División vertical</x:v>
      </x:c>
      <x:c r="D15" s="4" t="str">
        <x:f>Despiece!D15</x:f>
        <x:v>RH15 Cartagena</x:v>
      </x:c>
      <x:c r="E15" s="1" t="n">
        <x:f>Despiece!E15</x:f>
        <x:v>1</x:v>
      </x:c>
      <x:c r="F15" s="6" t="n">
        <x:f>IF($Q$2="NO",ROUND(Despiece!N15,2),Despiece!F15)</x:f>
        <x:v>470</x:v>
      </x:c>
      <x:c r="G15" s="6" t="n">
        <x:f>IF($Q$2="NO",ROUND(Despiece!O15,2),Despiece!G15)</x:f>
        <x:v>105</x:v>
      </x:c>
      <x:c r="H15" s="1" t="str">
        <x:f>IF(Despiece!J15="2","R",IF(Despiece!J15="0.45","F","—"))</x:f>
        <x:v>F</x:v>
      </x:c>
      <x:c r="I15" s="1" t="str">
        <x:f>IF(Despiece!K15="2","R",IF(Despiece!K15="0.45","F","—"))</x:f>
        <x:v>F</x:v>
      </x:c>
      <x:c r="J15" s="1" t="str">
        <x:f>IF(Despiece!L15="2","R",IF(Despiece!L15="0.45","F","—"))</x:f>
        <x:v>F</x:v>
      </x:c>
      <x:c r="K15" s="1" t="str">
        <x:f>IF(Despiece!M15="2","R",IF(Despiece!M15="0.45","F","—"))</x:f>
        <x:v>F</x:v>
      </x:c>
      <x:c r="L15" s="1" t="str">
        <x:f>IF(SUMPRODUCT((Despiece!J15:M15="2")+(Despiece!J15:M15="0.45"))=0,"Sin canto",IF(OR(MIN(Despiece!N15,Despiece!O15)&lt;$Q$3,MAX(Despiece!N15,Despiece!O15)&lt;$Q$4),"Pequeña","Normal"))</x:f>
        <x:v>Normal</x:v>
      </x:c>
      <x:c r="M15" s="1" t="str">
        <x:f>Despiece!F15&amp;" × "&amp;Despiece!G15</x:f>
        <x:v>470 × 105</x:v>
      </x:c>
      <x:c r="N15" s="4" t="str">
        <x:f>IF(L15="Pequeña","Si no la cantean: cortar a "&amp;ROUND(Despiece!N15,2)&amp;" × "&amp;ROUND(Despiece!O15,2)&amp;" y cantear en taller. ","")&amp;Despiece!P15</x:f>
        <x:v>Zona húmeda: proteger todos los bordes y sellar perforaciones; dimensiones terminadas. Interior cerrado 290 mm; columna derecha abierta 115 mm. Canto flexible 0,45 mm en todo el perímetro; mantener sellados recortes y perforaciones.</x:v>
      </x:c>
      <x:c r="O15" s="1"/>
      <x:c r="P15" s="1"/>
    </x:row>
    <x:row r="16" ht="109.94999694824219" customHeight="1">
      <x:c r="A16" s="1" t="str">
        <x:f>Despiece!A16</x:f>
        <x:v>S04</x:v>
      </x:c>
      <x:c r="B16" s="1" t="str">
        <x:f>Despiece!B16</x:f>
        <x:v>ESPEJO</x:v>
      </x:c>
      <x:c r="C16" s="4" t="str">
        <x:f>Despiece!C16</x:f>
        <x:v>Entrepaño interior izquierdo</x:v>
      </x:c>
      <x:c r="D16" s="4" t="str">
        <x:f>Despiece!D16</x:f>
        <x:v>RH15 Cartagena</x:v>
      </x:c>
      <x:c r="E16" s="1" t="n">
        <x:f>Despiece!E16</x:f>
        <x:v>2</x:v>
      </x:c>
      <x:c r="F16" s="6" t="n">
        <x:f>IF($Q$2="NO",ROUND(Despiece!N16,2),Despiece!F16)</x:f>
        <x:v>290</x:v>
      </x:c>
      <x:c r="G16" s="6" t="n">
        <x:f>IF($Q$2="NO",ROUND(Despiece!O16,2),Despiece!G16)</x:f>
        <x:v>100</x:v>
      </x:c>
      <x:c r="H16" s="1" t="str">
        <x:f>IF(Despiece!J16="2","R",IF(Despiece!J16="0.45","F","—"))</x:f>
        <x:v>F</x:v>
      </x:c>
      <x:c r="I16" s="1" t="str">
        <x:f>IF(Despiece!K16="2","R",IF(Despiece!K16="0.45","F","—"))</x:f>
        <x:v>F</x:v>
      </x:c>
      <x:c r="J16" s="1" t="str">
        <x:f>IF(Despiece!L16="2","R",IF(Despiece!L16="0.45","F","—"))</x:f>
        <x:v>F</x:v>
      </x:c>
      <x:c r="K16" s="1" t="str">
        <x:f>IF(Despiece!M16="2","R",IF(Despiece!M16="0.45","F","—"))</x:f>
        <x:v>F</x:v>
      </x:c>
      <x:c r="L16" s="1" t="str">
        <x:f>IF(SUMPRODUCT((Despiece!J16:M16="2")+(Despiece!J16:M16="0.45"))=0,"Sin canto",IF(OR(MIN(Despiece!N16,Despiece!O16)&lt;$Q$3,MAX(Despiece!N16,Despiece!O16)&lt;$Q$4),"Pequeña","Normal"))</x:f>
        <x:v>Pequeña</x:v>
      </x:c>
      <x:c r="M16" s="1" t="str">
        <x:f>Despiece!F16&amp;" × "&amp;Despiece!G16</x:f>
        <x:v>290 × 100</x:v>
      </x:c>
      <x:c r="N16" s="4" t="str">
        <x:f>IF(L16="Pequeña","Si no la cantean: cortar a "&amp;ROUND(Despiece!N16,2)&amp;" × "&amp;ROUND(Despiece!O16,2)&amp;" y cantear en taller. ","")&amp;Despiece!P16</x:f>
        <x:v>Si no la cantean: cortar a 289.1 × 99.1 y cantear en taller. Zona húmeda: proteger todos los bordes y sellar perforaciones; dimensiones terminadas. Dos entrepaños fijos como la referencia. Canto flexible 0,45 mm en todo el perímetro; mantener sellados recortes y perforaciones.</x:v>
      </x:c>
      <x:c r="O16" s="1"/>
      <x:c r="P16" s="1"/>
    </x:row>
    <x:row r="17" ht="109.94999694824219" customHeight="1">
      <x:c r="A17" s="1" t="str">
        <x:f>Despiece!A17</x:f>
        <x:v>S05</x:v>
      </x:c>
      <x:c r="B17" s="1" t="str">
        <x:f>Despiece!B17</x:f>
        <x:v>ESPEJO</x:v>
      </x:c>
      <x:c r="C17" s="4" t="str">
        <x:f>Despiece!C17</x:f>
        <x:v>Entrepaño columna abierta derecha</x:v>
      </x:c>
      <x:c r="D17" s="4" t="str">
        <x:f>Despiece!D17</x:f>
        <x:v>RH15 Cartagena</x:v>
      </x:c>
      <x:c r="E17" s="1" t="n">
        <x:f>Despiece!E17</x:f>
        <x:v>1</x:v>
      </x:c>
      <x:c r="F17" s="6" t="n">
        <x:f>IF($Q$2="NO",ROUND(Despiece!N17,2),Despiece!F17)</x:f>
        <x:v>115</x:v>
      </x:c>
      <x:c r="G17" s="6" t="n">
        <x:f>IF($Q$2="NO",ROUND(Despiece!O17,2),Despiece!G17)</x:f>
        <x:v>100</x:v>
      </x:c>
      <x:c r="H17" s="1" t="str">
        <x:f>IF(Despiece!J17="2","R",IF(Despiece!J17="0.45","F","—"))</x:f>
        <x:v>F</x:v>
      </x:c>
      <x:c r="I17" s="1" t="str">
        <x:f>IF(Despiece!K17="2","R",IF(Despiece!K17="0.45","F","—"))</x:f>
        <x:v>F</x:v>
      </x:c>
      <x:c r="J17" s="1" t="str">
        <x:f>IF(Despiece!L17="2","R",IF(Despiece!L17="0.45","F","—"))</x:f>
        <x:v>F</x:v>
      </x:c>
      <x:c r="K17" s="1" t="str">
        <x:f>IF(Despiece!M17="2","R",IF(Despiece!M17="0.45","F","—"))</x:f>
        <x:v>F</x:v>
      </x:c>
      <x:c r="L17" s="1" t="str">
        <x:f>IF(SUMPRODUCT((Despiece!J17:M17="2")+(Despiece!J17:M17="0.45"))=0,"Sin canto",IF(OR(MIN(Despiece!N17,Despiece!O17)&lt;$Q$3,MAX(Despiece!N17,Despiece!O17)&lt;$Q$4),"Pequeña","Normal"))</x:f>
        <x:v>Pequeña</x:v>
      </x:c>
      <x:c r="M17" s="1" t="str">
        <x:f>Despiece!F17&amp;" × "&amp;Despiece!G17</x:f>
        <x:v>115 × 100</x:v>
      </x:c>
      <x:c r="N17" s="4" t="str">
        <x:f>IF(L17="Pequeña","Si no la cantean: cortar a "&amp;ROUND(Despiece!N17,2)&amp;" × "&amp;ROUND(Despiece!O17,2)&amp;" y cantear en taller. ","")&amp;Despiece!P17</x:f>
        <x:v>Si no la cantean: cortar a 114.1 × 99.1 y cantear en taller. Zona húmeda: proteger todos los bordes y sellar perforaciones; dimensiones terminadas. Canto flexible 0,45 mm en todo el perímetro; mantener sellados recortes y perforaciones.</x:v>
      </x:c>
      <x:c r="O17" s="1"/>
      <x:c r="P17" s="1"/>
    </x:row>
    <x:row r="18" ht="109.94999694824219" customHeight="1">
      <x:c r="A18" s="1" t="str">
        <x:f>Despiece!A18</x:f>
        <x:v>S06</x:v>
      </x:c>
      <x:c r="B18" s="1" t="str">
        <x:f>Despiece!B18</x:f>
        <x:v>ESPEJO</x:v>
      </x:c>
      <x:c r="C18" s="4" t="str">
        <x:f>Despiece!C18</x:f>
        <x:v>Tapa RH15 portadora del espejo</x:v>
      </x:c>
      <x:c r="D18" s="4" t="str">
        <x:f>Despiece!D18</x:f>
        <x:v>RH15 Cartagena</x:v>
      </x:c>
      <x:c r="E18" s="1" t="n">
        <x:f>Despiece!E18</x:f>
        <x:v>1</x:v>
      </x:c>
      <x:c r="F18" s="6" t="n">
        <x:f>IF($Q$2="NO",ROUND(Despiece!N18,2),Despiece!F18)</x:f>
        <x:v>500</x:v>
      </x:c>
      <x:c r="G18" s="6" t="n">
        <x:f>IF($Q$2="NO",ROUND(Despiece!O18,2),Despiece!G18)</x:f>
        <x:v>320</x:v>
      </x:c>
      <x:c r="H18" s="1" t="str">
        <x:f>IF(Despiece!J18="2","R",IF(Despiece!J18="0.45","F","—"))</x:f>
        <x:v>F</x:v>
      </x:c>
      <x:c r="I18" s="1" t="str">
        <x:f>IF(Despiece!K18="2","R",IF(Despiece!K18="0.45","F","—"))</x:f>
        <x:v>F</x:v>
      </x:c>
      <x:c r="J18" s="1" t="str">
        <x:f>IF(Despiece!L18="2","R",IF(Despiece!L18="0.45","F","—"))</x:f>
        <x:v>F</x:v>
      </x:c>
      <x:c r="K18" s="1" t="str">
        <x:f>IF(Despiece!M18="2","R",IF(Despiece!M18="0.45","F","—"))</x:f>
        <x:v>F</x:v>
      </x:c>
      <x:c r="L18" s="1" t="str">
        <x:f>IF(SUMPRODUCT((Despiece!J18:M18="2")+(Despiece!J18:M18="0.45"))=0,"Sin canto",IF(OR(MIN(Despiece!N18,Despiece!O18)&lt;$Q$3,MAX(Despiece!N18,Despiece!O18)&lt;$Q$4),"Pequeña","Normal"))</x:f>
        <x:v>Normal</x:v>
      </x:c>
      <x:c r="M18" s="1" t="str">
        <x:f>Despiece!F18&amp;" × "&amp;Despiece!G18</x:f>
        <x:v>500 × 320</x:v>
      </x:c>
      <x:c r="N18" s="4" t="str">
        <x:f>IF(L18="Pequeña","Si no la cantean: cortar a "&amp;ROUND(Despiece!N18,2)&amp;" × "&amp;ROUND(Despiece!O18,2)&amp;" y cantear en taller. ","")&amp;Despiece!P18</x:f>
        <x:v>Medida exterior de referencia 320 × 500; espejo pegado en cara exterior. Dos bisagras candidatas, peso conjunto aproximado 2,8 kg sin herrajes. Validar holguras, cazoletas y adhesivo compatible con espejo. Canto flexible 0,45 mm en todo el perímetro; mantener sellados recortes y perforaciones.</x:v>
      </x:c>
      <x:c r="O18" s="1"/>
      <x:c r="P18" s="1"/>
    </x:row>
    <x:row r="19" ht="109.94999694824219" customHeight="1">
      <x:c r="A19" s="1" t="str">
        <x:f>Despiece!A19</x:f>
        <x:v>F01</x:v>
      </x:c>
      <x:c r="B19" s="1" t="str">
        <x:f>Despiece!B19</x:f>
        <x:v>ESPEJO</x:v>
      </x:c>
      <x:c r="C19" s="4" t="str">
        <x:f>Despiece!C19</x:f>
        <x:v>Fondo blanco de 6 mm</x:v>
      </x:c>
      <x:c r="D19" s="4" t="str">
        <x:f>Despiece!D19</x:f>
        <x:v>Fondo melamina blanco RH6</x:v>
      </x:c>
      <x:c r="E19" s="1" t="n">
        <x:f>Despiece!E19</x:f>
        <x:v>1</x:v>
      </x:c>
      <x:c r="F19" s="6" t="n">
        <x:f>IF($Q$2="NO",ROUND(Despiece!N19,2),Despiece!F19)</x:f>
        <x:v>496</x:v>
      </x:c>
      <x:c r="G19" s="6" t="n">
        <x:f>IF($Q$2="NO",ROUND(Despiece!O19,2),Despiece!G19)</x:f>
        <x:v>446</x:v>
      </x:c>
      <x:c r="H19" s="1" t="str">
        <x:f>IF(Despiece!J19="2","R",IF(Despiece!J19="0.45","F","—"))</x:f>
        <x:v>F</x:v>
      </x:c>
      <x:c r="I19" s="1" t="str">
        <x:f>IF(Despiece!K19="2","R",IF(Despiece!K19="0.45","F","—"))</x:f>
        <x:v>F</x:v>
      </x:c>
      <x:c r="J19" s="1" t="str">
        <x:f>IF(Despiece!L19="2","R",IF(Despiece!L19="0.45","F","—"))</x:f>
        <x:v>F</x:v>
      </x:c>
      <x:c r="K19" s="1" t="str">
        <x:f>IF(Despiece!M19="2","R",IF(Despiece!M19="0.45","F","—"))</x:f>
        <x:v>F</x:v>
      </x:c>
      <x:c r="L19" s="1" t="str">
        <x:f>IF(SUMPRODUCT((Despiece!J19:M19="2")+(Despiece!J19:M19="0.45"))=0,"Sin canto",IF(OR(MIN(Despiece!N19,Despiece!O19)&lt;$Q$3,MAX(Despiece!N19,Despiece!O19)&lt;$Q$4),"Pequeña","Normal"))</x:f>
        <x:v>Normal</x:v>
      </x:c>
      <x:c r="M19" s="1" t="str">
        <x:f>Despiece!F19&amp;" × "&amp;Despiece!G19</x:f>
        <x:v>496 × 446</x:v>
      </x:c>
      <x:c r="N19" s="4" t="str">
        <x:f>IF(L19="Pequeña","Si no la cantean: cortar a "&amp;ROUND(Despiece!N19,2)&amp;" × "&amp;ROUND(Despiece!O19,2)&amp;" y cantear en taller. ","")&amp;Despiece!P19</x:f>
        <x:v>Fondo aplicado por detrás, retranqueado 2 mm de los bordes. Reutilización de sobrantes de cocina solo se comprobará en la optimización conjunta final. No soporta el anclaje del gabinete. Canto flexible 0,45 mm en todo el perímetro; mantener sellados recortes y perforaciones.</x:v>
      </x:c>
      <x:c r="O19" s="1"/>
      <x:c r="P19" s="1"/>
    </x:row>
    <x:row r="20">
      <x:c r="A20" s="1"/>
      <x:c r="B20" s="1"/>
      <x:c r="C20" s="4"/>
      <x:c r="D20" s="4"/>
      <x:c r="E20" s="1"/>
      <x:c r="F20" s="6"/>
      <x:c r="G20" s="6"/>
      <x:c r="H20" s="1"/>
      <x:c r="I20" s="1"/>
      <x:c r="J20" s="1"/>
      <x:c r="K20" s="1"/>
      <x:c r="L20" s="1"/>
      <x:c r="M20" s="1"/>
      <x:c r="N20" s="4"/>
      <x:c r="O20" s="1"/>
      <x:c r="P20" s="1"/>
    </x:row>
    <x:row r="21">
      <x:c r="A21" s="1"/>
      <x:c r="B21" s="1"/>
      <x:c r="C21" s="1"/>
      <x:c r="D21" s="1"/>
      <x:c r="E21" s="1"/>
      <x:c r="F21" s="1"/>
      <x:c r="G21" s="1"/>
      <x:c r="H21" s="1"/>
      <x:c r="I21" s="1"/>
      <x:c r="J21" s="1"/>
      <x:c r="K21" s="1"/>
      <x:c r="L21" s="1"/>
      <x:c r="M21" s="1"/>
      <x:c r="N21" s="1"/>
      <x:c r="O21" s="1"/>
      <x:c r="P21" s="1"/>
    </x:row>
    <x:row r="22">
      <x:c r="A22" s="1"/>
      <x:c r="B22" s="1"/>
      <x:c r="C22" s="1"/>
      <x:c r="D22" s="1"/>
      <x:c r="E22" s="1"/>
      <x:c r="F22" s="1"/>
      <x:c r="G22" s="1"/>
      <x:c r="H22" s="1"/>
      <x:c r="I22" s="1"/>
      <x:c r="J22" s="1"/>
      <x:c r="K22" s="1"/>
      <x:c r="L22" s="1"/>
      <x:c r="M22" s="1"/>
      <x:c r="N22" s="1"/>
      <x:c r="O22" s="1"/>
      <x:c r="P22" s="1"/>
    </x:row>
    <x:row r="23">
      <x:c r="A23" s="1"/>
      <x:c r="B23" s="1"/>
      <x:c r="C23" s="1"/>
      <x:c r="D23" s="1"/>
      <x:c r="E23" s="1"/>
      <x:c r="F23" s="1"/>
      <x:c r="G23" s="1"/>
      <x:c r="H23" s="1"/>
      <x:c r="I23" s="1"/>
      <x:c r="J23" s="1"/>
      <x:c r="K23" s="1"/>
      <x:c r="L23" s="1"/>
      <x:c r="M23" s="1"/>
      <x:c r="N23" s="1"/>
      <x:c r="O23" s="1"/>
      <x:c r="P23" s="1"/>
    </x:row>
    <x:row r="24">
      <x:c r="A24" s="1"/>
      <x:c r="B24" s="1"/>
      <x:c r="C24" s="1"/>
      <x:c r="D24" s="1"/>
      <x:c r="E24" s="1"/>
      <x:c r="F24" s="1"/>
      <x:c r="G24" s="1"/>
      <x:c r="H24" s="1"/>
      <x:c r="I24" s="1"/>
      <x:c r="J24" s="1"/>
      <x:c r="K24" s="1"/>
      <x:c r="L24" s="1"/>
      <x:c r="M24" s="1"/>
      <x:c r="N24" s="1"/>
      <x:c r="O24" s="1"/>
      <x:c r="P24" s="1"/>
    </x:row>
    <x:row r="25">
      <x:c r="A25" s="1"/>
      <x:c r="B25" s="1"/>
      <x:c r="C25" s="1"/>
      <x:c r="D25" s="1"/>
      <x:c r="E25" s="1"/>
      <x:c r="F25" s="1"/>
      <x:c r="G25" s="1"/>
      <x:c r="H25" s="1"/>
      <x:c r="I25" s="1"/>
      <x:c r="J25" s="1"/>
      <x:c r="K25" s="1"/>
      <x:c r="L25" s="1"/>
      <x:c r="M25" s="1"/>
      <x:c r="N25" s="1"/>
      <x:c r="O25" s="1"/>
      <x:c r="P25" s="1"/>
    </x:row>
    <x:row r="26">
      <x:c r="A26" s="1"/>
      <x:c r="B26" s="1"/>
      <x:c r="C26" s="1"/>
      <x:c r="D26" s="1"/>
      <x:c r="E26" s="1"/>
      <x:c r="F26" s="1"/>
      <x:c r="G26" s="1"/>
      <x:c r="H26" s="1"/>
      <x:c r="I26" s="1"/>
      <x:c r="J26" s="1"/>
      <x:c r="K26" s="1"/>
      <x:c r="L26" s="1"/>
      <x:c r="M26" s="1"/>
      <x:c r="N26" s="1"/>
      <x:c r="O26" s="1"/>
      <x:c r="P26" s="1"/>
    </x:row>
    <x:row r="27">
      <x:c r="A27" s="1"/>
      <x:c r="B27" s="1"/>
      <x:c r="C27" s="1"/>
      <x:c r="D27" s="1"/>
      <x:c r="E27" s="1"/>
      <x:c r="F27" s="1"/>
      <x:c r="G27" s="1"/>
      <x:c r="H27" s="1"/>
      <x:c r="I27" s="1"/>
      <x:c r="J27" s="1"/>
      <x:c r="K27" s="1"/>
      <x:c r="L27" s="1"/>
      <x:c r="M27" s="1"/>
      <x:c r="N27" s="1"/>
      <x:c r="O27" s="1"/>
      <x:c r="P27" s="1"/>
    </x:row>
    <x:row r="28">
      <x:c r="A28" s="1"/>
      <x:c r="B28" s="1"/>
      <x:c r="C28" s="1"/>
      <x:c r="D28" s="1"/>
      <x:c r="E28" s="1"/>
      <x:c r="F28" s="1"/>
      <x:c r="G28" s="1"/>
      <x:c r="H28" s="1"/>
      <x:c r="I28" s="1"/>
      <x:c r="J28" s="1"/>
      <x:c r="K28" s="1"/>
      <x:c r="L28" s="1"/>
      <x:c r="M28" s="1"/>
      <x:c r="N28" s="1"/>
      <x:c r="O28" s="1"/>
      <x:c r="P28" s="1"/>
    </x:row>
    <x:row r="29">
      <x:c r="A29" s="1"/>
      <x:c r="B29" s="1"/>
      <x:c r="C29" s="1"/>
      <x:c r="D29" s="1"/>
      <x:c r="E29" s="1"/>
      <x:c r="F29" s="1"/>
      <x:c r="G29" s="1"/>
      <x:c r="H29" s="1"/>
      <x:c r="I29" s="1"/>
      <x:c r="J29" s="1"/>
      <x:c r="K29" s="1"/>
      <x:c r="L29" s="1"/>
      <x:c r="M29" s="1"/>
      <x:c r="N29" s="1"/>
      <x:c r="O29" s="1"/>
      <x:c r="P29" s="1"/>
    </x:row>
    <x:row r="30">
      <x:c r="A30" s="1"/>
      <x:c r="B30" s="1"/>
      <x:c r="C30" s="1"/>
      <x:c r="D30" s="1"/>
      <x:c r="E30" s="1"/>
      <x:c r="F30" s="1"/>
      <x:c r="G30" s="1"/>
      <x:c r="H30" s="1"/>
      <x:c r="I30" s="1"/>
      <x:c r="J30" s="1"/>
      <x:c r="K30" s="1"/>
      <x:c r="L30" s="1"/>
      <x:c r="M30" s="1"/>
      <x:c r="N30" s="1"/>
      <x:c r="O30" s="1"/>
      <x:c r="P30" s="1"/>
    </x:row>
    <x:row r="31">
      <x:c r="A31" s="1"/>
      <x:c r="B31" s="1"/>
      <x:c r="C31" s="1"/>
      <x:c r="D31" s="1"/>
      <x:c r="E31" s="1"/>
      <x:c r="F31" s="1"/>
      <x:c r="G31" s="1"/>
      <x:c r="H31" s="1"/>
      <x:c r="I31" s="1"/>
      <x:c r="J31" s="1"/>
      <x:c r="K31" s="1"/>
      <x:c r="L31" s="1"/>
      <x:c r="M31" s="1"/>
      <x:c r="N31" s="1"/>
      <x:c r="O31" s="1"/>
      <x:c r="P31" s="1"/>
    </x:row>
    <x:row r="32">
      <x:c r="A32" s="1"/>
      <x:c r="B32" s="1"/>
      <x:c r="C32" s="1"/>
      <x:c r="D32" s="1"/>
      <x:c r="E32" s="1"/>
      <x:c r="F32" s="1"/>
      <x:c r="G32" s="1"/>
      <x:c r="H32" s="1"/>
      <x:c r="I32" s="1"/>
      <x:c r="J32" s="1"/>
      <x:c r="K32" s="1"/>
      <x:c r="L32" s="1"/>
      <x:c r="M32" s="1"/>
      <x:c r="N32" s="1"/>
      <x:c r="O32" s="1"/>
      <x:c r="P32" s="1"/>
    </x:row>
    <x:row r="33">
      <x:c r="A33" s="1"/>
      <x:c r="B33" s="1"/>
      <x:c r="C33" s="1"/>
      <x:c r="D33" s="1"/>
      <x:c r="E33" s="1"/>
      <x:c r="F33" s="1"/>
      <x:c r="G33" s="1"/>
      <x:c r="H33" s="1"/>
      <x:c r="I33" s="1"/>
      <x:c r="J33" s="1"/>
      <x:c r="K33" s="1"/>
      <x:c r="L33" s="1"/>
      <x:c r="M33" s="1"/>
      <x:c r="N33" s="1"/>
      <x:c r="O33" s="1"/>
      <x:c r="P33" s="1"/>
    </x:row>
    <x:row r="34">
      <x:c r="A34" s="1"/>
      <x:c r="B34" s="1"/>
      <x:c r="C34" s="1"/>
      <x:c r="D34" s="1"/>
      <x:c r="E34" s="1"/>
      <x:c r="F34" s="1"/>
      <x:c r="G34" s="1"/>
      <x:c r="H34" s="1"/>
      <x:c r="I34" s="1"/>
      <x:c r="J34" s="1"/>
      <x:c r="K34" s="1"/>
      <x:c r="L34" s="1"/>
      <x:c r="M34" s="1"/>
      <x:c r="N34" s="1"/>
      <x:c r="O34" s="1"/>
      <x:c r="P34" s="1"/>
    </x:row>
    <x:row r="35">
      <x:c r="A35" s="1"/>
      <x:c r="B35" s="1"/>
      <x:c r="C35" s="1"/>
      <x:c r="D35" s="1"/>
      <x:c r="E35" s="1"/>
      <x:c r="F35" s="1"/>
      <x:c r="G35" s="1"/>
      <x:c r="H35" s="1"/>
      <x:c r="I35" s="1"/>
      <x:c r="J35" s="1"/>
      <x:c r="K35" s="1"/>
      <x:c r="L35" s="1"/>
      <x:c r="M35" s="1"/>
      <x:c r="N35" s="1"/>
      <x:c r="O35" s="1"/>
      <x:c r="P35" s="1"/>
    </x:row>
    <x:row r="36">
      <x:c r="A36" s="1"/>
      <x:c r="B36" s="1"/>
      <x:c r="C36" s="1"/>
      <x:c r="D36" s="1"/>
      <x:c r="E36" s="1"/>
      <x:c r="F36" s="1"/>
      <x:c r="G36" s="1"/>
      <x:c r="H36" s="1"/>
      <x:c r="I36" s="1"/>
      <x:c r="J36" s="1"/>
      <x:c r="K36" s="1"/>
      <x:c r="L36" s="1"/>
      <x:c r="M36" s="1"/>
      <x:c r="N36" s="1"/>
      <x:c r="O36" s="1"/>
      <x:c r="P36" s="1"/>
    </x:row>
    <x:row r="37">
      <x:c r="A37" s="1"/>
      <x:c r="B37" s="1"/>
      <x:c r="C37" s="1"/>
      <x:c r="D37" s="1"/>
      <x:c r="E37" s="1"/>
      <x:c r="F37" s="1"/>
      <x:c r="G37" s="1"/>
      <x:c r="H37" s="1"/>
      <x:c r="I37" s="1"/>
      <x:c r="J37" s="1"/>
      <x:c r="K37" s="1"/>
      <x:c r="L37" s="1"/>
      <x:c r="M37" s="1"/>
      <x:c r="N37" s="1"/>
      <x:c r="O37" s="1"/>
      <x:c r="P37" s="1"/>
    </x:row>
    <x:row r="38">
      <x:c r="A38" s="1"/>
      <x:c r="B38" s="1"/>
      <x:c r="C38" s="1"/>
      <x:c r="D38" s="1"/>
      <x:c r="E38" s="1"/>
      <x:c r="F38" s="1"/>
      <x:c r="G38" s="1"/>
      <x:c r="H38" s="1"/>
      <x:c r="I38" s="1"/>
      <x:c r="J38" s="1"/>
      <x:c r="K38" s="1"/>
      <x:c r="L38" s="1"/>
      <x:c r="M38" s="1"/>
      <x:c r="N38" s="1"/>
      <x:c r="O38" s="1"/>
      <x:c r="P38" s="1"/>
    </x:row>
    <x:row r="39">
      <x:c r="A39" s="1"/>
      <x:c r="B39" s="1"/>
      <x:c r="C39" s="1"/>
      <x:c r="D39" s="1"/>
      <x:c r="E39" s="1"/>
      <x:c r="F39" s="1"/>
      <x:c r="G39" s="1"/>
      <x:c r="H39" s="1"/>
      <x:c r="I39" s="1"/>
      <x:c r="J39" s="1"/>
      <x:c r="K39" s="1"/>
      <x:c r="L39" s="1"/>
      <x:c r="M39" s="1"/>
      <x:c r="N39" s="1"/>
      <x:c r="O39" s="1"/>
      <x:c r="P39" s="1"/>
    </x:row>
    <x:row r="40">
      <x:c r="A40" s="1"/>
      <x:c r="B40" s="1"/>
      <x:c r="C40" s="1"/>
      <x:c r="D40" s="1"/>
      <x:c r="E40" s="1"/>
      <x:c r="F40" s="1"/>
      <x:c r="G40" s="1"/>
      <x:c r="H40" s="1"/>
      <x:c r="I40" s="1"/>
      <x:c r="J40" s="1"/>
      <x:c r="K40" s="1"/>
      <x:c r="L40" s="1"/>
      <x:c r="M40" s="1"/>
      <x:c r="N40" s="1"/>
      <x:c r="O40" s="1"/>
      <x:c r="P40" s="1"/>
    </x:row>
    <x:row r="41">
      <x:c r="A41" s="1"/>
      <x:c r="B41" s="1"/>
      <x:c r="C41" s="1"/>
      <x:c r="D41" s="1"/>
      <x:c r="E41" s="1"/>
      <x:c r="F41" s="1"/>
      <x:c r="G41" s="1"/>
      <x:c r="H41" s="1"/>
      <x:c r="I41" s="1"/>
      <x:c r="J41" s="1"/>
      <x:c r="K41" s="1"/>
      <x:c r="L41" s="1"/>
      <x:c r="M41" s="1"/>
      <x:c r="N41" s="1"/>
      <x:c r="O41" s="1"/>
      <x:c r="P41" s="1"/>
    </x:row>
    <x:row r="42">
      <x:c r="A42" s="1"/>
      <x:c r="B42" s="1"/>
      <x:c r="C42" s="1"/>
      <x:c r="D42" s="1"/>
      <x:c r="E42" s="1"/>
      <x:c r="F42" s="1"/>
      <x:c r="G42" s="1"/>
      <x:c r="H42" s="1"/>
      <x:c r="I42" s="1"/>
      <x:c r="J42" s="1"/>
      <x:c r="K42" s="1"/>
      <x:c r="L42" s="1"/>
      <x:c r="M42" s="1"/>
      <x:c r="N42" s="1"/>
      <x:c r="O42" s="1"/>
      <x:c r="P42" s="1"/>
    </x:row>
    <x:row r="43">
      <x:c r="A43" s="1"/>
      <x:c r="B43" s="1"/>
      <x:c r="C43" s="1"/>
      <x:c r="D43" s="1"/>
      <x:c r="E43" s="1"/>
      <x:c r="F43" s="1"/>
      <x:c r="G43" s="1"/>
      <x:c r="H43" s="1"/>
      <x:c r="I43" s="1"/>
      <x:c r="J43" s="1"/>
      <x:c r="K43" s="1"/>
      <x:c r="L43" s="1"/>
      <x:c r="M43" s="1"/>
      <x:c r="N43" s="1"/>
      <x:c r="O43" s="1"/>
      <x:c r="P43" s="1"/>
    </x:row>
    <x:row r="44">
      <x:c r="A44" s="1"/>
      <x:c r="B44" s="1"/>
      <x:c r="C44" s="1"/>
      <x:c r="D44" s="1"/>
      <x:c r="E44" s="1"/>
      <x:c r="F44" s="1"/>
      <x:c r="G44" s="1"/>
      <x:c r="H44" s="1"/>
      <x:c r="I44" s="1"/>
      <x:c r="J44" s="1"/>
      <x:c r="K44" s="1"/>
      <x:c r="L44" s="1"/>
      <x:c r="M44" s="1"/>
      <x:c r="N44" s="1"/>
      <x:c r="O44" s="1"/>
      <x:c r="P44" s="1"/>
    </x:row>
    <x:row r="45">
      <x:c r="A45" s="1"/>
      <x:c r="B45" s="1"/>
      <x:c r="C45" s="1"/>
      <x:c r="D45" s="1"/>
      <x:c r="E45" s="1"/>
      <x:c r="F45" s="1"/>
      <x:c r="G45" s="1"/>
      <x:c r="H45" s="1"/>
      <x:c r="I45" s="1"/>
      <x:c r="J45" s="1"/>
      <x:c r="K45" s="1"/>
      <x:c r="L45" s="1"/>
      <x:c r="M45" s="1"/>
      <x:c r="N45" s="1"/>
      <x:c r="O45" s="1"/>
      <x:c r="P45" s="1"/>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796875" defaultRowHeight="13.800000190734863"/>
  <x:cols>
    <x:col min="1" max="1" width="27" customWidth="1"/>
    <x:col min="2" max="2" width="38" customWidth="1"/>
    <x:col min="3" max="3" width="13" customWidth="1"/>
    <x:col min="4" max="4" width="12" customWidth="1"/>
    <x:col min="5" max="5" width="17" customWidth="1"/>
    <x:col min="6" max="6" width="18" customWidth="1"/>
    <x:col min="7" max="7" width="21" customWidth="1"/>
    <x:col min="8" max="8" width="76" customWidth="1"/>
    <x:col min="9" max="9" width="54" customWidth="1"/>
  </x:cols>
  <x:sheetData>
    <x:row r="1">
      <x:c r="A1" s="1"/>
      <x:c r="B1" s="1"/>
      <x:c r="C1" s="1"/>
      <x:c r="D1" s="1"/>
      <x:c r="E1" s="1"/>
      <x:c r="F1" s="1"/>
      <x:c r="G1" s="1"/>
      <x:c r="H1" s="1"/>
      <x:c r="I1" s="1"/>
      <x:c r="J1" s="1"/>
      <x:c r="K1" s="1"/>
      <x:c r="L1" s="1"/>
      <x:c r="M1" s="1"/>
      <x:c r="N1" s="1"/>
      <x:c r="O1" s="1"/>
      <x:c r="P1" s="1"/>
    </x:row>
    <x:row r="2" ht="21">
      <x:c r="A2" s="2" t="s">
        <x:v>75</x:v>
      </x:c>
      <x:c r="B2" s="1"/>
      <x:c r="C2" s="1"/>
      <x:c r="D2" s="1"/>
      <x:c r="E2" s="1"/>
      <x:c r="F2" s="1"/>
      <x:c r="G2" s="1"/>
      <x:c r="H2" s="1"/>
      <x:c r="I2" s="1"/>
      <x:c r="J2" s="1"/>
      <x:c r="K2" s="1"/>
      <x:c r="L2" s="1"/>
      <x:c r="M2" s="1"/>
      <x:c r="N2" s="1"/>
      <x:c r="O2" s="1"/>
      <x:c r="P2" s="1"/>
    </x:row>
    <x:row r="3">
      <x:c r="A3" s="11" t="s">
        <x:v>76</x:v>
      </x:c>
      <x:c r="B3" s="1"/>
      <x:c r="C3" s="1"/>
      <x:c r="D3" s="1"/>
      <x:c r="E3" s="1"/>
      <x:c r="F3" s="1"/>
      <x:c r="G3" s="1"/>
      <x:c r="H3" s="1"/>
      <x:c r="I3" s="1"/>
      <x:c r="J3" s="1"/>
      <x:c r="K3" s="1"/>
      <x:c r="L3" s="1"/>
      <x:c r="M3" s="1"/>
      <x:c r="N3" s="1"/>
      <x:c r="O3" s="1"/>
      <x:c r="P3" s="1"/>
    </x:row>
    <x:row r="4">
      <x:c r="A4" s="1"/>
      <x:c r="B4" s="1"/>
      <x:c r="C4" s="1"/>
      <x:c r="D4" s="1"/>
      <x:c r="E4" s="1"/>
      <x:c r="F4" s="1"/>
      <x:c r="G4" s="1"/>
      <x:c r="H4" s="1"/>
      <x:c r="I4" s="1"/>
      <x:c r="J4" s="1"/>
      <x:c r="K4" s="1"/>
      <x:c r="L4" s="1"/>
      <x:c r="M4" s="1"/>
      <x:c r="N4" s="1"/>
      <x:c r="O4" s="1"/>
      <x:c r="P4" s="1"/>
    </x:row>
    <x:row r="5">
      <x:c r="A5" s="1"/>
      <x:c r="B5" s="1"/>
      <x:c r="C5" s="1"/>
      <x:c r="D5" s="1"/>
      <x:c r="E5" s="1"/>
      <x:c r="F5" s="1"/>
      <x:c r="G5" s="1"/>
      <x:c r="H5" s="1"/>
      <x:c r="I5" s="1"/>
      <x:c r="J5" s="1"/>
      <x:c r="K5" s="1"/>
      <x:c r="L5" s="1"/>
      <x:c r="M5" s="1"/>
      <x:c r="N5" s="1"/>
      <x:c r="O5" s="1"/>
      <x:c r="P5" s="1"/>
    </x:row>
    <x:row r="6" ht="42" customHeight="1">
      <x:c r="A6" s="3" t="s">
        <x:v>77</x:v>
      </x:c>
      <x:c r="B6" s="3" t="s">
        <x:v>78</x:v>
      </x:c>
      <x:c r="C6" s="3" t="s">
        <x:v>7</x:v>
      </x:c>
      <x:c r="D6" s="3" t="s">
        <x:v>79</x:v>
      </x:c>
      <x:c r="E6" s="3" t="s">
        <x:v>80</x:v>
      </x:c>
      <x:c r="F6" s="3" t="s">
        <x:v>81</x:v>
      </x:c>
      <x:c r="G6" s="3" t="s">
        <x:v>82</x:v>
      </x:c>
      <x:c r="H6" s="3" t="s">
        <x:v>83</x:v>
      </x:c>
      <x:c r="I6" s="3" t="s">
        <x:v>84</x:v>
      </x:c>
      <x:c r="J6" s="1"/>
      <x:c r="K6" s="1"/>
      <x:c r="L6" s="1"/>
      <x:c r="M6" s="1"/>
      <x:c r="N6" s="1"/>
      <x:c r="O6" s="1"/>
      <x:c r="P6" s="1"/>
    </x:row>
    <x:row r="7" ht="76.05000305175781" customHeight="1">
      <x:c r="A7" s="4" t="s">
        <x:v>22</x:v>
      </x:c>
      <x:c r="B7" s="4" t="s">
        <x:v>85</x:v>
      </x:c>
      <x:c r="C7" s="5" t="n">
        <x:f>Despiece!I24</x:f>
        <x:v>1.538983</x:v>
      </x:c>
      <x:c r="D7" s="1" t="s">
        <x:v>86</x:v>
      </x:c>
      <x:c r="E7" s="9"/>
      <x:c r="F7" s="9" t="str">
        <x:f t="shared" ref="F7:F20" si="0">IF(COUNT(C7,E7)=2,C7*E7,"Por cotizar")</x:f>
        <x:v>Por cotizar</x:v>
      </x:c>
      <x:c r="G7" s="12" t="s">
        <x:v>87</x:v>
      </x:c>
      <x:c r="H7" s="12" t="s">
        <x:v>88</x:v>
      </x:c>
      <x:c r="I7" s="4" t="s">
        <x:v>89</x:v>
      </x:c>
      <x:c r="J7" s="1"/>
      <x:c r="K7" s="1"/>
      <x:c r="L7" s="1"/>
      <x:c r="M7" s="1"/>
      <x:c r="N7" s="1"/>
      <x:c r="O7" s="1"/>
      <x:c r="P7" s="1"/>
    </x:row>
    <x:row r="8" ht="76.05000305175781" customHeight="1">
      <x:c r="A8" s="4" t="s">
        <x:v>90</x:v>
      </x:c>
      <x:c r="B8" s="4" t="s">
        <x:v>91</x:v>
      </x:c>
      <x:c r="C8" s="5" t="n">
        <x:f>Despiece!I25</x:f>
        <x:v>0.221216</x:v>
      </x:c>
      <x:c r="D8" s="1" t="s">
        <x:v>86</x:v>
      </x:c>
      <x:c r="E8" s="9"/>
      <x:c r="F8" s="9" t="str">
        <x:f t="shared" si="0">IF(COUNT(C8,E8)=2,C8*E8,"Por cotizar")</x:f>
        <x:v>Por cotizar</x:v>
      </x:c>
      <x:c r="G8" s="12" t="s">
        <x:v>87</x:v>
      </x:c>
      <x:c r="H8" s="12" t="s">
        <x:v>92</x:v>
      </x:c>
      <x:c r="I8" s="4" t="s">
        <x:v>93</x:v>
      </x:c>
      <x:c r="J8" s="1"/>
      <x:c r="K8" s="1"/>
      <x:c r="L8" s="1"/>
      <x:c r="M8" s="1"/>
      <x:c r="N8" s="1"/>
      <x:c r="O8" s="1"/>
      <x:c r="P8" s="1"/>
    </x:row>
    <x:row r="9" ht="76.05000305175781" customHeight="1">
      <x:c r="A9" s="4" t="s">
        <x:v>94</x:v>
      </x:c>
      <x:c r="B9" s="4" t="s">
        <x:v>95</x:v>
      </x:c>
      <x:c r="C9" s="1" t="n">
        <x:f>Cantos!E7</x:f>
        <x:v>2</x:v>
      </x:c>
      <x:c r="D9" s="1" t="s">
        <x:v>96</x:v>
      </x:c>
      <x:c r="E9" s="9"/>
      <x:c r="F9" s="9" t="str">
        <x:f t="shared" si="0">IF(COUNT(C9,E9)=2,C9*E9,"Por cotizar")</x:f>
        <x:v>Por cotizar</x:v>
      </x:c>
      <x:c r="G9" s="12" t="s">
        <x:v>87</x:v>
      </x:c>
      <x:c r="H9" s="12" t="str">
        <x:v>Solo perímetro del panel de puertas B06. Metraje conjunto actualizado en compras-proyecto.xlsx.</x:v>
      </x:c>
      <x:c r="I9" s="4" t="s">
        <x:v>97</x:v>
      </x:c>
      <x:c r="J9" s="1"/>
      <x:c r="K9" s="1"/>
      <x:c r="L9" s="1"/>
      <x:c r="M9" s="1"/>
      <x:c r="N9" s="1"/>
      <x:c r="O9" s="1"/>
      <x:c r="P9" s="1"/>
    </x:row>
    <x:row r="10" ht="76.05000305175781" customHeight="1">
      <x:c r="A10" s="4" t="s">
        <x:v>98</x:v>
      </x:c>
      <x:c r="B10" s="4" t="s">
        <x:v>99</x:v>
      </x:c>
      <x:c r="C10" s="1" t="n">
        <x:f>Cantos!E8</x:f>
        <x:v>25</x:v>
      </x:c>
      <x:c r="D10" s="1" t="s">
        <x:v>96</x:v>
      </x:c>
      <x:c r="E10" s="9"/>
      <x:c r="F10" s="9" t="str">
        <x:f t="shared" si="0">IF(COUNT(C10,E10)=2,C10*E10,"Por cotizar")</x:f>
        <x:v>Por cotizar</x:v>
      </x:c>
      <x:c r="G10" s="12" t="s">
        <x:v>87</x:v>
      </x:c>
      <x:c r="H10" s="12" t="s">
        <x:v>100</x:v>
      </x:c>
      <x:c r="I10" s="4" t="s">
        <x:v>97</x:v>
      </x:c>
      <x:c r="J10" s="1"/>
      <x:c r="K10" s="1"/>
      <x:c r="L10" s="1"/>
      <x:c r="M10" s="1"/>
      <x:c r="N10" s="1"/>
      <x:c r="O10" s="1"/>
      <x:c r="P10" s="1"/>
    </x:row>
    <x:row r="11" ht="76.05000305175781" customHeight="1">
      <x:c r="A11" s="4" t="s">
        <x:v>101</x:v>
      </x:c>
      <x:c r="B11" s="4" t="s">
        <x:v>102</x:v>
      </x:c>
      <x:c r="C11" s="1">
        <x:v>3</x:v>
      </x:c>
      <x:c r="D11" s="1" t="s">
        <x:v>103</x:v>
      </x:c>
      <x:c r="E11" s="9">
        <x:v>17750</x:v>
      </x:c>
      <x:c r="F11" s="9" t="n">
        <x:f t="shared" si="0">IF(COUNT(C11,E11)=2,C11*E11,"Por cotizar")</x:f>
        <x:v>53250</x:v>
      </x:c>
      <x:c r="G11" s="12" t="s">
        <x:v>87</x:v>
      </x:c>
      <x:c r="H11" s="12" t="s">
        <x:v>104</x:v>
      </x:c>
      <x:c r="I11" s="4" t="s">
        <x:v>105</x:v>
      </x:c>
      <x:c r="J11" s="1"/>
      <x:c r="K11" s="1"/>
      <x:c r="L11" s="1"/>
      <x:c r="M11" s="1"/>
      <x:c r="N11" s="1"/>
      <x:c r="O11" s="1"/>
      <x:c r="P11" s="1"/>
    </x:row>
    <x:row r="12" ht="76.05000305175781" customHeight="1">
      <x:c r="A12" s="4" t="s">
        <x:v>50</x:v>
      </x:c>
      <x:c r="B12" s="4" t="s">
        <x:v>106</x:v>
      </x:c>
      <x:c r="C12" s="1">
        <x:v>1</x:v>
      </x:c>
      <x:c r="D12" s="1" t="s">
        <x:v>107</x:v>
      </x:c>
      <x:c r="E12" s="9"/>
      <x:c r="F12" s="9" t="str">
        <x:f t="shared" si="0">IF(COUNT(C12,E12)=2,C12*E12,"Por cotizar")</x:f>
        <x:v>Por cotizar</x:v>
      </x:c>
      <x:c r="G12" s="4" t="s">
        <x:v>108</x:v>
      </x:c>
      <x:c r="H12" s="4" t="s">
        <x:v>109</x:v>
      </x:c>
      <x:c r="I12" s="4" t="s">
        <x:v>110</x:v>
      </x:c>
      <x:c r="J12" s="1"/>
      <x:c r="K12" s="1"/>
      <x:c r="L12" s="1"/>
      <x:c r="M12" s="1"/>
      <x:c r="N12" s="1"/>
      <x:c r="O12" s="1"/>
      <x:c r="P12" s="1"/>
    </x:row>
    <x:row r="13" ht="76.05000305175781" customHeight="1">
      <x:c r="A13" s="4" t="s">
        <x:v>111</x:v>
      </x:c>
      <x:c r="B13" s="4" t="s">
        <x:v>112</x:v>
      </x:c>
      <x:c r="C13" s="1">
        <x:v>1</x:v>
      </x:c>
      <x:c r="D13" s="1" t="s">
        <x:v>107</x:v>
      </x:c>
      <x:c r="E13" s="9"/>
      <x:c r="F13" s="9" t="str">
        <x:f t="shared" si="0">IF(COUNT(C13,E13)=2,C13*E13,"Por cotizar")</x:f>
        <x:v>Por cotizar</x:v>
      </x:c>
      <x:c r="G13" s="4" t="s">
        <x:v>113</x:v>
      </x:c>
      <x:c r="H13" s="4" t="s">
        <x:v>114</x:v>
      </x:c>
      <x:c r="I13" s="4" t="s">
        <x:v>115</x:v>
      </x:c>
      <x:c r="J13" s="1"/>
      <x:c r="K13" s="1"/>
      <x:c r="L13" s="1"/>
      <x:c r="M13" s="1"/>
      <x:c r="N13" s="1"/>
      <x:c r="O13" s="1"/>
      <x:c r="P13" s="1"/>
    </x:row>
    <x:row r="14" ht="76.05000305175781" customHeight="1">
      <x:c r="A14" s="4" t="s">
        <x:v>116</x:v>
      </x:c>
      <x:c r="B14" s="4" t="s">
        <x:v>117</x:v>
      </x:c>
      <x:c r="C14" s="1">
        <x:v>1</x:v>
      </x:c>
      <x:c r="D14" s="1" t="s">
        <x:v>118</x:v>
      </x:c>
      <x:c r="E14" s="9"/>
      <x:c r="F14" s="9" t="str">
        <x:f t="shared" si="0">IF(COUNT(C14,E14)=2,C14*E14,"Por cotizar")</x:f>
        <x:v>Por cotizar</x:v>
      </x:c>
      <x:c r="G14" s="4" t="s">
        <x:v>113</x:v>
      </x:c>
      <x:c r="H14" s="4" t="s">
        <x:v>119</x:v>
      </x:c>
      <x:c r="I14" s="4" t="s">
        <x:v>120</x:v>
      </x:c>
      <x:c r="J14" s="1"/>
      <x:c r="K14" s="1"/>
      <x:c r="L14" s="1"/>
      <x:c r="M14" s="1"/>
      <x:c r="N14" s="1"/>
      <x:c r="O14" s="1"/>
      <x:c r="P14" s="1"/>
    </x:row>
    <x:row r="15" ht="76.05000305175781" customHeight="1">
      <x:c r="A15" s="4" t="s">
        <x:v>121</x:v>
      </x:c>
      <x:c r="B15" s="4" t="s">
        <x:v>122</x:v>
      </x:c>
      <x:c r="C15" s="1">
        <x:v>1</x:v>
      </x:c>
      <x:c r="D15" s="1" t="s">
        <x:v>118</x:v>
      </x:c>
      <x:c r="E15" s="9"/>
      <x:c r="F15" s="9" t="str">
        <x:f t="shared" si="0">IF(COUNT(C15,E15)=2,C15*E15,"Por cotizar")</x:f>
        <x:v>Por cotizar</x:v>
      </x:c>
      <x:c r="G15" s="4" t="s">
        <x:v>113</x:v>
      </x:c>
      <x:c r="H15" s="4" t="s">
        <x:v>123</x:v>
      </x:c>
      <x:c r="I15" s="4" t="s">
        <x:v>120</x:v>
      </x:c>
      <x:c r="J15" s="1"/>
      <x:c r="K15" s="1"/>
      <x:c r="L15" s="1"/>
      <x:c r="M15" s="1"/>
      <x:c r="N15" s="1"/>
      <x:c r="O15" s="1"/>
      <x:c r="P15" s="1"/>
    </x:row>
    <x:row r="16" ht="76.05000305175781" customHeight="1">
      <x:c r="A16" s="4" t="s">
        <x:v>124</x:v>
      </x:c>
      <x:c r="B16" s="4" t="s">
        <x:v>125</x:v>
      </x:c>
      <x:c r="C16" s="1">
        <x:v>1</x:v>
      </x:c>
      <x:c r="D16" s="1" t="s">
        <x:v>126</x:v>
      </x:c>
      <x:c r="E16" s="9"/>
      <x:c r="F16" s="9" t="str">
        <x:f t="shared" si="0">IF(COUNT(C16,E16)=2,C16*E16,"Por cotizar")</x:f>
        <x:v>Por cotizar</x:v>
      </x:c>
      <x:c r="G16" s="4" t="s">
        <x:v>113</x:v>
      </x:c>
      <x:c r="H16" s="4" t="s">
        <x:v>127</x:v>
      </x:c>
      <x:c r="I16" s="4" t="s">
        <x:v>128</x:v>
      </x:c>
      <x:c r="J16" s="1"/>
      <x:c r="K16" s="1"/>
      <x:c r="L16" s="1"/>
      <x:c r="M16" s="1"/>
      <x:c r="N16" s="1"/>
      <x:c r="O16" s="1"/>
      <x:c r="P16" s="1"/>
    </x:row>
    <x:row r="17" ht="76.05000305175781" customHeight="1">
      <x:c r="A17" s="4" t="s">
        <x:v>129</x:v>
      </x:c>
      <x:c r="B17" s="4" t="s">
        <x:v>130</x:v>
      </x:c>
      <x:c r="C17" s="1">
        <x:v>2</x:v>
      </x:c>
      <x:c r="D17" s="1" t="s">
        <x:v>118</x:v>
      </x:c>
      <x:c r="E17" s="9"/>
      <x:c r="F17" s="9" t="str">
        <x:f t="shared" si="0">IF(COUNT(C17,E17)=2,C17*E17,"Por cotizar")</x:f>
        <x:v>Por cotizar</x:v>
      </x:c>
      <x:c r="G17" s="4" t="s">
        <x:v>131</x:v>
      </x:c>
      <x:c r="H17" s="4" t="s">
        <x:v>132</x:v>
      </x:c>
      <x:c r="I17" s="4" t="s">
        <x:v>133</x:v>
      </x:c>
      <x:c r="J17" s="1"/>
      <x:c r="K17" s="1"/>
      <x:c r="L17" s="1"/>
      <x:c r="M17" s="1"/>
      <x:c r="N17" s="1"/>
      <x:c r="O17" s="1"/>
      <x:c r="P17" s="1"/>
    </x:row>
    <x:row r="18" ht="76.05000305175781" customHeight="1">
      <x:c r="A18" s="4" t="s">
        <x:v>134</x:v>
      </x:c>
      <x:c r="B18" s="4" t="s">
        <x:v>135</x:v>
      </x:c>
      <x:c r="C18" s="1">
        <x:v>1</x:v>
      </x:c>
      <x:c r="D18" s="1" t="s">
        <x:v>126</x:v>
      </x:c>
      <x:c r="E18" s="9"/>
      <x:c r="F18" s="9" t="str">
        <x:f t="shared" si="0">IF(COUNT(C18,E18)=2,C18*E18,"Por cotizar")</x:f>
        <x:v>Por cotizar</x:v>
      </x:c>
      <x:c r="G18" s="4" t="s">
        <x:v>131</x:v>
      </x:c>
      <x:c r="H18" s="4" t="s">
        <x:v>136</x:v>
      </x:c>
      <x:c r="I18" s="4" t="s">
        <x:v>137</x:v>
      </x:c>
      <x:c r="J18" s="1"/>
      <x:c r="K18" s="1"/>
      <x:c r="L18" s="1"/>
      <x:c r="M18" s="1"/>
      <x:c r="N18" s="1"/>
      <x:c r="O18" s="1"/>
      <x:c r="P18" s="1"/>
    </x:row>
    <x:row r="19" ht="76.05000305175781" customHeight="1">
      <x:c r="A19" s="4" t="s">
        <x:v>138</x:v>
      </x:c>
      <x:c r="B19" s="4" t="s">
        <x:v>139</x:v>
      </x:c>
      <x:c r="C19" s="1">
        <x:v>1</x:v>
      </x:c>
      <x:c r="D19" s="1" t="s">
        <x:v>140</x:v>
      </x:c>
      <x:c r="E19" s="9"/>
      <x:c r="F19" s="9" t="str">
        <x:f t="shared" si="0">IF(COUNT(C19,E19)=2,C19*E19,"Por cotizar")</x:f>
        <x:v>Por cotizar</x:v>
      </x:c>
      <x:c r="G19" s="4" t="s">
        <x:v>108</x:v>
      </x:c>
      <x:c r="H19" s="4" t="s">
        <x:v>141</x:v>
      </x:c>
      <x:c r="I19" s="4" t="s">
        <x:v>142</x:v>
      </x:c>
      <x:c r="J19" s="1"/>
      <x:c r="K19" s="1"/>
      <x:c r="L19" s="1"/>
      <x:c r="M19" s="1"/>
      <x:c r="N19" s="1"/>
      <x:c r="O19" s="1"/>
      <x:c r="P19" s="1"/>
    </x:row>
    <x:row r="20" ht="76.05000305175781" customHeight="1">
      <x:c r="A20" s="4" t="s">
        <x:v>143</x:v>
      </x:c>
      <x:c r="B20" s="4" t="s">
        <x:v>144</x:v>
      </x:c>
      <x:c r="C20" s="1">
        <x:v>1</x:v>
      </x:c>
      <x:c r="D20" s="1" t="s">
        <x:v>145</x:v>
      </x:c>
      <x:c r="E20" s="9"/>
      <x:c r="F20" s="9" t="str">
        <x:f t="shared" si="0">IF(COUNT(C20,E20)=2,C20*E20,"Por cotizar")</x:f>
        <x:v>Por cotizar</x:v>
      </x:c>
      <x:c r="G20" s="4" t="s">
        <x:v>108</x:v>
      </x:c>
      <x:c r="H20" s="4" t="s">
        <x:v>146</x:v>
      </x:c>
      <x:c r="I20" s="4" t="s">
        <x:v>147</x:v>
      </x:c>
      <x:c r="J20" s="1"/>
      <x:c r="K20" s="1"/>
      <x:c r="L20" s="1"/>
      <x:c r="M20" s="1"/>
      <x:c r="N20" s="1"/>
      <x:c r="O20" s="1"/>
      <x:c r="P20" s="1"/>
    </x:row>
    <x:row r="21">
      <x:c r="A21" s="1"/>
      <x:c r="B21" s="1"/>
      <x:c r="C21" s="1"/>
      <x:c r="D21" s="1"/>
      <x:c r="E21" s="9"/>
      <x:c r="F21" s="9"/>
      <x:c r="G21" s="1"/>
      <x:c r="H21" s="1"/>
      <x:c r="I21" s="1"/>
      <x:c r="J21" s="1"/>
      <x:c r="K21" s="1"/>
      <x:c r="L21" s="1"/>
      <x:c r="M21" s="1"/>
      <x:c r="N21" s="1"/>
      <x:c r="O21" s="1"/>
      <x:c r="P21" s="1"/>
    </x:row>
    <x:row r="22" ht="49.95000076293945" customHeight="1">
      <x:c r="A22" s="8" t="s">
        <x:v>148</x:v>
      </x:c>
      <x:c r="B22" s="8"/>
      <x:c r="C22" s="8"/>
      <x:c r="D22" s="8"/>
      <x:c r="E22" s="10"/>
      <x:c r="F22" s="10" t="n">
        <x:f>SUM(F7:F20)</x:f>
        <x:v>53250</x:v>
      </x:c>
      <x:c r="G22" s="8"/>
      <x:c r="H22" s="13" t="s">
        <x:v>149</x:v>
      </x:c>
      <x:c r="I22" s="8"/>
      <x:c r="J22" s="1"/>
      <x:c r="K22" s="1"/>
      <x:c r="L22" s="1"/>
      <x:c r="M22" s="1"/>
      <x:c r="N22" s="1"/>
      <x:c r="O22" s="1"/>
      <x:c r="P22" s="1"/>
    </x:row>
    <x:row r="23">
      <x:c r="A23" s="1"/>
      <x:c r="B23" s="1"/>
      <x:c r="C23" s="1"/>
      <x:c r="D23" s="1"/>
      <x:c r="E23" s="1"/>
      <x:c r="F23" s="1"/>
      <x:c r="G23" s="1"/>
      <x:c r="H23" s="1"/>
      <x:c r="I23" s="1"/>
      <x:c r="J23" s="1"/>
      <x:c r="K23" s="1"/>
      <x:c r="L23" s="1"/>
      <x:c r="M23" s="1"/>
      <x:c r="N23" s="1"/>
      <x:c r="O23" s="1"/>
      <x:c r="P23" s="1"/>
    </x:row>
    <x:row r="24">
      <x:c r="A24" s="1"/>
      <x:c r="B24" s="1"/>
      <x:c r="C24" s="1"/>
      <x:c r="D24" s="1"/>
      <x:c r="E24" s="1"/>
      <x:c r="F24" s="1"/>
      <x:c r="G24" s="1"/>
      <x:c r="H24" s="1"/>
      <x:c r="I24" s="1"/>
      <x:c r="J24" s="1"/>
      <x:c r="K24" s="1"/>
      <x:c r="L24" s="1"/>
      <x:c r="M24" s="1"/>
      <x:c r="N24" s="1"/>
      <x:c r="O24" s="1"/>
      <x:c r="P24" s="1"/>
    </x:row>
    <x:row r="25">
      <x:c r="A25" s="1"/>
      <x:c r="B25" s="1"/>
      <x:c r="C25" s="1"/>
      <x:c r="D25" s="1"/>
      <x:c r="E25" s="1"/>
      <x:c r="F25" s="1"/>
      <x:c r="G25" s="1"/>
      <x:c r="H25" s="1"/>
      <x:c r="I25" s="1"/>
      <x:c r="J25" s="1"/>
      <x:c r="K25" s="1"/>
      <x:c r="L25" s="1"/>
      <x:c r="M25" s="1"/>
      <x:c r="N25" s="1"/>
      <x:c r="O25" s="1"/>
      <x:c r="P25" s="1"/>
    </x:row>
    <x:row r="26">
      <x:c r="A26" s="1"/>
      <x:c r="B26" s="1"/>
      <x:c r="C26" s="1"/>
      <x:c r="D26" s="1"/>
      <x:c r="E26" s="1"/>
      <x:c r="F26" s="1"/>
      <x:c r="G26" s="1"/>
      <x:c r="H26" s="1"/>
      <x:c r="I26" s="1"/>
      <x:c r="J26" s="1"/>
      <x:c r="K26" s="1"/>
      <x:c r="L26" s="1"/>
      <x:c r="M26" s="1"/>
      <x:c r="N26" s="1"/>
      <x:c r="O26" s="1"/>
      <x:c r="P26" s="1"/>
    </x:row>
    <x:row r="27">
      <x:c r="A27" s="1"/>
      <x:c r="B27" s="1"/>
      <x:c r="C27" s="1"/>
      <x:c r="D27" s="1"/>
      <x:c r="E27" s="1"/>
      <x:c r="F27" s="1"/>
      <x:c r="G27" s="1"/>
      <x:c r="H27" s="1"/>
      <x:c r="I27" s="1"/>
      <x:c r="J27" s="1"/>
      <x:c r="K27" s="1"/>
      <x:c r="L27" s="1"/>
      <x:c r="M27" s="1"/>
      <x:c r="N27" s="1"/>
      <x:c r="O27" s="1"/>
      <x:c r="P27" s="1"/>
    </x:row>
    <x:row r="28">
      <x:c r="A28" s="1"/>
      <x:c r="B28" s="1"/>
      <x:c r="C28" s="1"/>
      <x:c r="D28" s="1"/>
      <x:c r="E28" s="1"/>
      <x:c r="F28" s="1"/>
      <x:c r="G28" s="1"/>
      <x:c r="H28" s="1"/>
      <x:c r="I28" s="1"/>
      <x:c r="J28" s="1"/>
      <x:c r="K28" s="1"/>
      <x:c r="L28" s="1"/>
      <x:c r="M28" s="1"/>
      <x:c r="N28" s="1"/>
      <x:c r="O28" s="1"/>
      <x:c r="P28" s="1"/>
    </x:row>
    <x:row r="29">
      <x:c r="A29" s="1"/>
      <x:c r="B29" s="1"/>
      <x:c r="C29" s="1"/>
      <x:c r="D29" s="1"/>
      <x:c r="E29" s="1"/>
      <x:c r="F29" s="1"/>
      <x:c r="G29" s="1"/>
      <x:c r="H29" s="1"/>
      <x:c r="I29" s="1"/>
      <x:c r="J29" s="1"/>
      <x:c r="K29" s="1"/>
      <x:c r="L29" s="1"/>
      <x:c r="M29" s="1"/>
      <x:c r="N29" s="1"/>
      <x:c r="O29" s="1"/>
      <x:c r="P29" s="1"/>
    </x:row>
    <x:row r="30">
      <x:c r="A30" s="1"/>
      <x:c r="B30" s="1"/>
      <x:c r="C30" s="1"/>
      <x:c r="D30" s="1"/>
      <x:c r="E30" s="1"/>
      <x:c r="F30" s="1"/>
      <x:c r="G30" s="1"/>
      <x:c r="H30" s="1"/>
      <x:c r="I30" s="1"/>
      <x:c r="J30" s="1"/>
      <x:c r="K30" s="1"/>
      <x:c r="L30" s="1"/>
      <x:c r="M30" s="1"/>
      <x:c r="N30" s="1"/>
      <x:c r="O30" s="1"/>
      <x:c r="P30" s="1"/>
    </x:row>
    <x:row r="31">
      <x:c r="A31" s="1"/>
      <x:c r="B31" s="1"/>
      <x:c r="C31" s="1"/>
      <x:c r="D31" s="1"/>
      <x:c r="E31" s="1"/>
      <x:c r="F31" s="1"/>
      <x:c r="G31" s="1"/>
      <x:c r="H31" s="1"/>
      <x:c r="I31" s="1"/>
      <x:c r="J31" s="1"/>
      <x:c r="K31" s="1"/>
      <x:c r="L31" s="1"/>
      <x:c r="M31" s="1"/>
      <x:c r="N31" s="1"/>
      <x:c r="O31" s="1"/>
      <x:c r="P31" s="1"/>
    </x:row>
    <x:row r="32">
      <x:c r="A32" s="1"/>
      <x:c r="B32" s="1"/>
      <x:c r="C32" s="1"/>
      <x:c r="D32" s="1"/>
      <x:c r="E32" s="1"/>
      <x:c r="F32" s="1"/>
      <x:c r="G32" s="1"/>
      <x:c r="H32" s="1"/>
      <x:c r="I32" s="1"/>
      <x:c r="J32" s="1"/>
      <x:c r="K32" s="1"/>
      <x:c r="L32" s="1"/>
      <x:c r="M32" s="1"/>
      <x:c r="N32" s="1"/>
      <x:c r="O32" s="1"/>
      <x:c r="P32" s="1"/>
    </x:row>
    <x:row r="33">
      <x:c r="A33" s="1"/>
      <x:c r="B33" s="1"/>
      <x:c r="C33" s="1"/>
      <x:c r="D33" s="1"/>
      <x:c r="E33" s="1"/>
      <x:c r="F33" s="1"/>
      <x:c r="G33" s="1"/>
      <x:c r="H33" s="1"/>
      <x:c r="I33" s="1"/>
      <x:c r="J33" s="1"/>
      <x:c r="K33" s="1"/>
      <x:c r="L33" s="1"/>
      <x:c r="M33" s="1"/>
      <x:c r="N33" s="1"/>
      <x:c r="O33" s="1"/>
      <x:c r="P33" s="1"/>
    </x:row>
    <x:row r="34">
      <x:c r="A34" s="1"/>
      <x:c r="B34" s="1"/>
      <x:c r="C34" s="1"/>
      <x:c r="D34" s="1"/>
      <x:c r="E34" s="1"/>
      <x:c r="F34" s="1"/>
      <x:c r="G34" s="1"/>
      <x:c r="H34" s="1"/>
      <x:c r="I34" s="1"/>
      <x:c r="J34" s="1"/>
      <x:c r="K34" s="1"/>
      <x:c r="L34" s="1"/>
      <x:c r="M34" s="1"/>
      <x:c r="N34" s="1"/>
      <x:c r="O34" s="1"/>
      <x:c r="P34" s="1"/>
    </x:row>
    <x:row r="35">
      <x:c r="A35" s="1"/>
      <x:c r="B35" s="1"/>
      <x:c r="C35" s="1"/>
      <x:c r="D35" s="1"/>
      <x:c r="E35" s="1"/>
      <x:c r="F35" s="1"/>
      <x:c r="G35" s="1"/>
      <x:c r="H35" s="1"/>
      <x:c r="I35" s="1"/>
      <x:c r="J35" s="1"/>
      <x:c r="K35" s="1"/>
      <x:c r="L35" s="1"/>
      <x:c r="M35" s="1"/>
      <x:c r="N35" s="1"/>
      <x:c r="O35" s="1"/>
      <x:c r="P35" s="1"/>
    </x:row>
    <x:row r="36">
      <x:c r="A36" s="1"/>
      <x:c r="B36" s="1"/>
      <x:c r="C36" s="1"/>
      <x:c r="D36" s="1"/>
      <x:c r="E36" s="1"/>
      <x:c r="F36" s="1"/>
      <x:c r="G36" s="1"/>
      <x:c r="H36" s="1"/>
      <x:c r="I36" s="1"/>
      <x:c r="J36" s="1"/>
      <x:c r="K36" s="1"/>
      <x:c r="L36" s="1"/>
      <x:c r="M36" s="1"/>
      <x:c r="N36" s="1"/>
      <x:c r="O36" s="1"/>
      <x:c r="P36" s="1"/>
    </x:row>
    <x:row r="37">
      <x:c r="A37" s="1"/>
      <x:c r="B37" s="1"/>
      <x:c r="C37" s="1"/>
      <x:c r="D37" s="1"/>
      <x:c r="E37" s="1"/>
      <x:c r="F37" s="1"/>
      <x:c r="G37" s="1"/>
      <x:c r="H37" s="1"/>
      <x:c r="I37" s="1"/>
      <x:c r="J37" s="1"/>
      <x:c r="K37" s="1"/>
      <x:c r="L37" s="1"/>
      <x:c r="M37" s="1"/>
      <x:c r="N37" s="1"/>
      <x:c r="O37" s="1"/>
      <x:c r="P37" s="1"/>
    </x:row>
    <x:row r="38">
      <x:c r="A38" s="1"/>
      <x:c r="B38" s="1"/>
      <x:c r="C38" s="1"/>
      <x:c r="D38" s="1"/>
      <x:c r="E38" s="1"/>
      <x:c r="F38" s="1"/>
      <x:c r="G38" s="1"/>
      <x:c r="H38" s="1"/>
      <x:c r="I38" s="1"/>
      <x:c r="J38" s="1"/>
      <x:c r="K38" s="1"/>
      <x:c r="L38" s="1"/>
      <x:c r="M38" s="1"/>
      <x:c r="N38" s="1"/>
      <x:c r="O38" s="1"/>
      <x:c r="P38" s="1"/>
    </x:row>
    <x:row r="39">
      <x:c r="A39" s="1"/>
      <x:c r="B39" s="1"/>
      <x:c r="C39" s="1"/>
      <x:c r="D39" s="1"/>
      <x:c r="E39" s="1"/>
      <x:c r="F39" s="1"/>
      <x:c r="G39" s="1"/>
      <x:c r="H39" s="1"/>
      <x:c r="I39" s="1"/>
      <x:c r="J39" s="1"/>
      <x:c r="K39" s="1"/>
      <x:c r="L39" s="1"/>
      <x:c r="M39" s="1"/>
      <x:c r="N39" s="1"/>
      <x:c r="O39" s="1"/>
      <x:c r="P39" s="1"/>
    </x:row>
    <x:row r="40">
      <x:c r="A40" s="1"/>
      <x:c r="B40" s="1"/>
      <x:c r="C40" s="1"/>
      <x:c r="D40" s="1"/>
      <x:c r="E40" s="1"/>
      <x:c r="F40" s="1"/>
      <x:c r="G40" s="1"/>
      <x:c r="H40" s="1"/>
      <x:c r="I40" s="1"/>
      <x:c r="J40" s="1"/>
      <x:c r="K40" s="1"/>
      <x:c r="L40" s="1"/>
      <x:c r="M40" s="1"/>
      <x:c r="N40" s="1"/>
      <x:c r="O40" s="1"/>
      <x:c r="P40" s="1"/>
    </x:row>
    <x:row r="41">
      <x:c r="A41" s="1"/>
      <x:c r="B41" s="1"/>
      <x:c r="C41" s="1"/>
      <x:c r="D41" s="1"/>
      <x:c r="E41" s="1"/>
      <x:c r="F41" s="1"/>
      <x:c r="G41" s="1"/>
      <x:c r="H41" s="1"/>
      <x:c r="I41" s="1"/>
      <x:c r="J41" s="1"/>
      <x:c r="K41" s="1"/>
      <x:c r="L41" s="1"/>
      <x:c r="M41" s="1"/>
      <x:c r="N41" s="1"/>
      <x:c r="O41" s="1"/>
      <x:c r="P41" s="1"/>
    </x:row>
    <x:row r="42">
      <x:c r="A42" s="1"/>
      <x:c r="B42" s="1"/>
      <x:c r="C42" s="1"/>
      <x:c r="D42" s="1"/>
      <x:c r="E42" s="1"/>
      <x:c r="F42" s="1"/>
      <x:c r="G42" s="1"/>
      <x:c r="H42" s="1"/>
      <x:c r="I42" s="1"/>
      <x:c r="J42" s="1"/>
      <x:c r="K42" s="1"/>
      <x:c r="L42" s="1"/>
      <x:c r="M42" s="1"/>
      <x:c r="N42" s="1"/>
      <x:c r="O42" s="1"/>
      <x:c r="P42" s="1"/>
    </x:row>
    <x:row r="43">
      <x:c r="A43" s="1"/>
      <x:c r="B43" s="1"/>
      <x:c r="C43" s="1"/>
      <x:c r="D43" s="1"/>
      <x:c r="E43" s="1"/>
      <x:c r="F43" s="1"/>
      <x:c r="G43" s="1"/>
      <x:c r="H43" s="1"/>
      <x:c r="I43" s="1"/>
      <x:c r="J43" s="1"/>
      <x:c r="K43" s="1"/>
      <x:c r="L43" s="1"/>
      <x:c r="M43" s="1"/>
      <x:c r="N43" s="1"/>
      <x:c r="O43" s="1"/>
      <x:c r="P43" s="1"/>
    </x:row>
    <x:row r="44">
      <x:c r="A44" s="1"/>
      <x:c r="B44" s="1"/>
      <x:c r="C44" s="1"/>
      <x:c r="D44" s="1"/>
      <x:c r="E44" s="1"/>
      <x:c r="F44" s="1"/>
      <x:c r="G44" s="1"/>
      <x:c r="H44" s="1"/>
      <x:c r="I44" s="1"/>
      <x:c r="J44" s="1"/>
      <x:c r="K44" s="1"/>
      <x:c r="L44" s="1"/>
      <x:c r="M44" s="1"/>
      <x:c r="N44" s="1"/>
      <x:c r="O44" s="1"/>
      <x:c r="P44" s="1"/>
    </x:row>
    <x:row r="45">
      <x:c r="A45" s="1"/>
      <x:c r="B45" s="1"/>
      <x:c r="C45" s="1"/>
      <x:c r="D45" s="1"/>
      <x:c r="E45" s="1"/>
      <x:c r="F45" s="1"/>
      <x:c r="G45" s="1"/>
      <x:c r="H45" s="1"/>
      <x:c r="I45" s="1"/>
      <x:c r="J45" s="1"/>
      <x:c r="K45" s="1"/>
      <x:c r="L45" s="1"/>
      <x:c r="M45" s="1"/>
      <x:c r="N45" s="1"/>
      <x:c r="O45" s="1"/>
      <x:c r="P45" s="1"/>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796875" defaultRowHeight="13.800000190734863"/>
  <x:cols>
    <x:col min="1" max="1" width="23" customWidth="1"/>
    <x:col min="2" max="2" width="17" customWidth="1"/>
    <x:col min="3" max="3" width="13" customWidth="1"/>
    <x:col min="4" max="4" width="16" customWidth="1"/>
    <x:col min="5" max="5" width="22" customWidth="1"/>
    <x:col min="6" max="6" width="23" customWidth="1"/>
    <x:col min="7" max="7" width="19" customWidth="1"/>
    <x:col min="8" max="8" width="21" customWidth="1"/>
    <x:col min="9" max="9" width="15" customWidth="1"/>
    <x:col min="10" max="10" width="45" customWidth="1"/>
    <x:col min="11" max="11" width="18" customWidth="1"/>
  </x:cols>
  <x:sheetData>
    <x:row r="1">
      <x:c r="A1" s="1"/>
      <x:c r="B1" s="1"/>
      <x:c r="C1" s="1"/>
      <x:c r="D1" s="1"/>
      <x:c r="E1" s="1"/>
      <x:c r="F1" s="1"/>
      <x:c r="G1" s="1"/>
      <x:c r="H1" s="1"/>
      <x:c r="I1" s="1"/>
      <x:c r="J1" s="1"/>
      <x:c r="K1" s="1"/>
      <x:c r="L1" s="1"/>
      <x:c r="M1" s="1"/>
      <x:c r="N1" s="1"/>
      <x:c r="O1" s="1"/>
      <x:c r="P1" s="1"/>
    </x:row>
    <x:row r="2" ht="21">
      <x:c r="A2" s="2" t="s">
        <x:v>150</x:v>
      </x:c>
      <x:c r="B2" s="1"/>
      <x:c r="C2" s="1"/>
      <x:c r="D2" s="1"/>
      <x:c r="E2" s="1"/>
      <x:c r="F2" s="1"/>
      <x:c r="G2" s="1"/>
      <x:c r="H2" s="1" t="s">
        <x:v>151</x:v>
      </x:c>
      <x:c r="I2" s="1">
        <x:v>0.05</x:v>
      </x:c>
      <x:c r="J2" s="1"/>
      <x:c r="K2" s="1"/>
      <x:c r="L2" s="1"/>
      <x:c r="M2" s="1"/>
      <x:c r="N2" s="1"/>
      <x:c r="O2" s="1"/>
      <x:c r="P2" s="1"/>
    </x:row>
    <x:row r="3" ht="85" customHeight="1">
      <x:c r="A3" s="20" t="str">
        <x:v>Un solo tipo de canto por pieza: rígido 2 mm en puertas/frentes de uso frecuente y terminal expuesto; flexible 0,45 mm en estructura e interiores. Se conservan los bordes protegidos y las medidas terminadas. El corte del tablero descuenta el espesor nuevo una sola vez. En baño todos los bordes permanecen canteados. B06 se pide con perímetro rígido; los dos bordes nuevos de la diagonal se hacen con flexible en el armado, fuera del optimizador.</x:v>
      </x:c>
      <x:c r="B3" s="1"/>
      <x:c r="C3" s="1"/>
      <x:c r="D3" s="1"/>
      <x:c r="E3" s="1"/>
      <x:c r="F3" s="1"/>
      <x:c r="G3" s="1"/>
      <x:c r="H3" s="1" t="s">
        <x:v>152</x:v>
      </x:c>
      <x:c r="I3" s="1">
        <x:v>75</x:v>
      </x:c>
      <x:c r="J3" s="1" t="s">
        <x:v>153</x:v>
      </x:c>
      <x:c r="K3" s="6" t="n">
        <x:f>Despiece!F12/SIN(RADIANS(I3))</x:f>
        <x:v>309.54757794261485</x:v>
      </x:c>
      <x:c r="L3" s="1"/>
      <x:c r="M3" s="1"/>
      <x:c r="N3" s="1"/>
      <x:c r="O3" s="1"/>
      <x:c r="P3" s="1"/>
    </x:row>
    <x:row r="4">
      <x:c r="A4" s="1"/>
      <x:c r="B4" s="1"/>
      <x:c r="C4" s="1"/>
      <x:c r="D4" s="1"/>
      <x:c r="E4" s="1"/>
      <x:c r="F4" s="1"/>
      <x:c r="G4" s="1"/>
      <x:c r="H4" s="11" t="s">
        <x:v>154</x:v>
      </x:c>
      <x:c r="I4" s="1">
        <x:v>1.5</x:v>
      </x:c>
      <x:c r="J4" s="1" t="s">
        <x:v>155</x:v>
      </x:c>
      <x:c r="K4" s="6" t="n">
        <x:f>I4-2*I5</x:f>
        <x:v>0.6</x:v>
      </x:c>
      <x:c r="L4" s="1"/>
      <x:c r="M4" s="1"/>
      <x:c r="N4" s="1"/>
      <x:c r="O4" s="1"/>
      <x:c r="P4" s="1"/>
    </x:row>
    <x:row r="5">
      <x:c r="A5" s="1"/>
      <x:c r="B5" s="1"/>
      <x:c r="C5" s="1"/>
      <x:c r="D5" s="1"/>
      <x:c r="E5" s="1"/>
      <x:c r="F5" s="1"/>
      <x:c r="G5" s="1"/>
      <x:c r="H5" s="1" t="s">
        <x:v>156</x:v>
      </x:c>
      <x:c r="I5" s="1">
        <x:v>0.45</x:v>
      </x:c>
      <x:c r="J5" s="1" t="s">
        <x:v>157</x:v>
      </x:c>
      <x:c r="K5" s="6" t="n">
        <x:f>K4/SIN(RADIANS(I3))</x:f>
        <x:v>0.6211657082460498</x:v>
      </x:c>
      <x:c r="L5" s="1"/>
      <x:c r="M5" s="1"/>
      <x:c r="N5" s="1"/>
      <x:c r="O5" s="1"/>
      <x:c r="P5" s="1"/>
    </x:row>
    <x:row r="6" ht="42" customHeight="1">
      <x:c r="A6" s="3" t="s">
        <x:v>158</x:v>
      </x:c>
      <x:c r="B6" s="3" t="s">
        <x:v>159</x:v>
      </x:c>
      <x:c r="C6" s="3" t="s">
        <x:v>160</x:v>
      </x:c>
      <x:c r="D6" s="3" t="s">
        <x:v>161</x:v>
      </x:c>
      <x:c r="E6" s="3" t="s">
        <x:v>162</x:v>
      </x:c>
      <x:c r="F6" s="3" t="s">
        <x:v>163</x:v>
      </x:c>
      <x:c r="G6" s="3" t="s">
        <x:v>164</x:v>
      </x:c>
      <x:c r="H6" s="3" t="s">
        <x:v>165</x:v>
      </x:c>
      <x:c r="I6" s="1"/>
      <x:c r="J6" s="1"/>
      <x:c r="K6" s="1"/>
      <x:c r="L6" s="1"/>
      <x:c r="M6" s="1"/>
      <x:c r="N6" s="1"/>
      <x:c r="O6" s="1"/>
      <x:c r="P6" s="1"/>
    </x:row>
    <x:row r="7" ht="45" customHeight="1">
      <x:c r="A7" s="1" t="s">
        <x:v>166</x:v>
      </x:c>
      <x:c r="B7" s="7" t="n">
        <x:f>(SUMPRODUCT(Despiece!$E$7:$E$19,Despiece!$F$7:$F$19,(Despiece!$J$7:$J$19="2")+(Despiece!$K$7:$K$19="2"))+SUMPRODUCT(Despiece!$E$7:$E$19,Despiece!$G$7:$G$19,(Despiece!$L$7:$L$19="2")+(Despiece!$M$7:$M$19="2")))/1000</x:f>
        <x:v>1.632</x:v>
      </x:c>
      <x:c r="C7" s="1" t="n">
        <x:f>SUMPRODUCT(Despiece!$E$7:$E$19,(Despiece!$J$7:$J$19="2")+(Despiece!$K$7:$K$19="2")+(Despiece!$L$7:$L$19="2")+(Despiece!$M$7:$M$19="2"))</x:f>
        <x:v>4</x:v>
      </x:c>
      <x:c r="D7" s="1" t="n">
        <x:f>C7*$I$2</x:f>
        <x:v>0.2</x:v>
      </x:c>
      <x:c r="E7" s="1" t="n">
        <x:f>ROUNDUP(B7+D7,0)</x:f>
        <x:v>2</x:v>
      </x:c>
      <x:c r="F7" s="7" t="n">
        <x:f>(SUMPRODUCT(Despiece!$E$7:$E$19,Despiece!$F$7:$F$19,(Despiece!$J$7:$J$19="2")+(Despiece!$K$7:$K$19="2"),--('Pedido de corte'!$L$7:$L$19="Pequeña"))+SUMPRODUCT(Despiece!$E$7:$E$19,Despiece!$G$7:$G$19,(Despiece!$L$7:$L$19="2")+(Despiece!$M$7:$M$19="2"),--('Pedido de corte'!$L$7:$L$19="Pequeña")))/1000</x:f>
        <x:v>0</x:v>
      </x:c>
      <x:c r="G7" s="1" t="n">
        <x:f>SUMPRODUCT(Despiece!$E$7:$E$19,(Despiece!$J$7:$J$19="2")+(Despiece!$K$7:$K$19="2")+(Despiece!$L$7:$L$19="2")+(Despiece!$M$7:$M$19="2"),--('Pedido de corte'!$L$7:$L$19="Pequeña"))</x:f>
        <x:v>0</x:v>
      </x:c>
      <x:c r="H7" s="1" t="n">
        <x:f>IF(G7=0,0,ROUNDUP((F7+G7*0.1)*1.2,0))</x:f>
        <x:v>0</x:v>
      </x:c>
      <x:c r="I7" s="1"/>
      <x:c r="J7" s="1"/>
      <x:c r="K7" s="1"/>
      <x:c r="L7" s="1"/>
      <x:c r="M7" s="1"/>
      <x:c r="N7" s="1"/>
      <x:c r="O7" s="1"/>
      <x:c r="P7" s="1"/>
    </x:row>
    <x:row r="8" ht="45" customHeight="1">
      <x:c r="A8" s="1" t="s">
        <x:v>167</x:v>
      </x:c>
      <x:c r="B8" s="7" t="n">
        <x:f>(SUMPRODUCT(Despiece!$E$7:$E$19,Despiece!$F$7:$F$19,(Despiece!$J$7:$J$19="0.45")+(Despiece!$K$7:$K$19="0.45"))+SUMPRODUCT(Despiece!$E$7:$E$19,Despiece!$G$7:$G$19,(Despiece!$L$7:$L$19="0.45")+(Despiece!$M$7:$M$19="0.45")))/1000+2*$K$3/1000</x:f>
        <x:v>21.39309515588523</x:v>
      </x:c>
      <x:c r="C8" s="1" t="n">
        <x:f>SUMPRODUCT(Despiece!$E$7:$E$19,(Despiece!$J$7:$J$19="0.45")+(Despiece!$K$7:$K$19="0.45")+(Despiece!$L$7:$L$19="0.45")+(Despiece!$M$7:$M$19="0.45"))+2</x:f>
        <x:v>70</x:v>
      </x:c>
      <x:c r="D8" s="1" t="n">
        <x:f>C8*$I$2</x:f>
        <x:v>3.5</x:v>
      </x:c>
      <x:c r="E8" s="1" t="n">
        <x:f>ROUNDUP(B8+D8,0)</x:f>
        <x:v>25</x:v>
      </x:c>
      <x:c r="F8" s="7" t="n">
        <x:f>(SUMPRODUCT(Despiece!$E$7:$E$19,Despiece!$F$7:$F$19,(Despiece!$J$7:$J$19="0.45")+(Despiece!$K$7:$K$19="0.45"),--('Pedido de corte'!$L$7:$L$19="Pequeña"))+SUMPRODUCT(Despiece!$E$7:$E$19,Despiece!$G$7:$G$19,(Despiece!$L$7:$L$19="0.45")+(Despiece!$M$7:$M$19="0.45"),--('Pedido de corte'!$L$7:$L$19="Pequeña")))/1000+2*$K$3/1000</x:f>
        <x:v>4.84909515588523</x:v>
      </x:c>
      <x:c r="G8" s="1" t="n">
        <x:f>SUMPRODUCT(Despiece!$E$7:$E$19,(Despiece!$J$7:$J$19="0.45")+(Despiece!$K$7:$K$19="0.45")+(Despiece!$L$7:$L$19="0.45")+(Despiece!$M$7:$M$19="0.45"),--('Pedido de corte'!$L$7:$L$19="Pequeña"))+2</x:f>
        <x:v>26</x:v>
      </x:c>
      <x:c r="H8" s="1" t="n">
        <x:f>IF(G8=0,0,ROUNDUP((F8+G8*0.1)*1.2,0))</x:f>
        <x:v>9</x:v>
      </x:c>
      <x:c r="I8" s="1"/>
      <x:c r="J8" s="1"/>
      <x:c r="K8" s="1"/>
      <x:c r="L8" s="1"/>
      <x:c r="M8" s="1"/>
      <x:c r="N8" s="1"/>
      <x:c r="O8" s="1"/>
      <x:c r="P8" s="1"/>
    </x:row>
    <x:row r="9">
      <x:c r="A9" s="1"/>
      <x:c r="B9" s="1"/>
      <x:c r="C9" s="1"/>
      <x:c r="D9" s="1"/>
      <x:c r="E9" s="1"/>
      <x:c r="F9" s="1"/>
      <x:c r="G9" s="1"/>
      <x:c r="H9" s="1"/>
      <x:c r="I9" s="1"/>
      <x:c r="J9" s="1"/>
      <x:c r="K9" s="1"/>
      <x:c r="L9" s="1"/>
      <x:c r="M9" s="1"/>
      <x:c r="N9" s="1"/>
      <x:c r="O9" s="1"/>
      <x:c r="P9" s="1"/>
    </x:row>
    <x:row r="10">
      <x:c r="A10" s="1" t="s">
        <x:v>168</x:v>
      </x:c>
      <x:c r="B10" s="1"/>
      <x:c r="C10" s="1"/>
      <x:c r="D10" s="1"/>
      <x:c r="E10" s="1"/>
      <x:c r="F10" s="1"/>
      <x:c r="G10" s="1"/>
      <x:c r="H10" s="1"/>
      <x:c r="I10" s="1"/>
      <x:c r="J10" s="1"/>
      <x:c r="K10" s="1"/>
      <x:c r="L10" s="1"/>
      <x:c r="M10" s="1"/>
      <x:c r="N10" s="1"/>
      <x:c r="O10" s="1"/>
      <x:c r="P10" s="1"/>
    </x:row>
    <x:row r="11" ht="85" customHeight="1">
      <x:c r="A11" s="20" t="str">
        <x:v>Metros recalculados en compras-proyecto.xlsx. No duplicar la compra de canto de los tres muebles.</x:v>
      </x:c>
      <x:c r="B11" s="1"/>
      <x:c r="C11" s="1"/>
      <x:c r="D11" s="1"/>
      <x:c r="E11" s="1"/>
      <x:c r="F11" s="1"/>
      <x:c r="G11" s="1"/>
      <x:c r="H11" s="1"/>
      <x:c r="I11" s="1"/>
      <x:c r="J11" s="1"/>
      <x:c r="K11" s="1"/>
      <x:c r="L11" s="1"/>
      <x:c r="M11" s="1"/>
      <x:c r="N11" s="1"/>
      <x:c r="O11" s="1"/>
      <x:c r="P11" s="1"/>
    </x:row>
    <x:row r="12">
      <x:c r="A12" s="1" t="s">
        <x:v>169</x:v>
      </x:c>
      <x:c r="B12" s="1"/>
      <x:c r="C12" s="1"/>
      <x:c r="D12" s="1"/>
      <x:c r="E12" s="1"/>
      <x:c r="F12" s="1"/>
      <x:c r="G12" s="1"/>
      <x:c r="H12" s="1"/>
      <x:c r="I12" s="1"/>
      <x:c r="J12" s="1"/>
      <x:c r="K12" s="1"/>
      <x:c r="L12" s="1"/>
      <x:c r="M12" s="1"/>
      <x:c r="N12" s="1"/>
      <x:c r="O12" s="1"/>
      <x:c r="P12" s="1"/>
    </x:row>
    <x:row r="13">
      <x:c r="A13" s="1"/>
      <x:c r="B13" s="1"/>
      <x:c r="C13" s="1"/>
      <x:c r="D13" s="1"/>
      <x:c r="E13" s="1"/>
      <x:c r="F13" s="1"/>
      <x:c r="G13" s="1"/>
      <x:c r="H13" s="1"/>
      <x:c r="I13" s="1"/>
      <x:c r="J13" s="1"/>
      <x:c r="K13" s="1"/>
      <x:c r="L13" s="1"/>
      <x:c r="M13" s="1"/>
      <x:c r="N13" s="1"/>
      <x:c r="O13" s="1"/>
      <x:c r="P13" s="1"/>
    </x:row>
    <x:row r="14">
      <x:c r="A14" s="1"/>
      <x:c r="B14" s="1"/>
      <x:c r="C14" s="1"/>
      <x:c r="D14" s="1"/>
      <x:c r="E14" s="1"/>
      <x:c r="F14" s="1"/>
      <x:c r="G14" s="1"/>
      <x:c r="H14" s="1"/>
      <x:c r="I14" s="1"/>
      <x:c r="J14" s="1"/>
      <x:c r="K14" s="1"/>
      <x:c r="L14" s="1"/>
      <x:c r="M14" s="1"/>
      <x:c r="N14" s="1"/>
      <x:c r="O14" s="1"/>
      <x:c r="P14" s="1"/>
    </x:row>
    <x:row r="15">
      <x:c r="A15" s="1"/>
      <x:c r="B15" s="1"/>
      <x:c r="C15" s="1"/>
      <x:c r="D15" s="1"/>
      <x:c r="E15" s="1"/>
      <x:c r="F15" s="1"/>
      <x:c r="G15" s="1"/>
      <x:c r="H15" s="1"/>
      <x:c r="I15" s="1"/>
      <x:c r="J15" s="1"/>
      <x:c r="K15" s="1"/>
      <x:c r="L15" s="1"/>
      <x:c r="M15" s="1"/>
      <x:c r="N15" s="1"/>
      <x:c r="O15" s="1"/>
      <x:c r="P15" s="1"/>
    </x:row>
    <x:row r="16">
      <x:c r="A16" s="1"/>
      <x:c r="B16" s="1"/>
      <x:c r="C16" s="1"/>
      <x:c r="D16" s="1"/>
      <x:c r="E16" s="1"/>
      <x:c r="F16" s="1"/>
      <x:c r="G16" s="1"/>
      <x:c r="H16" s="1"/>
      <x:c r="I16" s="1"/>
      <x:c r="J16" s="1"/>
      <x:c r="K16" s="1"/>
      <x:c r="L16" s="1"/>
      <x:c r="M16" s="1"/>
      <x:c r="N16" s="1"/>
      <x:c r="O16" s="1"/>
      <x:c r="P16" s="1"/>
    </x:row>
    <x:row r="17">
      <x:c r="A17" s="1"/>
      <x:c r="B17" s="1"/>
      <x:c r="C17" s="1"/>
      <x:c r="D17" s="1"/>
      <x:c r="E17" s="1"/>
      <x:c r="F17" s="1"/>
      <x:c r="G17" s="1"/>
      <x:c r="H17" s="1"/>
      <x:c r="I17" s="1"/>
      <x:c r="J17" s="1"/>
      <x:c r="K17" s="1"/>
      <x:c r="L17" s="1"/>
      <x:c r="M17" s="1"/>
      <x:c r="N17" s="1"/>
      <x:c r="O17" s="1"/>
      <x:c r="P17" s="1"/>
    </x:row>
    <x:row r="18">
      <x:c r="A18" s="1"/>
      <x:c r="B18" s="1"/>
      <x:c r="C18" s="1"/>
      <x:c r="D18" s="1"/>
      <x:c r="E18" s="1"/>
      <x:c r="F18" s="1"/>
      <x:c r="G18" s="1"/>
      <x:c r="H18" s="1"/>
      <x:c r="I18" s="1"/>
      <x:c r="J18" s="1"/>
      <x:c r="K18" s="1"/>
      <x:c r="L18" s="1"/>
      <x:c r="M18" s="1"/>
      <x:c r="N18" s="1"/>
      <x:c r="O18" s="1"/>
      <x:c r="P18" s="1"/>
    </x:row>
    <x:row r="19">
      <x:c r="A19" s="1"/>
      <x:c r="B19" s="1"/>
      <x:c r="C19" s="1"/>
      <x:c r="D19" s="1"/>
      <x:c r="E19" s="1"/>
      <x:c r="F19" s="1"/>
      <x:c r="G19" s="1"/>
      <x:c r="H19" s="1"/>
      <x:c r="I19" s="1"/>
      <x:c r="J19" s="1"/>
      <x:c r="K19" s="1"/>
      <x:c r="L19" s="1"/>
      <x:c r="M19" s="1"/>
      <x:c r="N19" s="1"/>
      <x:c r="O19" s="1"/>
      <x:c r="P19" s="1"/>
    </x:row>
    <x:row r="20">
      <x:c r="A20" s="1"/>
      <x:c r="B20" s="1"/>
      <x:c r="C20" s="1"/>
      <x:c r="D20" s="1"/>
      <x:c r="E20" s="1"/>
      <x:c r="F20" s="1"/>
      <x:c r="G20" s="1"/>
      <x:c r="H20" s="1"/>
      <x:c r="I20" s="1"/>
      <x:c r="J20" s="1"/>
      <x:c r="K20" s="1"/>
      <x:c r="L20" s="1"/>
      <x:c r="M20" s="1"/>
      <x:c r="N20" s="1"/>
      <x:c r="O20" s="1"/>
      <x:c r="P20" s="1"/>
    </x:row>
    <x:row r="21">
      <x:c r="A21" s="1"/>
      <x:c r="B21" s="1"/>
      <x:c r="C21" s="1"/>
      <x:c r="D21" s="1"/>
      <x:c r="E21" s="1"/>
      <x:c r="F21" s="1"/>
      <x:c r="G21" s="1"/>
      <x:c r="H21" s="1"/>
      <x:c r="I21" s="1"/>
      <x:c r="J21" s="1"/>
      <x:c r="K21" s="1"/>
      <x:c r="L21" s="1"/>
      <x:c r="M21" s="1"/>
      <x:c r="N21" s="1"/>
      <x:c r="O21" s="1"/>
      <x:c r="P21" s="1"/>
    </x:row>
    <x:row r="22">
      <x:c r="A22" s="1"/>
      <x:c r="B22" s="1"/>
      <x:c r="C22" s="1"/>
      <x:c r="D22" s="1"/>
      <x:c r="E22" s="1"/>
      <x:c r="F22" s="1"/>
      <x:c r="G22" s="1"/>
      <x:c r="H22" s="1"/>
      <x:c r="I22" s="1"/>
      <x:c r="J22" s="1"/>
      <x:c r="K22" s="1"/>
      <x:c r="L22" s="1"/>
      <x:c r="M22" s="1"/>
      <x:c r="N22" s="1"/>
      <x:c r="O22" s="1"/>
      <x:c r="P22" s="1"/>
    </x:row>
    <x:row r="23">
      <x:c r="A23" s="1"/>
      <x:c r="B23" s="1"/>
      <x:c r="C23" s="1"/>
      <x:c r="D23" s="1"/>
      <x:c r="E23" s="1"/>
      <x:c r="F23" s="1"/>
      <x:c r="G23" s="1"/>
      <x:c r="H23" s="1"/>
      <x:c r="I23" s="1"/>
      <x:c r="J23" s="1"/>
      <x:c r="K23" s="1"/>
      <x:c r="L23" s="1"/>
      <x:c r="M23" s="1"/>
      <x:c r="N23" s="1"/>
      <x:c r="O23" s="1"/>
      <x:c r="P23" s="1"/>
    </x:row>
    <x:row r="24">
      <x:c r="A24" s="1"/>
      <x:c r="B24" s="1"/>
      <x:c r="C24" s="1"/>
      <x:c r="D24" s="1"/>
      <x:c r="E24" s="1"/>
      <x:c r="F24" s="1"/>
      <x:c r="G24" s="1"/>
      <x:c r="H24" s="1"/>
      <x:c r="I24" s="1"/>
      <x:c r="J24" s="1"/>
      <x:c r="K24" s="1"/>
      <x:c r="L24" s="1"/>
      <x:c r="M24" s="1"/>
      <x:c r="N24" s="1"/>
      <x:c r="O24" s="1"/>
      <x:c r="P24" s="1"/>
    </x:row>
    <x:row r="25">
      <x:c r="A25" s="1"/>
      <x:c r="B25" s="1"/>
      <x:c r="C25" s="1"/>
      <x:c r="D25" s="1"/>
      <x:c r="E25" s="1"/>
      <x:c r="F25" s="1"/>
      <x:c r="G25" s="1"/>
      <x:c r="H25" s="1"/>
      <x:c r="I25" s="1"/>
      <x:c r="J25" s="1"/>
      <x:c r="K25" s="1"/>
      <x:c r="L25" s="1"/>
      <x:c r="M25" s="1"/>
      <x:c r="N25" s="1"/>
      <x:c r="O25" s="1"/>
      <x:c r="P25" s="1"/>
    </x:row>
    <x:row r="26">
      <x:c r="A26" s="1"/>
      <x:c r="B26" s="1"/>
      <x:c r="C26" s="1"/>
      <x:c r="D26" s="1"/>
      <x:c r="E26" s="1"/>
      <x:c r="F26" s="1"/>
      <x:c r="G26" s="1"/>
      <x:c r="H26" s="1"/>
      <x:c r="I26" s="1"/>
      <x:c r="J26" s="1"/>
      <x:c r="K26" s="1"/>
      <x:c r="L26" s="1"/>
      <x:c r="M26" s="1"/>
      <x:c r="N26" s="1"/>
      <x:c r="O26" s="1"/>
      <x:c r="P26" s="1"/>
    </x:row>
    <x:row r="27">
      <x:c r="A27" s="1"/>
      <x:c r="B27" s="1"/>
      <x:c r="C27" s="1"/>
      <x:c r="D27" s="1"/>
      <x:c r="E27" s="1"/>
      <x:c r="F27" s="1"/>
      <x:c r="G27" s="1"/>
      <x:c r="H27" s="1"/>
      <x:c r="I27" s="1"/>
      <x:c r="J27" s="1"/>
      <x:c r="K27" s="1"/>
      <x:c r="L27" s="1"/>
      <x:c r="M27" s="1"/>
      <x:c r="N27" s="1"/>
      <x:c r="O27" s="1"/>
      <x:c r="P27" s="1"/>
    </x:row>
    <x:row r="28">
      <x:c r="A28" s="1"/>
      <x:c r="B28" s="1"/>
      <x:c r="C28" s="1"/>
      <x:c r="D28" s="1"/>
      <x:c r="E28" s="1"/>
      <x:c r="F28" s="1"/>
      <x:c r="G28" s="1"/>
      <x:c r="H28" s="1"/>
      <x:c r="I28" s="1"/>
      <x:c r="J28" s="1"/>
      <x:c r="K28" s="1"/>
      <x:c r="L28" s="1"/>
      <x:c r="M28" s="1"/>
      <x:c r="N28" s="1"/>
      <x:c r="O28" s="1"/>
      <x:c r="P28" s="1"/>
    </x:row>
    <x:row r="29">
      <x:c r="A29" s="1"/>
      <x:c r="B29" s="1"/>
      <x:c r="C29" s="1"/>
      <x:c r="D29" s="1"/>
      <x:c r="E29" s="1"/>
      <x:c r="F29" s="1"/>
      <x:c r="G29" s="1"/>
      <x:c r="H29" s="1"/>
      <x:c r="I29" s="1"/>
      <x:c r="J29" s="1"/>
      <x:c r="K29" s="1"/>
      <x:c r="L29" s="1"/>
      <x:c r="M29" s="1"/>
      <x:c r="N29" s="1"/>
      <x:c r="O29" s="1"/>
      <x:c r="P29" s="1"/>
    </x:row>
    <x:row r="30">
      <x:c r="A30" s="1"/>
      <x:c r="B30" s="1"/>
      <x:c r="C30" s="1"/>
      <x:c r="D30" s="1"/>
      <x:c r="E30" s="1"/>
      <x:c r="F30" s="1"/>
      <x:c r="G30" s="1"/>
      <x:c r="H30" s="1"/>
      <x:c r="I30" s="1"/>
      <x:c r="J30" s="1"/>
      <x:c r="K30" s="1"/>
      <x:c r="L30" s="1"/>
      <x:c r="M30" s="1"/>
      <x:c r="N30" s="1"/>
      <x:c r="O30" s="1"/>
      <x:c r="P30" s="1"/>
    </x:row>
    <x:row r="31">
      <x:c r="A31" s="1"/>
      <x:c r="B31" s="1"/>
      <x:c r="C31" s="1"/>
      <x:c r="D31" s="1"/>
      <x:c r="E31" s="1"/>
      <x:c r="F31" s="1"/>
      <x:c r="G31" s="1"/>
      <x:c r="H31" s="1"/>
      <x:c r="I31" s="1"/>
      <x:c r="J31" s="1"/>
      <x:c r="K31" s="1"/>
      <x:c r="L31" s="1"/>
      <x:c r="M31" s="1"/>
      <x:c r="N31" s="1"/>
      <x:c r="O31" s="1"/>
      <x:c r="P31" s="1"/>
    </x:row>
    <x:row r="32">
      <x:c r="A32" s="1"/>
      <x:c r="B32" s="1"/>
      <x:c r="C32" s="1"/>
      <x:c r="D32" s="1"/>
      <x:c r="E32" s="1"/>
      <x:c r="F32" s="1"/>
      <x:c r="G32" s="1"/>
      <x:c r="H32" s="1"/>
      <x:c r="I32" s="1"/>
      <x:c r="J32" s="1"/>
      <x:c r="K32" s="1"/>
      <x:c r="L32" s="1"/>
      <x:c r="M32" s="1"/>
      <x:c r="N32" s="1"/>
      <x:c r="O32" s="1"/>
      <x:c r="P32" s="1"/>
    </x:row>
    <x:row r="33">
      <x:c r="A33" s="1"/>
      <x:c r="B33" s="1"/>
      <x:c r="C33" s="1"/>
      <x:c r="D33" s="1"/>
      <x:c r="E33" s="1"/>
      <x:c r="F33" s="1"/>
      <x:c r="G33" s="1"/>
      <x:c r="H33" s="1"/>
      <x:c r="I33" s="1"/>
      <x:c r="J33" s="1"/>
      <x:c r="K33" s="1"/>
      <x:c r="L33" s="1"/>
      <x:c r="M33" s="1"/>
      <x:c r="N33" s="1"/>
      <x:c r="O33" s="1"/>
      <x:c r="P33" s="1"/>
    </x:row>
    <x:row r="34">
      <x:c r="A34" s="1"/>
      <x:c r="B34" s="1"/>
      <x:c r="C34" s="1"/>
      <x:c r="D34" s="1"/>
      <x:c r="E34" s="1"/>
      <x:c r="F34" s="1"/>
      <x:c r="G34" s="1"/>
      <x:c r="H34" s="1"/>
      <x:c r="I34" s="1"/>
      <x:c r="J34" s="1"/>
      <x:c r="K34" s="1"/>
      <x:c r="L34" s="1"/>
      <x:c r="M34" s="1"/>
      <x:c r="N34" s="1"/>
      <x:c r="O34" s="1"/>
      <x:c r="P34" s="1"/>
    </x:row>
    <x:row r="35">
      <x:c r="A35" s="1"/>
      <x:c r="B35" s="1"/>
      <x:c r="C35" s="1"/>
      <x:c r="D35" s="1"/>
      <x:c r="E35" s="1"/>
      <x:c r="F35" s="1"/>
      <x:c r="G35" s="1"/>
      <x:c r="H35" s="1"/>
      <x:c r="I35" s="1"/>
      <x:c r="J35" s="1"/>
      <x:c r="K35" s="1"/>
      <x:c r="L35" s="1"/>
      <x:c r="M35" s="1"/>
      <x:c r="N35" s="1"/>
      <x:c r="O35" s="1"/>
      <x:c r="P35" s="1"/>
    </x:row>
    <x:row r="36">
      <x:c r="A36" s="1"/>
      <x:c r="B36" s="1"/>
      <x:c r="C36" s="1"/>
      <x:c r="D36" s="1"/>
      <x:c r="E36" s="1"/>
      <x:c r="F36" s="1"/>
      <x:c r="G36" s="1"/>
      <x:c r="H36" s="1"/>
      <x:c r="I36" s="1"/>
      <x:c r="J36" s="1"/>
      <x:c r="K36" s="1"/>
      <x:c r="L36" s="1"/>
      <x:c r="M36" s="1"/>
      <x:c r="N36" s="1"/>
      <x:c r="O36" s="1"/>
      <x:c r="P36" s="1"/>
    </x:row>
    <x:row r="37">
      <x:c r="A37" s="1"/>
      <x:c r="B37" s="1"/>
      <x:c r="C37" s="1"/>
      <x:c r="D37" s="1"/>
      <x:c r="E37" s="1"/>
      <x:c r="F37" s="1"/>
      <x:c r="G37" s="1"/>
      <x:c r="H37" s="1"/>
      <x:c r="I37" s="1"/>
      <x:c r="J37" s="1"/>
      <x:c r="K37" s="1"/>
      <x:c r="L37" s="1"/>
      <x:c r="M37" s="1"/>
      <x:c r="N37" s="1"/>
      <x:c r="O37" s="1"/>
      <x:c r="P37" s="1"/>
    </x:row>
    <x:row r="38">
      <x:c r="A38" s="1"/>
      <x:c r="B38" s="1"/>
      <x:c r="C38" s="1"/>
      <x:c r="D38" s="1"/>
      <x:c r="E38" s="1"/>
      <x:c r="F38" s="1"/>
      <x:c r="G38" s="1"/>
      <x:c r="H38" s="1"/>
      <x:c r="I38" s="1"/>
      <x:c r="J38" s="1"/>
      <x:c r="K38" s="1"/>
      <x:c r="L38" s="1"/>
      <x:c r="M38" s="1"/>
      <x:c r="N38" s="1"/>
      <x:c r="O38" s="1"/>
      <x:c r="P38" s="1"/>
    </x:row>
    <x:row r="39">
      <x:c r="A39" s="1"/>
      <x:c r="B39" s="1"/>
      <x:c r="C39" s="1"/>
      <x:c r="D39" s="1"/>
      <x:c r="E39" s="1"/>
      <x:c r="F39" s="1"/>
      <x:c r="G39" s="1"/>
      <x:c r="H39" s="1"/>
      <x:c r="I39" s="1"/>
      <x:c r="J39" s="1"/>
      <x:c r="K39" s="1"/>
      <x:c r="L39" s="1"/>
      <x:c r="M39" s="1"/>
      <x:c r="N39" s="1"/>
      <x:c r="O39" s="1"/>
      <x:c r="P39" s="1"/>
    </x:row>
    <x:row r="40">
      <x:c r="A40" s="1"/>
      <x:c r="B40" s="1"/>
      <x:c r="C40" s="1"/>
      <x:c r="D40" s="1"/>
      <x:c r="E40" s="1"/>
      <x:c r="F40" s="1"/>
      <x:c r="G40" s="1"/>
      <x:c r="H40" s="1"/>
      <x:c r="I40" s="1"/>
      <x:c r="J40" s="1"/>
      <x:c r="K40" s="1"/>
      <x:c r="L40" s="1"/>
      <x:c r="M40" s="1"/>
      <x:c r="N40" s="1"/>
      <x:c r="O40" s="1"/>
      <x:c r="P40" s="1"/>
    </x:row>
    <x:row r="41">
      <x:c r="A41" s="1"/>
      <x:c r="B41" s="1"/>
      <x:c r="C41" s="1"/>
      <x:c r="D41" s="1"/>
      <x:c r="E41" s="1"/>
      <x:c r="F41" s="1"/>
      <x:c r="G41" s="1"/>
      <x:c r="H41" s="1"/>
      <x:c r="I41" s="1"/>
      <x:c r="J41" s="1"/>
      <x:c r="K41" s="1"/>
      <x:c r="L41" s="1"/>
      <x:c r="M41" s="1"/>
      <x:c r="N41" s="1"/>
      <x:c r="O41" s="1"/>
      <x:c r="P41" s="1"/>
    </x:row>
    <x:row r="42">
      <x:c r="A42" s="1"/>
      <x:c r="B42" s="1"/>
      <x:c r="C42" s="1"/>
      <x:c r="D42" s="1"/>
      <x:c r="E42" s="1"/>
      <x:c r="F42" s="1"/>
      <x:c r="G42" s="1"/>
      <x:c r="H42" s="1"/>
      <x:c r="I42" s="1"/>
      <x:c r="J42" s="1"/>
      <x:c r="K42" s="1"/>
      <x:c r="L42" s="1"/>
      <x:c r="M42" s="1"/>
      <x:c r="N42" s="1"/>
      <x:c r="O42" s="1"/>
      <x:c r="P42" s="1"/>
    </x:row>
    <x:row r="43">
      <x:c r="A43" s="1"/>
      <x:c r="B43" s="1"/>
      <x:c r="C43" s="1"/>
      <x:c r="D43" s="1"/>
      <x:c r="E43" s="1"/>
      <x:c r="F43" s="1"/>
      <x:c r="G43" s="1"/>
      <x:c r="H43" s="1"/>
      <x:c r="I43" s="1"/>
      <x:c r="J43" s="1"/>
      <x:c r="K43" s="1"/>
      <x:c r="L43" s="1"/>
      <x:c r="M43" s="1"/>
      <x:c r="N43" s="1"/>
      <x:c r="O43" s="1"/>
      <x:c r="P43" s="1"/>
    </x:row>
    <x:row r="44">
      <x:c r="A44" s="1"/>
      <x:c r="B44" s="1"/>
      <x:c r="C44" s="1"/>
      <x:c r="D44" s="1"/>
      <x:c r="E44" s="1"/>
      <x:c r="F44" s="1"/>
      <x:c r="G44" s="1"/>
      <x:c r="H44" s="1"/>
      <x:c r="I44" s="1"/>
      <x:c r="J44" s="1"/>
      <x:c r="K44" s="1"/>
      <x:c r="L44" s="1"/>
      <x:c r="M44" s="1"/>
      <x:c r="N44" s="1"/>
      <x:c r="O44" s="1"/>
      <x:c r="P44" s="1"/>
    </x:row>
    <x:row r="45">
      <x:c r="A45" s="1"/>
      <x:c r="B45" s="1"/>
      <x:c r="C45" s="1"/>
      <x:c r="D45" s="1"/>
      <x:c r="E45" s="1"/>
      <x:c r="F45" s="1"/>
      <x:c r="G45" s="1"/>
      <x:c r="H45" s="1"/>
      <x:c r="I45" s="1"/>
      <x:c r="J45" s="1"/>
      <x:c r="K45" s="1"/>
      <x:c r="L45" s="1"/>
      <x:c r="M45" s="1"/>
      <x:c r="N45" s="1"/>
      <x:c r="O45" s="1"/>
      <x:c r="P45" s="1"/>
    </x:row>
  </x:sheetData>
  <x:pageMargins left="0.7" right="0.7" top="0.75" bottom="0.75" header="0.3" footer="0.3"/>
</x:worksheet>
</file>

<file path=xl/worksheets/sheet5.xml><?xml version="1.0" encoding="utf-8"?>
<x:worksheet xmlns:x="http://schemas.openxmlformats.org/spreadsheetml/2006/main">
  <x:sheetFormatPr baseColWidth="10" defaultRowHeight="13.800000190734863"/>
  <x:cols>
    <x:col min="1" max="1" width="5.69921875" customWidth="1"/>
    <x:col min="2" max="2" width="26.69921875" customWidth="1"/>
    <x:col min="3" max="3" width="80.69921875" customWidth="1"/>
    <x:col min="4" max="4" width="28.69921875" customWidth="1"/>
    <x:col min="5" max="5" width="24.69921875" customWidth="1"/>
  </x:cols>
  <x:sheetData>
    <x:row r="2" ht="17.399999618530273">
      <x:c r="A2" s="17" t="s">
        <x:v>170</x:v>
      </x:c>
    </x:row>
    <x:row r="3" ht="14.399999618530273">
      <x:c r="A3" s="18" t="s">
        <x:v>171</x:v>
      </x:c>
    </x:row>
    <x:row r="6">
      <x:c r="A6" s="14" t="s">
        <x:v>172</x:v>
      </x:c>
      <x:c r="B6" s="14" t="s">
        <x:v>173</x:v>
      </x:c>
      <x:c r="C6" s="14" t="s">
        <x:v>174</x:v>
      </x:c>
      <x:c r="D6" s="14" t="s">
        <x:v>175</x:v>
      </x:c>
      <x:c r="E6" s="14" t="s">
        <x:v>176</x:v>
      </x:c>
    </x:row>
    <x:row r="7" ht="27.600000381469727">
      <x:c r="A7" s="15">
        <x:v>1</x:v>
      </x:c>
      <x:c r="B7" s="16" t="s">
        <x:v>177</x:v>
      </x:c>
      <x:c r="C7" s="16" t="s">
        <x:v>178</x:v>
      </x:c>
      <x:c r="D7" s="16" t="s">
        <x:v>179</x:v>
      </x:c>
      <x:c r="E7" s="16" t="s">
        <x:v>180</x:v>
      </x:c>
    </x:row>
    <x:row r="8" ht="27.600000381469727">
      <x:c r="A8" s="15">
        <x:v>2</x:v>
      </x:c>
      <x:c r="B8" s="16" t="s">
        <x:v>181</x:v>
      </x:c>
      <x:c r="C8" s="16" t="s">
        <x:v>182</x:v>
      </x:c>
      <x:c r="D8" s="16" t="s">
        <x:v>183</x:v>
      </x:c>
      <x:c r="E8" s="16" t="s">
        <x:v>184</x:v>
      </x:c>
    </x:row>
    <x:row r="9" ht="27.600000381469727">
      <x:c r="A9" s="15">
        <x:v>3</x:v>
      </x:c>
      <x:c r="B9" s="16" t="s">
        <x:v>185</x:v>
      </x:c>
      <x:c r="C9" s="16" t="s">
        <x:v>186</x:v>
      </x:c>
      <x:c r="D9" s="16" t="s">
        <x:v>187</x:v>
      </x:c>
      <x:c r="E9" s="16" t="s">
        <x:v>188</x:v>
      </x:c>
    </x:row>
    <x:row r="10" ht="55.20000076293945">
      <x:c r="A10" s="15">
        <x:v>4</x:v>
      </x:c>
      <x:c r="B10" s="16" t="s">
        <x:v>189</x:v>
      </x:c>
      <x:c r="C10" s="16" t="s">
        <x:v>190</x:v>
      </x:c>
      <x:c r="D10" s="16" t="s">
        <x:v>191</x:v>
      </x:c>
      <x:c r="E10" s="16" t="s">
        <x:v>192</x:v>
      </x:c>
    </x:row>
    <x:row r="11">
      <x:c r="A11" s="15">
        <x:v>5</x:v>
      </x:c>
      <x:c r="B11" s="16" t="s">
        <x:v>193</x:v>
      </x:c>
      <x:c r="C11" s="16" t="s">
        <x:v>194</x:v>
      </x:c>
      <x:c r="D11" s="16" t="s">
        <x:v>195</x:v>
      </x:c>
      <x:c r="E11" s="16" t="s">
        <x:v>196</x:v>
      </x:c>
    </x:row>
    <x:row r="12" ht="27.600000381469727">
      <x:c r="A12" s="15">
        <x:v>6</x:v>
      </x:c>
      <x:c r="B12" s="16" t="s">
        <x:v>197</x:v>
      </x:c>
      <x:c r="C12" s="16" t="s">
        <x:v>198</x:v>
      </x:c>
      <x:c r="D12" s="16" t="s">
        <x:v>187</x:v>
      </x:c>
      <x:c r="E12" s="16" t="s">
        <x:v>199</x:v>
      </x:c>
    </x:row>
    <x:row r="13" ht="27.600000381469727">
      <x:c r="A13" s="15">
        <x:v>7</x:v>
      </x:c>
      <x:c r="B13" s="16" t="s">
        <x:v>200</x:v>
      </x:c>
      <x:c r="C13" s="16" t="s">
        <x:v>201</x:v>
      </x:c>
      <x:c r="D13" s="16" t="s">
        <x:v>202</x:v>
      </x:c>
      <x:c r="E13" s="16" t="s">
        <x:v>203</x:v>
      </x:c>
    </x:row>
    <x:row r="14">
      <x:c r="A14" s="15">
        <x:v>8</x:v>
      </x:c>
      <x:c r="B14" s="16" t="s">
        <x:v>204</x:v>
      </x:c>
      <x:c r="C14" s="16" t="s">
        <x:v>205</x:v>
      </x:c>
      <x:c r="D14" s="16" t="s">
        <x:v>187</x:v>
      </x:c>
      <x:c r="E14" s="16" t="s">
        <x:v>206</x:v>
      </x:c>
    </x:row>
  </x:sheetData>
  <x:pageMargins left="0.7" right="0.7" top="0.75" bottom="0.75" header="0.3" footer="0.3"/>
</x:worksheet>
</file>

<file path=xl/worksheets/sheet6.xml><?xml version="1.0" encoding="utf-8"?>
<x:worksheet xmlns:x="http://schemas.openxmlformats.org/spreadsheetml/2006/main">
  <x:sheetFormatPr baseColWidth="10" defaultRowHeight="13.800000190734863"/>
  <x:cols>
    <x:col min="1" max="1" width="22.69921875" customWidth="1"/>
    <x:col min="2" max="2" width="95.69921875" customWidth="1"/>
    <x:col min="3" max="3" width="34.69921875" customWidth="1"/>
  </x:cols>
  <x:sheetData>
    <x:row r="2" ht="17.399999618530273">
      <x:c r="A2" s="17" t="s">
        <x:v>207</x:v>
      </x:c>
    </x:row>
    <x:row r="3" ht="14.399999618530273">
      <x:c r="A3" s="18" t="s">
        <x:v>208</x:v>
      </x:c>
    </x:row>
    <x:row r="6">
      <x:c r="A6" s="14" t="s">
        <x:v>173</x:v>
      </x:c>
      <x:c r="B6" s="14" t="s">
        <x:v>209</x:v>
      </x:c>
      <x:c r="C6" s="14" t="s">
        <x:v>210</x:v>
      </x:c>
    </x:row>
    <x:row r="7" ht="27.600000381469727">
      <x:c r="A7" s="16" t="s">
        <x:v>211</x:v>
      </x:c>
      <x:c r="B7" s="16" t="s">
        <x:v>212</x:v>
      </x:c>
      <x:c r="C7" s="16" t="s">
        <x:v>213</x:v>
      </x:c>
    </x:row>
    <x:row r="8">
      <x:c r="A8" s="16" t="s">
        <x:v>214</x:v>
      </x:c>
      <x:c r="B8" s="16" t="s">
        <x:v>215</x:v>
      </x:c>
      <x:c r="C8" s="16" t="s">
        <x:v>216</x:v>
      </x:c>
    </x:row>
    <x:row r="9">
      <x:c r="A9" s="16" t="s">
        <x:v>6</x:v>
      </x:c>
      <x:c r="B9" s="16" t="s">
        <x:v>217</x:v>
      </x:c>
      <x:c r="C9" s="16" t="s">
        <x:v>218</x:v>
      </x:c>
    </x:row>
    <x:row r="10" ht="85" customHeight="1">
      <x:c r="A10" s="16" t="s">
        <x:v>219</x:v>
      </x:c>
      <x:c r="B10" s="21" t="str">
        <x:v>Un solo tipo de canto por pieza: rígido 2 mm en puertas/frentes de uso frecuente y terminal expuesto; flexible 0,45 mm en estructura e interiores. Se conservan los bordes protegidos y las medidas terminadas. El corte del tablero descuenta el espesor nuevo una sola vez. En baño se conservan TODOS los bordes, incluidos ocultos, con flexible salvo el perímetro de B06. Diagonal manual con flexible de 0,45 mm; sellar muesca de sifón y perforaciones. RH y canto no hacen impermeable al mueble.</x:v>
      </x:c>
      <x:c r="C10" s="16" t="s">
        <x:v>220</x:v>
      </x:c>
    </x:row>
    <x:row r="11" ht="27.600000381469727">
      <x:c r="A11" s="16" t="s">
        <x:v>221</x:v>
      </x:c>
      <x:c r="B11" s="16" t="s">
        <x:v>222</x:v>
      </x:c>
      <x:c r="C11" s="16" t="s">
        <x:v>223</x:v>
      </x:c>
    </x:row>
    <x:row r="12" ht="27.600000381469727">
      <x:c r="A12" s="16" t="s">
        <x:v>224</x:v>
      </x:c>
      <x:c r="B12" s="16" t="s">
        <x:v>225</x:v>
      </x:c>
      <x:c r="C12" s="16" t="s">
        <x:v>226</x:v>
      </x:c>
    </x:row>
    <x:row r="13" ht="27.600000381469727">
      <x:c r="A13" s="16" t="s">
        <x:v>227</x:v>
      </x:c>
      <x:c r="B13" s="16" t="s">
        <x:v>228</x:v>
      </x:c>
      <x:c r="C13" s="16" t="s">
        <x:v>229</x:v>
      </x:c>
    </x:row>
  </x:sheetData>
  <x:pageMargins left="0.7" right="0.7" top="0.75" bottom="0.75" header="0.3" footer="0.3"/>
</x:worksheet>
</file>