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7e4bb88fb3ffb2f3/Desktop/proyecto_terraza/"/>
    </mc:Choice>
  </mc:AlternateContent>
  <xr:revisionPtr revIDLastSave="11" documentId="11_DC0C07592EBD14A0BFED8AA04BBC7C1A72A67A50" xr6:coauthVersionLast="47" xr6:coauthVersionMax="47" xr10:uidLastSave="{FB890189-D699-49E3-8A7A-88502061EE79}"/>
  <bookViews>
    <workbookView xWindow="-108" yWindow="-108" windowWidth="23256" windowHeight="13896" xr2:uid="{00000000-000D-0000-FFFF-FFFF00000000}"/>
  </bookViews>
  <sheets>
    <sheet name="Despiece" sheetId="1" r:id="rId1"/>
    <sheet name="Pedido de corte" sheetId="2" r:id="rId2"/>
    <sheet name="Compras" sheetId="4" r:id="rId3"/>
    <sheet name="Cantos" sheetId="3" r:id="rId4"/>
    <sheet name="Pendientes" sheetId="6" r:id="rId5"/>
    <sheet name="Decisiones"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3" l="1"/>
  <c r="D8" i="3" s="1"/>
  <c r="C7" i="3"/>
  <c r="D7" i="3" s="1"/>
  <c r="B7" i="3"/>
  <c r="E7" i="3" s="1"/>
  <c r="C9" i="4" s="1"/>
  <c r="F9" i="4" s="1"/>
  <c r="K4" i="3"/>
  <c r="K5" i="3" s="1"/>
  <c r="K3" i="3"/>
  <c r="B8" i="3" s="1"/>
  <c r="E8" i="3" s="1"/>
  <c r="C10" i="4" s="1"/>
  <c r="F10" i="4" s="1"/>
  <c r="F20" i="4"/>
  <c r="F19" i="4"/>
  <c r="F18" i="4"/>
  <c r="F17" i="4"/>
  <c r="F16" i="4"/>
  <c r="F15" i="4"/>
  <c r="F14" i="4"/>
  <c r="F13" i="4"/>
  <c r="F12" i="4"/>
  <c r="F11" i="4"/>
  <c r="M19" i="2"/>
  <c r="K19" i="2"/>
  <c r="J19" i="2"/>
  <c r="I19" i="2"/>
  <c r="H19" i="2"/>
  <c r="G19" i="2"/>
  <c r="F19" i="2"/>
  <c r="E19" i="2"/>
  <c r="D19" i="2"/>
  <c r="C19" i="2"/>
  <c r="B19" i="2"/>
  <c r="A19" i="2"/>
  <c r="M18" i="2"/>
  <c r="K18" i="2"/>
  <c r="J18" i="2"/>
  <c r="I18" i="2"/>
  <c r="H18" i="2"/>
  <c r="G18" i="2"/>
  <c r="F18" i="2"/>
  <c r="E18" i="2"/>
  <c r="D18" i="2"/>
  <c r="C18" i="2"/>
  <c r="B18" i="2"/>
  <c r="A18" i="2"/>
  <c r="M17" i="2"/>
  <c r="K17" i="2"/>
  <c r="J17" i="2"/>
  <c r="I17" i="2"/>
  <c r="H17" i="2"/>
  <c r="G17" i="2"/>
  <c r="F17" i="2"/>
  <c r="E17" i="2"/>
  <c r="D17" i="2"/>
  <c r="C17" i="2"/>
  <c r="B17" i="2"/>
  <c r="A17" i="2"/>
  <c r="M16" i="2"/>
  <c r="K16" i="2"/>
  <c r="J16" i="2"/>
  <c r="I16" i="2"/>
  <c r="H16" i="2"/>
  <c r="G16" i="2"/>
  <c r="F16" i="2"/>
  <c r="E16" i="2"/>
  <c r="D16" i="2"/>
  <c r="C16" i="2"/>
  <c r="B16" i="2"/>
  <c r="A16" i="2"/>
  <c r="M15" i="2"/>
  <c r="K15" i="2"/>
  <c r="J15" i="2"/>
  <c r="I15" i="2"/>
  <c r="H15" i="2"/>
  <c r="G15" i="2"/>
  <c r="F15" i="2"/>
  <c r="E15" i="2"/>
  <c r="D15" i="2"/>
  <c r="C15" i="2"/>
  <c r="B15" i="2"/>
  <c r="A15" i="2"/>
  <c r="M14" i="2"/>
  <c r="K14" i="2"/>
  <c r="J14" i="2"/>
  <c r="I14" i="2"/>
  <c r="H14" i="2"/>
  <c r="G14" i="2"/>
  <c r="F14" i="2"/>
  <c r="E14" i="2"/>
  <c r="D14" i="2"/>
  <c r="C14" i="2"/>
  <c r="B14" i="2"/>
  <c r="A14" i="2"/>
  <c r="M13" i="2"/>
  <c r="K13" i="2"/>
  <c r="J13" i="2"/>
  <c r="I13" i="2"/>
  <c r="H13" i="2"/>
  <c r="G13" i="2"/>
  <c r="F13" i="2"/>
  <c r="E13" i="2"/>
  <c r="D13" i="2"/>
  <c r="C13" i="2"/>
  <c r="B13" i="2"/>
  <c r="A13" i="2"/>
  <c r="M12" i="2"/>
  <c r="K12" i="2"/>
  <c r="J12" i="2"/>
  <c r="I12" i="2"/>
  <c r="H12" i="2"/>
  <c r="G12" i="2"/>
  <c r="F12" i="2"/>
  <c r="E12" i="2"/>
  <c r="D12" i="2"/>
  <c r="C12" i="2"/>
  <c r="B12" i="2"/>
  <c r="A12" i="2"/>
  <c r="M11" i="2"/>
  <c r="K11" i="2"/>
  <c r="J11" i="2"/>
  <c r="I11" i="2"/>
  <c r="H11" i="2"/>
  <c r="G11" i="2"/>
  <c r="F11" i="2"/>
  <c r="E11" i="2"/>
  <c r="D11" i="2"/>
  <c r="C11" i="2"/>
  <c r="B11" i="2"/>
  <c r="A11" i="2"/>
  <c r="M10" i="2"/>
  <c r="K10" i="2"/>
  <c r="J10" i="2"/>
  <c r="I10" i="2"/>
  <c r="H10" i="2"/>
  <c r="G10" i="2"/>
  <c r="F10" i="2"/>
  <c r="E10" i="2"/>
  <c r="D10" i="2"/>
  <c r="C10" i="2"/>
  <c r="B10" i="2"/>
  <c r="A10" i="2"/>
  <c r="M9" i="2"/>
  <c r="K9" i="2"/>
  <c r="J9" i="2"/>
  <c r="I9" i="2"/>
  <c r="H9" i="2"/>
  <c r="G9" i="2"/>
  <c r="F9" i="2"/>
  <c r="E9" i="2"/>
  <c r="D9" i="2"/>
  <c r="C9" i="2"/>
  <c r="B9" i="2"/>
  <c r="A9" i="2"/>
  <c r="M8" i="2"/>
  <c r="K8" i="2"/>
  <c r="J8" i="2"/>
  <c r="I8" i="2"/>
  <c r="H8" i="2"/>
  <c r="G8" i="2"/>
  <c r="F8" i="2"/>
  <c r="E8" i="2"/>
  <c r="D8" i="2"/>
  <c r="C8" i="2"/>
  <c r="B8" i="2"/>
  <c r="A8" i="2"/>
  <c r="M7" i="2"/>
  <c r="K7" i="2"/>
  <c r="J7" i="2"/>
  <c r="I7" i="2"/>
  <c r="H7" i="2"/>
  <c r="G7" i="2"/>
  <c r="F7" i="2"/>
  <c r="E7" i="2"/>
  <c r="D7" i="2"/>
  <c r="C7" i="2"/>
  <c r="B7" i="2"/>
  <c r="A7" i="2"/>
  <c r="I25" i="1"/>
  <c r="C8" i="4" s="1"/>
  <c r="F8" i="4" s="1"/>
  <c r="E25" i="1"/>
  <c r="E24" i="1"/>
  <c r="O21" i="1"/>
  <c r="N21" i="1"/>
  <c r="I21" i="1"/>
  <c r="O20" i="1"/>
  <c r="N20" i="1"/>
  <c r="I20" i="1"/>
  <c r="O19" i="1"/>
  <c r="N19" i="1"/>
  <c r="L19" i="2" s="1"/>
  <c r="N19" i="2" s="1"/>
  <c r="I19" i="1"/>
  <c r="O18" i="1"/>
  <c r="N18" i="1"/>
  <c r="L18" i="2" s="1"/>
  <c r="N18" i="2" s="1"/>
  <c r="I18" i="1"/>
  <c r="O17" i="1"/>
  <c r="N17" i="1"/>
  <c r="L17" i="2" s="1"/>
  <c r="N17" i="2" s="1"/>
  <c r="I17" i="1"/>
  <c r="O16" i="1"/>
  <c r="N16" i="1"/>
  <c r="L16" i="2" s="1"/>
  <c r="N16" i="2" s="1"/>
  <c r="I16" i="1"/>
  <c r="O15" i="1"/>
  <c r="N15" i="1"/>
  <c r="L15" i="2" s="1"/>
  <c r="N15" i="2" s="1"/>
  <c r="I15" i="1"/>
  <c r="O14" i="1"/>
  <c r="N14" i="1"/>
  <c r="L14" i="2" s="1"/>
  <c r="N14" i="2" s="1"/>
  <c r="I14" i="1"/>
  <c r="O13" i="1"/>
  <c r="N13" i="1"/>
  <c r="I13" i="1"/>
  <c r="O12" i="1"/>
  <c r="N12" i="1"/>
  <c r="L12" i="2" s="1"/>
  <c r="N12" i="2" s="1"/>
  <c r="I12" i="1"/>
  <c r="O11" i="1"/>
  <c r="N11" i="1"/>
  <c r="L11" i="2" s="1"/>
  <c r="N11" i="2" s="1"/>
  <c r="I11" i="1"/>
  <c r="O10" i="1"/>
  <c r="N10" i="1"/>
  <c r="L10" i="2" s="1"/>
  <c r="N10" i="2" s="1"/>
  <c r="I10" i="1"/>
  <c r="O9" i="1"/>
  <c r="N9" i="1"/>
  <c r="L9" i="2" s="1"/>
  <c r="N9" i="2" s="1"/>
  <c r="I9" i="1"/>
  <c r="O8" i="1"/>
  <c r="N8" i="1"/>
  <c r="L8" i="2" s="1"/>
  <c r="N8" i="2" s="1"/>
  <c r="I8" i="1"/>
  <c r="O7" i="1"/>
  <c r="N7" i="1"/>
  <c r="L7" i="2" s="1"/>
  <c r="I7" i="1"/>
  <c r="I24" i="1" s="1"/>
  <c r="C7" i="4" s="1"/>
  <c r="F7" i="4" s="1"/>
  <c r="L13" i="2" l="1"/>
  <c r="N7" i="2"/>
  <c r="G7" i="3"/>
  <c r="H7" i="3" s="1"/>
  <c r="G8" i="3"/>
  <c r="F22" i="4"/>
  <c r="N13" i="2" l="1"/>
  <c r="F7" i="3"/>
  <c r="F8" i="3"/>
  <c r="H8" i="3" s="1"/>
</calcChain>
</file>

<file path=xl/sharedStrings.xml><?xml version="1.0" encoding="utf-8"?>
<sst xmlns="http://schemas.openxmlformats.org/spreadsheetml/2006/main" count="366" uniqueCount="252">
  <si>
    <t>Baño Cartagena · despiece independiente</t>
  </si>
  <si>
    <t>Fuente: fotos IMG_4304–4307 y medidas del usuario, 27/10/2026. Mismo RH15 de cocina y clóset; compra conjunta en compras-proyecto.xlsx.</t>
  </si>
  <si>
    <t>Medidas terminadas en mm. Largo en sentido de veta. B06 se pide rectangular entero; la diagonal, el sifón y los equipos se mecanizan con plantilla confirmada.</t>
  </si>
  <si>
    <t>ID</t>
  </si>
  <si>
    <t>Módulo</t>
  </si>
  <si>
    <t>Pieza</t>
  </si>
  <si>
    <t>Material</t>
  </si>
  <si>
    <t>Cantidad</t>
  </si>
  <si>
    <t>Largo veta mm</t>
  </si>
  <si>
    <t>Ancho mm</t>
  </si>
  <si>
    <t>Espesor mm</t>
  </si>
  <si>
    <t>Área m²</t>
  </si>
  <si>
    <t>Canto L1</t>
  </si>
  <si>
    <t>Canto L2</t>
  </si>
  <si>
    <t>Canto A1</t>
  </si>
  <si>
    <t>Canto A2</t>
  </si>
  <si>
    <t>Corte largo mm</t>
  </si>
  <si>
    <t>Corte ancho mm</t>
  </si>
  <si>
    <t>Nota de fabricación</t>
  </si>
  <si>
    <t>B01</t>
  </si>
  <si>
    <t>BAJO</t>
  </si>
  <si>
    <t>Lateral</t>
  </si>
  <si>
    <t>RH15 Cartagena</t>
  </si>
  <si>
    <t>B02</t>
  </si>
  <si>
    <t>Piso</t>
  </si>
  <si>
    <t>B03</t>
  </si>
  <si>
    <t>Entrepaño retranqueado con reserva de sifón</t>
  </si>
  <si>
    <t>B04</t>
  </si>
  <si>
    <t>Travesaño trasero superior lateral</t>
  </si>
  <si>
    <t>B05</t>
  </si>
  <si>
    <t>Travesaño trasero inferior</t>
  </si>
  <si>
    <t>B06</t>
  </si>
  <si>
    <t>Panel común para dos puertas: corte diagonal en armado</t>
  </si>
  <si>
    <t>S01</t>
  </si>
  <si>
    <t>ESPEJO</t>
  </si>
  <si>
    <t>Lateral gabinete superior</t>
  </si>
  <si>
    <t>S02</t>
  </si>
  <si>
    <t>Piso y techo gabinete superior</t>
  </si>
  <si>
    <t>S03</t>
  </si>
  <si>
    <t>División vertical</t>
  </si>
  <si>
    <t>S04</t>
  </si>
  <si>
    <t>Entrepaño interior izquierdo</t>
  </si>
  <si>
    <t>S05</t>
  </si>
  <si>
    <t>Entrepaño columna abierta derecha</t>
  </si>
  <si>
    <t>S06</t>
  </si>
  <si>
    <t>Tapa RH15 portadora del espejo</t>
  </si>
  <si>
    <t>F01</t>
  </si>
  <si>
    <t>Fondo blanco de 6 mm</t>
  </si>
  <si>
    <t>Fondo melamina blanco RH6</t>
  </si>
  <si>
    <t>E01</t>
  </si>
  <si>
    <t>Espejo</t>
  </si>
  <si>
    <t>Espejo 3 mm provisional</t>
  </si>
  <si>
    <t>—</t>
  </si>
  <si>
    <t>320 × 500 mm según usuario; espesor provisional de 3 mm. Canto pulido y protección posterior; no se suma como tablero.</t>
  </si>
  <si>
    <t>E02</t>
  </si>
  <si>
    <t>Granito de retal</t>
  </si>
  <si>
    <t>Granito de retal provisional</t>
  </si>
  <si>
    <t>550 × 470 × 20 mm supuestos. Vuelos laterales 15 mm; delante 5 mm respecto a las puertas. Recortes solo con lavamanos, grifería y retal reales.</t>
  </si>
  <si>
    <t>Total RH15 (sin espejo, granito ni fondo)</t>
  </si>
  <si>
    <t>Fondo blanco RH6, sin asignar sobrantes</t>
  </si>
  <si>
    <t>Pedido de corte y canteado · baño</t>
  </si>
  <si>
    <t>¿El proveedor descuenta cantos de la medida terminada?</t>
  </si>
  <si>
    <t>SÍ</t>
  </si>
  <si>
    <t>Lado menor mínimo del tablero para máquina, mm</t>
  </si>
  <si>
    <t>SÍ = medida terminada; NO = tablero con descuento. Se clasifica con el tamaño del tablero. B06: pedir un único panel 517 × 299 terminado; NO separar en tienda. Diagonal central provisional 75° en armado.</t>
  </si>
  <si>
    <t>Lado mayor mínimo del tablero para máquina, mm</t>
  </si>
  <si>
    <t>Largo a pedir</t>
  </si>
  <si>
    <t>Ancho a pedir</t>
  </si>
  <si>
    <t>Largo 1</t>
  </si>
  <si>
    <t>Largo 2</t>
  </si>
  <si>
    <t>Corto 1</t>
  </si>
  <si>
    <t>Corto 2</t>
  </si>
  <si>
    <t>Canteo</t>
  </si>
  <si>
    <t>Medida terminada</t>
  </si>
  <si>
    <t>Observación</t>
  </si>
  <si>
    <t>Compras y accesorios · baño</t>
  </si>
  <si>
    <t>Referencias del baño. Tablero, fondo, canto y bisagras se compran junto con cocina y clóset en compras-proyecto.xlsx; equipos, anclajes y servicios pendientes.</t>
  </si>
  <si>
    <t>Referencia</t>
  </si>
  <si>
    <t>Uso</t>
  </si>
  <si>
    <t>Unidad</t>
  </si>
  <si>
    <t>Precio COP</t>
  </si>
  <si>
    <t>Subtotal COP</t>
  </si>
  <si>
    <t>Estado</t>
  </si>
  <si>
    <t>Detalle</t>
  </si>
  <si>
    <t>Fuente</t>
  </si>
  <si>
    <t>Tablero del conjunto</t>
  </si>
  <si>
    <t>m²</t>
  </si>
  <si>
    <t>En compra conjunta</t>
  </si>
  <si>
    <t>Área neta; se compra con cocina y clóset: las piezas RH15 de los tres muebles caben en 8 láminas (compras-proyecto.xlsx).</t>
  </si>
  <si>
    <t>Mismo material de cocina.</t>
  </si>
  <si>
    <t>Fondo blanco RH6</t>
  </si>
  <si>
    <t>Gabinete espejo</t>
  </si>
  <si>
    <t>Cabe en la lámina de fondo de la cocina (compras-proyecto.xlsx).</t>
  </si>
  <si>
    <t>Solicitud del usuario.</t>
  </si>
  <si>
    <t>Canto rígido 2 mm</t>
  </si>
  <si>
    <t>Bordes indicados</t>
  </si>
  <si>
    <t>m</t>
  </si>
  <si>
    <t>Hoja Cantos.</t>
  </si>
  <si>
    <t>Canto flexible 0,45</t>
  </si>
  <si>
    <t>Protección húmeda</t>
  </si>
  <si>
    <t>Rollo flexible de 200 m conjunto. Incluye fondo RH6 y los dos cantos diagonales de B06, hechos a mano.</t>
  </si>
  <si>
    <t>HBM897-01 candidata</t>
  </si>
  <si>
    <t>Seis bisagras, tres pares</t>
  </si>
  <si>
    <t>par</t>
  </si>
  <si>
    <t>Dos por puerta; se compran con las de la cocina (15 pares en total). Validar peso, cabida, sobreposición y plantilla.</t>
  </si>
  <si>
    <t>Precio del presupuesto de cocina; no cotización actual.</t>
  </si>
  <si>
    <t>320 × 500 × 3 mm provisional</t>
  </si>
  <si>
    <t>pieza</t>
  </si>
  <si>
    <t>Por cotizar</t>
  </si>
  <si>
    <t>Cantos pulidos; espesor y adhesivo con vidriero.</t>
  </si>
  <si>
    <t>Medidas del usuario; espesor supuesto.</t>
  </si>
  <si>
    <t>Retal de granito</t>
  </si>
  <si>
    <t>550 × 470 × 20 mm provisional</t>
  </si>
  <si>
    <t>Por elegir</t>
  </si>
  <si>
    <t>Vuelos 15 mm a los lados y 5 mm delante; recortes según equipos.</t>
  </si>
  <si>
    <t>Supuesto solicitado por usuario.</t>
  </si>
  <si>
    <t>Lavamanos de sobreponer</t>
  </si>
  <si>
    <t>Bowl Ø350 × 140 ilustrativo</t>
  </si>
  <si>
    <t>unidad</t>
  </si>
  <si>
    <t>No es un modelo comercial seleccionado.</t>
  </si>
  <si>
    <t>Representación provisional.</t>
  </si>
  <si>
    <t>Grifería</t>
  </si>
  <si>
    <t>Mezclador alto ilustrativo</t>
  </si>
  <si>
    <t>Medir alcance y altura según lavamanos.</t>
  </si>
  <si>
    <t>Desagüe y sifón</t>
  </si>
  <si>
    <t>Evacuación del lavamanos</t>
  </si>
  <si>
    <t>juego</t>
  </si>
  <si>
    <t>Recorte de entrepaño solo con sifón y tuberías reales.</t>
  </si>
  <si>
    <t>Instalación pendiente.</t>
  </si>
  <si>
    <t>Soportes de granito/mueble</t>
  </si>
  <si>
    <t>Soportes estructurales a muro</t>
  </si>
  <si>
    <t>Por dimensionar</t>
  </si>
  <si>
    <t>Capacidad, anclajes y sustrato real; no depende del fondo RH6.</t>
  </si>
  <si>
    <t>Montaje por definir.</t>
  </si>
  <si>
    <t>Fijaciones del espejo</t>
  </si>
  <si>
    <t>Anclajes gabinete superior</t>
  </si>
  <si>
    <t>Fijar por estructura o herrajes de colgar adecuados.</t>
  </si>
  <si>
    <t>Instalador.</t>
  </si>
  <si>
    <t>Sellado y adhesivo</t>
  </si>
  <si>
    <t>Diagonal, recortes y espejo</t>
  </si>
  <si>
    <t>lote</t>
  </si>
  <si>
    <t>Productos compatibles con RH, canto, piedra y espejo según aplicación.</t>
  </si>
  <si>
    <t>Taller y vidriero.</t>
  </si>
  <si>
    <t>Corte y montaje</t>
  </si>
  <si>
    <t>Canteado, diagonal e instalación</t>
  </si>
  <si>
    <t>servicio</t>
  </si>
  <si>
    <t>Incluye división diagonal de B06 y ajuste de tuberías.</t>
  </si>
  <si>
    <t>Proveedor.</t>
  </si>
  <si>
    <t>REFERENCIAS CON PRECIO</t>
  </si>
  <si>
    <t>Subtotal parcial del baño. Tablero, fondo y canto se presupuestan en compras-proyecto.xlsx; faltan espejo, retal, equipos, fijaciones y servicios.</t>
  </si>
  <si>
    <t>Cantos del baño · protección por humedad</t>
  </si>
  <si>
    <t>Reserva por borde m</t>
  </si>
  <si>
    <t>Ángulo de la diagonal, grados</t>
  </si>
  <si>
    <t>Longitud de cada diagonal, mm</t>
  </si>
  <si>
    <t>Corte del disco, mm (Diablo Ultra Finish 7-1/4", 0,059")</t>
  </si>
  <si>
    <t>Holgura normal resultante, mm</t>
  </si>
  <si>
    <t>Canto de cada diagonal, mm</t>
  </si>
  <si>
    <t>Holgura horizontal aproximada, mm</t>
  </si>
  <si>
    <t>Tipo</t>
  </si>
  <si>
    <t>Metros netos</t>
  </si>
  <si>
    <t>Bordes</t>
  </si>
  <si>
    <t>Reserva m</t>
  </si>
  <si>
    <t>Metros con reserva</t>
  </si>
  <si>
    <t>Manual neto estimado</t>
  </si>
  <si>
    <t>Bordes manuales</t>
  </si>
  <si>
    <t>Previsión manual m</t>
  </si>
  <si>
    <t>Rígido 2 mm</t>
  </si>
  <si>
    <t>Flexible 0,45 mm</t>
  </si>
  <si>
    <t>Manual: piezas potencialmente rechazadas, más 10 cm por borde y 20 % de reserva. Confirmar entrega real antes de comprar.</t>
  </si>
  <si>
    <t>B06 se cuenta una vez como panel de suministro; sus dos bordes diagonales llevan flexible a mano. El metraje manual está incluido en el total, no se suma dos veces.</t>
  </si>
  <si>
    <t>Pendientes antes de cortar e instalar · baño</t>
  </si>
  <si>
    <t>Solo lo que falta resolver. Lo ya decidido está en la hoja Decisiones; el despiece y el 3D ya lo reflejan.</t>
  </si>
  <si>
    <t>N°</t>
  </si>
  <si>
    <t>Tema</t>
  </si>
  <si>
    <t>Qué falta</t>
  </si>
  <si>
    <t>Qué bloquea</t>
  </si>
  <si>
    <t>Quién lo define</t>
  </si>
  <si>
    <t>Proveedor de corte</t>
  </si>
  <si>
    <t>Confirmar Q2–Q4 del Pedido de corte (medida terminada y tamaño mínimo que cantea). El pedido conjunto de los tres muebles está en compras-proyecto.xlsx.</t>
  </si>
  <si>
    <t>Pedido de corte</t>
  </si>
  <si>
    <t>Sucursal Madecentro</t>
  </si>
  <si>
    <t>Granito y equipos</t>
  </si>
  <si>
    <t>Elegir el retal de granito (espesor real; se supusieron 2 cm), el lavamanos, la grifería y el desagüe. Los huecos del dibujo (Ø45 desagüe, Ø35 grifería) no son plantilla.</t>
  </si>
  <si>
    <t>Alturas de instalación y recortes del granito</t>
  </si>
  <si>
    <t>Usuario / marmolero</t>
  </si>
  <si>
    <t>Alturas de instalación</t>
  </si>
  <si>
    <t>Confirmar la cara inferior del granito a 73 cm y los 51 cm desde su cara superior al gabinete (base a 126 y techo a 176 cm).</t>
  </si>
  <si>
    <t>Instalación</t>
  </si>
  <si>
    <t>Usuario</t>
  </si>
  <si>
    <t>Diagonal de las puertas (B06)</t>
  </si>
  <si>
    <t>Pedir el panel entero, sin dividir en tienda. Con el disco Diablo de 1,5 mm la holgura entre puertas queda en ≈0,6 mm tras cantear; lo usual son 2–3 mm. Antes del corte diagonal, decidir si se da una segunda pasada o se lija cada borde hasta ~2 mm de holgura, y confirmar el ángulo (75° provisional).</t>
  </si>
  <si>
    <t>Corte diagonal en el armado</t>
  </si>
  <si>
    <t>Taller</t>
  </si>
  <si>
    <t>Recorte del entrepaño</t>
  </si>
  <si>
    <t>Recortar y sellar en B03 la reserva del sifón con las piezas reales (100 × 270 ilustrativa).</t>
  </si>
  <si>
    <t>Armado</t>
  </si>
  <si>
    <t>Taller / plomero</t>
  </si>
  <si>
    <t>Suspensión del mueble</t>
  </si>
  <si>
    <t>Dos soportes al muro resistente que carguen mueble, granito, agua y equipos: tipo de muro, herraje y tornillos. No colgar nada del fondo de 6 mm.</t>
  </si>
  <si>
    <t>Instalador</t>
  </si>
  <si>
    <t>Gabinete del espejo</t>
  </si>
  <si>
    <t>Comprobar las bisagras HBM897-01 con la puerta de ≈2,8 kg (RH + espejo): capacidad, plantilla y poco fondo; fijar a la estructura. Espesor del espejo y adhesivo con el vidriero.</t>
  </si>
  <si>
    <t>Compra de bisagras y espejo</t>
  </si>
  <si>
    <t>Proveedor / vidriero</t>
  </si>
  <si>
    <t>Ubicación en la terraza</t>
  </si>
  <si>
    <t>Comprobar holguras y apertura real en la pared del sanitario (x = 2,12 m, giro 90°).</t>
  </si>
  <si>
    <t>Medición en obra</t>
  </si>
  <si>
    <t>Decisiones aplicadas · baño</t>
  </si>
  <si>
    <t>Registro de lo ya resuelto; el despiece y el 3D ya lo reflejan.</t>
  </si>
  <si>
    <t>Decisión</t>
  </si>
  <si>
    <t>Fecha / fuente</t>
  </si>
  <si>
    <t>Medidas inferiores</t>
  </si>
  <si>
    <t>Cuerpo de 52 cm de ancho, 47 de alto y 45 de fondo sin puertas; base a 26 cm del suelo. Las puertas añaden 15 mm al fondo.</t>
  </si>
  <si>
    <t>Medidas del usuario, 27/10/2026.</t>
  </si>
  <si>
    <t>Gabinete superior</t>
  </si>
  <si>
    <t>45 × 50 × 13 cm totales. Tapa portadora de 32 × 50 en RH15 con espejo de 3 mm provisional; fondo blanco RH6.</t>
  </si>
  <si>
    <t>Medidas y fotos del usuario.</t>
  </si>
  <si>
    <t>RH15 Cartagena como cocina y clóset; fondo blanco RH6.</t>
  </si>
  <si>
    <t>Decisión del usuario.</t>
  </si>
  <si>
    <t>Cantos completos</t>
  </si>
  <si>
    <t>Decisión del usuario 27/10/2026.</t>
  </si>
  <si>
    <t>Compra conjunta</t>
  </si>
  <si>
    <t>Tablero, fondo, canto y bisagras se compran con cocina y clóset (compras-proyecto.xlsx): las piezas RH15 de los tres muebles caben en 8 láminas y el fondo del gabinete en la lámina de fondo de la cocina.</t>
  </si>
  <si>
    <t>Encaje conjunto del 27/10/2026.</t>
  </si>
  <si>
    <t>Ubicación</t>
  </si>
  <si>
    <t>Pared del sanitario, x = 2,12 m, giro 90°, con el extremo del granito en la esquina z = 2,20 m; ya no va en la pared de la puerta.</t>
  </si>
  <si>
    <t>Modelo general de la terraza.</t>
  </si>
  <si>
    <t>Disco para la diagonal de B06</t>
  </si>
  <si>
    <t>Diablo Ultra Finish 7-1/4" con corte de 0,059" (≈1,5 mm). La holgura resultante (≈0,6 mm) queda como pendiente.</t>
  </si>
  <si>
    <t>Dato del usuario 27/10/2026</t>
  </si>
  <si>
    <t>0.45</t>
  </si>
  <si>
    <t>Zona húmeda: proteger todos los bordes y sellar perforaciones; dimensiones terminadas. Canto flexible 0,45 mm en todo el perímetro; mantener sellados recortes y perforaciones.</t>
  </si>
  <si>
    <t>Zona húmeda: proteger todos los bordes y sellar perforaciones; dimensiones terminadas. Nicho libre de 150 mm bajo granito. Recorte trasero ilustrativo 100 × 270 mm, centrado; no mecanizar sin sifón real. Retranqueo frontal de 30 mm para agarre. Canto flexible 0,45 mm en todo el perímetro; mantener sellados recortes y perforaciones.</t>
  </si>
  <si>
    <t>Zona húmeda: proteger todos los bordes y sellar perforaciones; dimensiones terminadas. De canto, interrumpido en el centro para tuberías; no es un colgador certificado. Canto flexible 0,45 mm en todo el perímetro; mantener sellados recortes y perforaciones.</t>
  </si>
  <si>
    <t>Zona húmeda: proteger todos los bordes y sellar perforaciones; dimensiones terminadas. Define rigidez posterior; anclajes y uniones por dimensionar. Canto flexible 0,45 mm en todo el perímetro; mantener sellados recortes y perforaciones.</t>
  </si>
  <si>
    <t>2</t>
  </si>
  <si>
    <t>Una sola pieza rectangular terminada 517 × 299 mm (veta vertical). Pedirla entera, con canto 2 mm en el perímetro; NO dividir en tienda. En el armado, corte central a 75° de la horizontal (provisional entre 70 y 80°) con el disco Diablo de 1,5 mm (corte de 0,059") y canto flexible 0,45 mm en los dos bordes nuevos. Holgura entre puertas tras cantear ≈0,6 mm: probablemente insuficiente (ver Pendientes). La medida de lista es del panel común, no de cada tapa.</t>
  </si>
  <si>
    <t>Zona húmeda: proteger todos los bordes y sellar perforaciones; dimensiones terminadas. Fondo total 130 mm con panel 6 mm, holgura frontal 1 mm, tapa RH15 y espejo 3 mm. Canto flexible 0,45 mm en todo el perímetro; mantener sellados recortes y perforaciones.</t>
  </si>
  <si>
    <t>Zona húmeda: proteger todos los bordes y sellar perforaciones; dimensiones terminadas. Interior cerrado 290 mm; columna derecha abierta 115 mm. Canto flexible 0,45 mm en todo el perímetro; mantener sellados recortes y perforaciones.</t>
  </si>
  <si>
    <t>Zona húmeda: proteger todos los bordes y sellar perforaciones; dimensiones terminadas. Dos entrepaños fijos como la referencia. Canto flexible 0,45 mm en todo el perímetro; mantener sellados recortes y perforaciones.</t>
  </si>
  <si>
    <t>Medida exterior de referencia 320 × 500; espejo pegado en cara exterior. Dos bisagras candidatas, peso conjunto aproximado 2,8 kg sin herrajes. Validar holguras, cazoletas y adhesivo compatible con espejo. Canto flexible 0,45 mm en todo el perímetro; mantener sellados recortes y perforaciones.</t>
  </si>
  <si>
    <t>Fondo aplicado por detrás, retranqueado 2 mm de los bordes. Reutilización de sobrantes de cocina solo se comprobará en la optimización conjunta final. No soporta el anclaje del gabinete. Canto flexible 0,45 mm en todo el perímetro; mantener sellados recortes y perforaciones.</t>
  </si>
  <si>
    <t>Medidas finales con canto incluido. R = rígido 2 mm; F = flexible 0,45 mm; — = sin canto. Un solo tipo por pieza; solo se cantean los bordes marcados.</t>
  </si>
  <si>
    <t>Solo perímetro del panel de puertas B06. Metraje conjunto actualizado en compras-proyecto.xlsx.</t>
  </si>
  <si>
    <t>Un solo tipo de canto por pieza: rígido 2 mm en puertas/frentes de uso frecuente y terminal expuesto; flexible 0,45 mm en estructura e interiores. Se conservan los bordes protegidos y las medidas terminadas. El corte del tablero descuenta el espesor nuevo una sola vez. En baño todos los bordes permanecen canteados. B06 se pide con perímetro rígido; los dos bordes nuevos de la diagonal se hacen con flexible en el armado, fuera del optimizador.</t>
  </si>
  <si>
    <t>Metros recalculados en compras-proyecto.xlsx. No duplicar la compra de canto de los tres muebles.</t>
  </si>
  <si>
    <t>Un solo tipo de canto por pieza: rígido 2 mm en puertas/frentes de uso frecuente y terminal expuesto; flexible 0,45 mm en estructura e interiores. Se conservan los bordes protegidos y las medidas terminadas. El corte del tablero descuenta el espesor nuevo una sola vez. En baño se conservan TODOS los bordes, incluidos ocultos, con flexible salvo el perímetro de B06. Diagonal manual con flexible de 0,45 mm; sellar muesca de sifón y perforaciones. RH y canto no hacen impermeable al mueble.</t>
  </si>
  <si>
    <t>9</t>
  </si>
  <si>
    <t>Acometidas del lavamanos (aproximadas)</t>
  </si>
  <si>
    <t>Medidas desde el muro lateral (el extremo del granito va contra él) y desde el piso terminado, en la pared del sanitario. Lavamanos: eje a 27,5 cm del muro lateral. Desagüe en la pared, eje a 27,5 cm y altura ≈42 cm (40–45): queda dentro del gabinete cerrado (27,5–56,5 cm), por encima del travesaño trasero inferior. Agua: llaves angulares a ≈50 cm de altura, caliente (si la hay) a 17,5 cm del muro lateral y fría a 37,5 cm. Las mangueras suben por la reserva de B03 y se ven en el nicho abierto de 15 cm bajo el granito.</t>
  </si>
  <si>
    <t>Obra de agua y desagüe</t>
  </si>
  <si>
    <t>Plomero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</si>
</sst>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
    <numFmt numFmtId="165" formatCode="0.000"/>
    <numFmt numFmtId="166" formatCode="&quot;$&quot;#,##0"/>
  </numFmts>
  <fonts count="7">
    <font>
      <sz val="11"/>
      <name val="Carlito"/>
    </font>
    <font>
      <sz val="10"/>
      <name val="Arial"/>
    </font>
    <font>
      <sz val="17"/>
      <name val="Arial"/>
    </font>
    <font>
      <b/>
      <sz val="10"/>
      <color rgb="FFFFFFFF"/>
      <name val="Arial"/>
    </font>
    <font>
      <b/>
      <sz val="14"/>
      <name val="Carlito"/>
    </font>
    <font>
      <i/>
      <sz val="11"/>
      <name val="Carlito"/>
    </font>
    <font>
      <b/>
      <sz val="11"/>
      <color rgb="FFFFFFFF"/>
      <name val="Carlito"/>
    </font>
  </fonts>
  <fills count="5">
    <fill>
      <patternFill patternType="none"/>
    </fill>
    <fill>
      <patternFill patternType="gray125"/>
    </fill>
    <fill>
      <patternFill patternType="solid">
        <fgColor rgb="FF253B35"/>
      </patternFill>
    </fill>
    <fill>
      <patternFill patternType="solid">
        <fgColor rgb="FFEAF0E3"/>
      </patternFill>
    </fill>
    <fill>
      <patternFill patternType="solid">
        <fgColor rgb="FF253B35"/>
      </patternFill>
    </fill>
  </fills>
  <borders count="2">
    <border>
      <left/>
      <right/>
      <top/>
      <bottom/>
      <diagonal/>
    </border>
    <border>
      <left style="thin">
        <color rgb="FFD3DCD9"/>
      </left>
      <right style="thin">
        <color rgb="FFD3DCD9"/>
      </right>
      <top style="thin">
        <color rgb="FFD3DCD9"/>
      </top>
      <bottom style="thin">
        <color rgb="FFD3DCD9"/>
      </bottom>
      <diagonal/>
    </border>
  </borders>
  <cellStyleXfs count="1">
    <xf numFmtId="0" fontId="0" fillId="0" borderId="0"/>
  </cellStyleXfs>
  <cellXfs count="20">
    <xf numFmtId="0" fontId="0" fillId="0" borderId="0" xfId="0"/>
    <xf numFmtId="0" fontId="1" fillId="0" borderId="0" xfId="0" applyFont="1" applyAlignment="1">
      <alignment vertical="center"/>
    </xf>
    <xf numFmtId="0" fontId="2" fillId="0" borderId="0" xfId="0" applyFont="1" applyAlignment="1">
      <alignment vertical="center"/>
    </xf>
    <xf numFmtId="0" fontId="3" fillId="2" borderId="0" xfId="0" applyFont="1" applyFill="1" applyAlignment="1">
      <alignment vertical="center" wrapText="1"/>
    </xf>
    <xf numFmtId="0" fontId="1" fillId="0" borderId="0" xfId="0" applyFont="1" applyAlignment="1">
      <alignment vertical="center" wrapText="1"/>
    </xf>
    <xf numFmtId="164" fontId="1" fillId="0" borderId="0" xfId="0" applyNumberFormat="1" applyFont="1" applyAlignment="1">
      <alignment vertical="center"/>
    </xf>
    <xf numFmtId="2" fontId="1" fillId="0" borderId="0" xfId="0" applyNumberFormat="1" applyFont="1" applyAlignment="1">
      <alignment vertical="center"/>
    </xf>
    <xf numFmtId="165" fontId="1" fillId="0" borderId="0" xfId="0" applyNumberFormat="1" applyFont="1" applyAlignment="1">
      <alignment vertical="center"/>
    </xf>
    <xf numFmtId="0" fontId="1" fillId="3" borderId="0" xfId="0" applyFont="1" applyFill="1" applyAlignment="1">
      <alignment vertical="center"/>
    </xf>
    <xf numFmtId="166" fontId="1" fillId="0" borderId="0" xfId="0" applyNumberFormat="1" applyFont="1" applyAlignment="1">
      <alignment vertical="center"/>
    </xf>
    <xf numFmtId="166" fontId="1" fillId="3" borderId="0" xfId="0" applyNumberFormat="1" applyFont="1" applyFill="1" applyAlignment="1">
      <alignment vertical="center"/>
    </xf>
    <xf numFmtId="49" fontId="1" fillId="0" borderId="0" xfId="0" applyNumberFormat="1" applyFont="1" applyAlignment="1">
      <alignment vertical="center"/>
    </xf>
    <xf numFmtId="49" fontId="1" fillId="0" borderId="0" xfId="0" applyNumberFormat="1" applyFont="1" applyAlignment="1">
      <alignment vertical="center" wrapText="1"/>
    </xf>
    <xf numFmtId="49" fontId="1" fillId="3" borderId="0" xfId="0" applyNumberFormat="1" applyFont="1" applyFill="1" applyAlignment="1">
      <alignment vertical="center" wrapText="1"/>
    </xf>
    <xf numFmtId="49" fontId="6" fillId="4" borderId="1" xfId="0" applyNumberFormat="1" applyFont="1" applyFill="1" applyBorder="1" applyAlignment="1">
      <alignment vertical="top" wrapText="1"/>
    </xf>
    <xf numFmtId="0" fontId="0" fillId="0" borderId="1" xfId="0" applyBorder="1" applyAlignment="1">
      <alignment vertical="top" wrapText="1"/>
    </xf>
    <xf numFmtId="49" fontId="0" fillId="0" borderId="1" xfId="0" applyNumberFormat="1" applyBorder="1" applyAlignment="1">
      <alignment vertical="top" wrapText="1"/>
    </xf>
    <xf numFmtId="49" fontId="4" fillId="0" borderId="0" xfId="0" applyNumberFormat="1" applyFont="1"/>
    <xf numFmtId="49" fontId="5" fillId="0" borderId="0" xfId="0" applyNumberFormat="1" applyFont="1"/>
    <xf numFmtId="0" fontId="1" fillId="0" borderId="0" xfId="0"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45"/>
  <sheetViews>
    <sheetView showGridLines="0" tabSelected="1" workbookViewId="0">
      <pane ySplit="6" topLeftCell="A7" activePane="bottomLeft" state="frozen"/>
      <selection pane="bottomLeft"/>
    </sheetView>
  </sheetViews>
  <sheetFormatPr baseColWidth="10" defaultColWidth="8.796875" defaultRowHeight="13.8"/>
  <cols>
    <col min="1" max="1" width="9" customWidth="1"/>
    <col min="2" max="2" width="12" customWidth="1"/>
    <col min="3" max="3" width="35" customWidth="1"/>
    <col min="4" max="4" width="26" customWidth="1"/>
    <col min="5" max="5" width="10" customWidth="1"/>
    <col min="6" max="6" width="14" customWidth="1"/>
    <col min="7" max="7" width="13" customWidth="1"/>
    <col min="8" max="8" width="12" customWidth="1"/>
    <col min="9" max="9" width="13" customWidth="1"/>
    <col min="10" max="13" width="12" customWidth="1"/>
    <col min="14" max="15" width="16" customWidth="1"/>
    <col min="16" max="16" width="83" customWidth="1"/>
  </cols>
  <sheetData>
    <row r="1" spans="1:16">
      <c r="A1" s="1"/>
      <c r="B1" s="1"/>
      <c r="C1" s="1"/>
      <c r="D1" s="1"/>
      <c r="E1" s="1"/>
      <c r="F1" s="1"/>
      <c r="G1" s="1"/>
      <c r="H1" s="1"/>
      <c r="I1" s="1"/>
      <c r="J1" s="1"/>
      <c r="K1" s="1"/>
      <c r="L1" s="1"/>
      <c r="M1" s="1"/>
      <c r="N1" s="1"/>
      <c r="O1" s="1"/>
      <c r="P1" s="1"/>
    </row>
    <row r="2" spans="1:16" ht="21">
      <c r="A2" s="2" t="s">
        <v>0</v>
      </c>
      <c r="B2" s="1"/>
      <c r="C2" s="1"/>
      <c r="D2" s="1"/>
      <c r="E2" s="1"/>
      <c r="F2" s="1"/>
      <c r="G2" s="1"/>
      <c r="H2" s="1"/>
      <c r="I2" s="1"/>
      <c r="J2" s="1"/>
      <c r="K2" s="1"/>
      <c r="L2" s="1"/>
      <c r="M2" s="1"/>
      <c r="N2" s="1"/>
      <c r="O2" s="1"/>
      <c r="P2" s="1"/>
    </row>
    <row r="3" spans="1:16">
      <c r="A3" s="11" t="s">
        <v>1</v>
      </c>
      <c r="B3" s="1"/>
      <c r="C3" s="1"/>
      <c r="D3" s="1"/>
      <c r="E3" s="1"/>
      <c r="F3" s="1"/>
      <c r="G3" s="1"/>
      <c r="H3" s="1"/>
      <c r="I3" s="1"/>
      <c r="J3" s="1"/>
      <c r="K3" s="1"/>
      <c r="L3" s="1"/>
      <c r="M3" s="1"/>
      <c r="N3" s="1"/>
      <c r="O3" s="1"/>
      <c r="P3" s="1"/>
    </row>
    <row r="4" spans="1:16">
      <c r="A4" s="1" t="s">
        <v>2</v>
      </c>
      <c r="B4" s="1"/>
      <c r="C4" s="1"/>
      <c r="D4" s="1"/>
      <c r="E4" s="1"/>
      <c r="F4" s="1"/>
      <c r="G4" s="1"/>
      <c r="H4" s="1"/>
      <c r="I4" s="1"/>
      <c r="J4" s="1"/>
      <c r="K4" s="1"/>
      <c r="L4" s="1"/>
      <c r="M4" s="1"/>
      <c r="N4" s="1"/>
      <c r="O4" s="1"/>
      <c r="P4" s="1"/>
    </row>
    <row r="5" spans="1:16">
      <c r="A5" s="1"/>
      <c r="B5" s="1"/>
      <c r="C5" s="1"/>
      <c r="D5" s="1"/>
      <c r="E5" s="1"/>
      <c r="F5" s="1"/>
      <c r="G5" s="1"/>
      <c r="H5" s="1"/>
      <c r="I5" s="1"/>
      <c r="J5" s="1"/>
      <c r="K5" s="1"/>
      <c r="L5" s="1"/>
      <c r="M5" s="1"/>
      <c r="N5" s="1"/>
      <c r="O5" s="1"/>
      <c r="P5" s="1"/>
    </row>
    <row r="6" spans="1:16" ht="42" customHeight="1">
      <c r="A6" s="3" t="s">
        <v>3</v>
      </c>
      <c r="B6" s="3" t="s">
        <v>4</v>
      </c>
      <c r="C6" s="3" t="s">
        <v>5</v>
      </c>
      <c r="D6" s="3" t="s">
        <v>6</v>
      </c>
      <c r="E6" s="3" t="s">
        <v>7</v>
      </c>
      <c r="F6" s="3" t="s">
        <v>8</v>
      </c>
      <c r="G6" s="3" t="s">
        <v>9</v>
      </c>
      <c r="H6" s="3" t="s">
        <v>10</v>
      </c>
      <c r="I6" s="3" t="s">
        <v>11</v>
      </c>
      <c r="J6" s="3" t="s">
        <v>12</v>
      </c>
      <c r="K6" s="3" t="s">
        <v>13</v>
      </c>
      <c r="L6" s="3" t="s">
        <v>14</v>
      </c>
      <c r="M6" s="3" t="s">
        <v>15</v>
      </c>
      <c r="N6" s="3" t="s">
        <v>16</v>
      </c>
      <c r="O6" s="3" t="s">
        <v>17</v>
      </c>
      <c r="P6" s="3" t="s">
        <v>18</v>
      </c>
    </row>
    <row r="7" spans="1:16" ht="66" customHeight="1">
      <c r="A7" s="1" t="s">
        <v>19</v>
      </c>
      <c r="B7" s="1" t="s">
        <v>20</v>
      </c>
      <c r="C7" s="4" t="s">
        <v>21</v>
      </c>
      <c r="D7" s="4" t="s">
        <v>22</v>
      </c>
      <c r="E7" s="1">
        <v>2</v>
      </c>
      <c r="F7" s="1">
        <v>470</v>
      </c>
      <c r="G7" s="1">
        <v>450</v>
      </c>
      <c r="H7" s="1">
        <v>15</v>
      </c>
      <c r="I7" s="5">
        <f t="shared" ref="I7:I21" si="0">E7*F7*G7/1000000</f>
        <v>0.42299999999999999</v>
      </c>
      <c r="J7" s="1" t="s">
        <v>230</v>
      </c>
      <c r="K7" s="1" t="s">
        <v>230</v>
      </c>
      <c r="L7" s="1" t="s">
        <v>230</v>
      </c>
      <c r="M7" s="1" t="s">
        <v>230</v>
      </c>
      <c r="N7" s="6">
        <f t="shared" ref="N7:N21" si="1">F7-IF(L7="2",2,IF(L7="0.45",0.45,0))-IF(M7="2",2,IF(M7="0.45",0.45,0))</f>
        <v>469.1</v>
      </c>
      <c r="O7" s="6">
        <f t="shared" ref="O7:O21" si="2">G7-IF(J7="2",2,IF(J7="0.45",0.45,0))-IF(K7="2",2,IF(K7="0.45",0.45,0))</f>
        <v>449.1</v>
      </c>
      <c r="P7" s="4" t="s">
        <v>231</v>
      </c>
    </row>
    <row r="8" spans="1:16" ht="66" customHeight="1">
      <c r="A8" s="1" t="s">
        <v>23</v>
      </c>
      <c r="B8" s="1" t="s">
        <v>20</v>
      </c>
      <c r="C8" s="4" t="s">
        <v>24</v>
      </c>
      <c r="D8" s="4" t="s">
        <v>22</v>
      </c>
      <c r="E8" s="1">
        <v>1</v>
      </c>
      <c r="F8" s="1">
        <v>490</v>
      </c>
      <c r="G8" s="1">
        <v>450</v>
      </c>
      <c r="H8" s="1">
        <v>15</v>
      </c>
      <c r="I8" s="5">
        <f t="shared" si="0"/>
        <v>0.2205</v>
      </c>
      <c r="J8" s="1" t="s">
        <v>230</v>
      </c>
      <c r="K8" s="1" t="s">
        <v>230</v>
      </c>
      <c r="L8" s="1" t="s">
        <v>230</v>
      </c>
      <c r="M8" s="1" t="s">
        <v>230</v>
      </c>
      <c r="N8" s="6">
        <f t="shared" si="1"/>
        <v>489.1</v>
      </c>
      <c r="O8" s="6">
        <f t="shared" si="2"/>
        <v>449.1</v>
      </c>
      <c r="P8" s="4" t="s">
        <v>231</v>
      </c>
    </row>
    <row r="9" spans="1:16" ht="97.95" customHeight="1">
      <c r="A9" s="1" t="s">
        <v>25</v>
      </c>
      <c r="B9" s="1" t="s">
        <v>20</v>
      </c>
      <c r="C9" s="4" t="s">
        <v>26</v>
      </c>
      <c r="D9" s="4" t="s">
        <v>22</v>
      </c>
      <c r="E9" s="1">
        <v>1</v>
      </c>
      <c r="F9" s="1">
        <v>490</v>
      </c>
      <c r="G9" s="1">
        <v>405</v>
      </c>
      <c r="H9" s="1">
        <v>15</v>
      </c>
      <c r="I9" s="5">
        <f t="shared" si="0"/>
        <v>0.19844999999999999</v>
      </c>
      <c r="J9" s="1" t="s">
        <v>230</v>
      </c>
      <c r="K9" s="1" t="s">
        <v>230</v>
      </c>
      <c r="L9" s="1" t="s">
        <v>230</v>
      </c>
      <c r="M9" s="1" t="s">
        <v>230</v>
      </c>
      <c r="N9" s="6">
        <f t="shared" si="1"/>
        <v>489.1</v>
      </c>
      <c r="O9" s="6">
        <f t="shared" si="2"/>
        <v>404.1</v>
      </c>
      <c r="P9" s="4" t="s">
        <v>232</v>
      </c>
    </row>
    <row r="10" spans="1:16" ht="66" customHeight="1">
      <c r="A10" s="1" t="s">
        <v>27</v>
      </c>
      <c r="B10" s="1" t="s">
        <v>20</v>
      </c>
      <c r="C10" s="4" t="s">
        <v>28</v>
      </c>
      <c r="D10" s="4" t="s">
        <v>22</v>
      </c>
      <c r="E10" s="1">
        <v>2</v>
      </c>
      <c r="F10" s="1">
        <v>195</v>
      </c>
      <c r="G10" s="1">
        <v>80</v>
      </c>
      <c r="H10" s="1">
        <v>15</v>
      </c>
      <c r="I10" s="5">
        <f t="shared" si="0"/>
        <v>3.1199999999999999E-2</v>
      </c>
      <c r="J10" s="1" t="s">
        <v>230</v>
      </c>
      <c r="K10" s="1" t="s">
        <v>230</v>
      </c>
      <c r="L10" s="1" t="s">
        <v>230</v>
      </c>
      <c r="M10" s="1" t="s">
        <v>230</v>
      </c>
      <c r="N10" s="6">
        <f t="shared" si="1"/>
        <v>194.10000000000002</v>
      </c>
      <c r="O10" s="6">
        <f t="shared" si="2"/>
        <v>79.099999999999994</v>
      </c>
      <c r="P10" s="4" t="s">
        <v>233</v>
      </c>
    </row>
    <row r="11" spans="1:16" ht="66" customHeight="1">
      <c r="A11" s="1" t="s">
        <v>29</v>
      </c>
      <c r="B11" s="1" t="s">
        <v>20</v>
      </c>
      <c r="C11" s="4" t="s">
        <v>30</v>
      </c>
      <c r="D11" s="4" t="s">
        <v>22</v>
      </c>
      <c r="E11" s="1">
        <v>1</v>
      </c>
      <c r="F11" s="1">
        <v>490</v>
      </c>
      <c r="G11" s="1">
        <v>80</v>
      </c>
      <c r="H11" s="1">
        <v>15</v>
      </c>
      <c r="I11" s="5">
        <f t="shared" si="0"/>
        <v>3.9199999999999999E-2</v>
      </c>
      <c r="J11" s="1" t="s">
        <v>230</v>
      </c>
      <c r="K11" s="1" t="s">
        <v>230</v>
      </c>
      <c r="L11" s="1" t="s">
        <v>230</v>
      </c>
      <c r="M11" s="1" t="s">
        <v>230</v>
      </c>
      <c r="N11" s="6">
        <f t="shared" si="1"/>
        <v>489.1</v>
      </c>
      <c r="O11" s="6">
        <f t="shared" si="2"/>
        <v>79.099999999999994</v>
      </c>
      <c r="P11" s="4" t="s">
        <v>234</v>
      </c>
    </row>
    <row r="12" spans="1:16" ht="97.95" customHeight="1">
      <c r="A12" s="1" t="s">
        <v>31</v>
      </c>
      <c r="B12" s="1" t="s">
        <v>20</v>
      </c>
      <c r="C12" s="4" t="s">
        <v>32</v>
      </c>
      <c r="D12" s="4" t="s">
        <v>22</v>
      </c>
      <c r="E12" s="1">
        <v>1</v>
      </c>
      <c r="F12" s="1">
        <v>299</v>
      </c>
      <c r="G12" s="1">
        <v>517</v>
      </c>
      <c r="H12" s="1">
        <v>15</v>
      </c>
      <c r="I12" s="5">
        <f t="shared" si="0"/>
        <v>0.154583</v>
      </c>
      <c r="J12" s="1" t="s">
        <v>235</v>
      </c>
      <c r="K12" s="1" t="s">
        <v>235</v>
      </c>
      <c r="L12" s="1" t="s">
        <v>235</v>
      </c>
      <c r="M12" s="1" t="s">
        <v>235</v>
      </c>
      <c r="N12" s="6">
        <f t="shared" si="1"/>
        <v>295</v>
      </c>
      <c r="O12" s="6">
        <f t="shared" si="2"/>
        <v>513</v>
      </c>
      <c r="P12" s="12" t="s">
        <v>236</v>
      </c>
    </row>
    <row r="13" spans="1:16" ht="66" customHeight="1">
      <c r="A13" s="1" t="s">
        <v>33</v>
      </c>
      <c r="B13" s="1" t="s">
        <v>34</v>
      </c>
      <c r="C13" s="4" t="s">
        <v>35</v>
      </c>
      <c r="D13" s="4" t="s">
        <v>22</v>
      </c>
      <c r="E13" s="1">
        <v>2</v>
      </c>
      <c r="F13" s="1">
        <v>500</v>
      </c>
      <c r="G13" s="1">
        <v>105</v>
      </c>
      <c r="H13" s="1">
        <v>15</v>
      </c>
      <c r="I13" s="5">
        <f t="shared" si="0"/>
        <v>0.105</v>
      </c>
      <c r="J13" s="1" t="s">
        <v>230</v>
      </c>
      <c r="K13" s="1" t="s">
        <v>230</v>
      </c>
      <c r="L13" s="1" t="s">
        <v>230</v>
      </c>
      <c r="M13" s="1" t="s">
        <v>230</v>
      </c>
      <c r="N13" s="6">
        <f t="shared" si="1"/>
        <v>499.1</v>
      </c>
      <c r="O13" s="6">
        <f t="shared" si="2"/>
        <v>104.1</v>
      </c>
      <c r="P13" s="4" t="s">
        <v>237</v>
      </c>
    </row>
    <row r="14" spans="1:16" ht="66" customHeight="1">
      <c r="A14" s="1" t="s">
        <v>36</v>
      </c>
      <c r="B14" s="1" t="s">
        <v>34</v>
      </c>
      <c r="C14" s="4" t="s">
        <v>37</v>
      </c>
      <c r="D14" s="4" t="s">
        <v>22</v>
      </c>
      <c r="E14" s="1">
        <v>2</v>
      </c>
      <c r="F14" s="1">
        <v>420</v>
      </c>
      <c r="G14" s="1">
        <v>105</v>
      </c>
      <c r="H14" s="1">
        <v>15</v>
      </c>
      <c r="I14" s="5">
        <f t="shared" si="0"/>
        <v>8.8200000000000001E-2</v>
      </c>
      <c r="J14" s="1" t="s">
        <v>230</v>
      </c>
      <c r="K14" s="1" t="s">
        <v>230</v>
      </c>
      <c r="L14" s="1" t="s">
        <v>230</v>
      </c>
      <c r="M14" s="1" t="s">
        <v>230</v>
      </c>
      <c r="N14" s="6">
        <f t="shared" si="1"/>
        <v>419.1</v>
      </c>
      <c r="O14" s="6">
        <f t="shared" si="2"/>
        <v>104.1</v>
      </c>
      <c r="P14" s="4" t="s">
        <v>231</v>
      </c>
    </row>
    <row r="15" spans="1:16" ht="66" customHeight="1">
      <c r="A15" s="1" t="s">
        <v>38</v>
      </c>
      <c r="B15" s="1" t="s">
        <v>34</v>
      </c>
      <c r="C15" s="4" t="s">
        <v>39</v>
      </c>
      <c r="D15" s="4" t="s">
        <v>22</v>
      </c>
      <c r="E15" s="1">
        <v>1</v>
      </c>
      <c r="F15" s="1">
        <v>470</v>
      </c>
      <c r="G15" s="1">
        <v>105</v>
      </c>
      <c r="H15" s="1">
        <v>15</v>
      </c>
      <c r="I15" s="5">
        <f t="shared" si="0"/>
        <v>4.9349999999999998E-2</v>
      </c>
      <c r="J15" s="1" t="s">
        <v>230</v>
      </c>
      <c r="K15" s="1" t="s">
        <v>230</v>
      </c>
      <c r="L15" s="1" t="s">
        <v>230</v>
      </c>
      <c r="M15" s="1" t="s">
        <v>230</v>
      </c>
      <c r="N15" s="6">
        <f t="shared" si="1"/>
        <v>469.1</v>
      </c>
      <c r="O15" s="6">
        <f t="shared" si="2"/>
        <v>104.1</v>
      </c>
      <c r="P15" s="4" t="s">
        <v>238</v>
      </c>
    </row>
    <row r="16" spans="1:16" ht="66" customHeight="1">
      <c r="A16" s="1" t="s">
        <v>40</v>
      </c>
      <c r="B16" s="1" t="s">
        <v>34</v>
      </c>
      <c r="C16" s="4" t="s">
        <v>41</v>
      </c>
      <c r="D16" s="4" t="s">
        <v>22</v>
      </c>
      <c r="E16" s="1">
        <v>2</v>
      </c>
      <c r="F16" s="1">
        <v>290</v>
      </c>
      <c r="G16" s="1">
        <v>100</v>
      </c>
      <c r="H16" s="1">
        <v>15</v>
      </c>
      <c r="I16" s="5">
        <f t="shared" si="0"/>
        <v>5.8000000000000003E-2</v>
      </c>
      <c r="J16" s="1" t="s">
        <v>230</v>
      </c>
      <c r="K16" s="1" t="s">
        <v>230</v>
      </c>
      <c r="L16" s="1" t="s">
        <v>230</v>
      </c>
      <c r="M16" s="1" t="s">
        <v>230</v>
      </c>
      <c r="N16" s="6">
        <f t="shared" si="1"/>
        <v>289.10000000000002</v>
      </c>
      <c r="O16" s="6">
        <f t="shared" si="2"/>
        <v>99.1</v>
      </c>
      <c r="P16" s="4" t="s">
        <v>239</v>
      </c>
    </row>
    <row r="17" spans="1:16" ht="66" customHeight="1">
      <c r="A17" s="1" t="s">
        <v>42</v>
      </c>
      <c r="B17" s="1" t="s">
        <v>34</v>
      </c>
      <c r="C17" s="4" t="s">
        <v>43</v>
      </c>
      <c r="D17" s="4" t="s">
        <v>22</v>
      </c>
      <c r="E17" s="1">
        <v>1</v>
      </c>
      <c r="F17" s="1">
        <v>115</v>
      </c>
      <c r="G17" s="1">
        <v>100</v>
      </c>
      <c r="H17" s="1">
        <v>15</v>
      </c>
      <c r="I17" s="5">
        <f t="shared" si="0"/>
        <v>1.15E-2</v>
      </c>
      <c r="J17" s="1" t="s">
        <v>230</v>
      </c>
      <c r="K17" s="1" t="s">
        <v>230</v>
      </c>
      <c r="L17" s="1" t="s">
        <v>230</v>
      </c>
      <c r="M17" s="1" t="s">
        <v>230</v>
      </c>
      <c r="N17" s="6">
        <f t="shared" si="1"/>
        <v>114.1</v>
      </c>
      <c r="O17" s="6">
        <f t="shared" si="2"/>
        <v>99.1</v>
      </c>
      <c r="P17" s="4" t="s">
        <v>231</v>
      </c>
    </row>
    <row r="18" spans="1:16" ht="97.95" customHeight="1">
      <c r="A18" s="1" t="s">
        <v>44</v>
      </c>
      <c r="B18" s="1" t="s">
        <v>34</v>
      </c>
      <c r="C18" s="4" t="s">
        <v>45</v>
      </c>
      <c r="D18" s="4" t="s">
        <v>22</v>
      </c>
      <c r="E18" s="1">
        <v>1</v>
      </c>
      <c r="F18" s="1">
        <v>500</v>
      </c>
      <c r="G18" s="1">
        <v>320</v>
      </c>
      <c r="H18" s="1">
        <v>15</v>
      </c>
      <c r="I18" s="5">
        <f t="shared" si="0"/>
        <v>0.16</v>
      </c>
      <c r="J18" s="1" t="s">
        <v>230</v>
      </c>
      <c r="K18" s="1" t="s">
        <v>230</v>
      </c>
      <c r="L18" s="1" t="s">
        <v>230</v>
      </c>
      <c r="M18" s="1" t="s">
        <v>230</v>
      </c>
      <c r="N18" s="6">
        <f t="shared" si="1"/>
        <v>499.1</v>
      </c>
      <c r="O18" s="6">
        <f t="shared" si="2"/>
        <v>319.10000000000002</v>
      </c>
      <c r="P18" s="4" t="s">
        <v>240</v>
      </c>
    </row>
    <row r="19" spans="1:16" ht="66" customHeight="1">
      <c r="A19" s="1" t="s">
        <v>46</v>
      </c>
      <c r="B19" s="1" t="s">
        <v>34</v>
      </c>
      <c r="C19" s="4" t="s">
        <v>47</v>
      </c>
      <c r="D19" s="4" t="s">
        <v>48</v>
      </c>
      <c r="E19" s="1">
        <v>1</v>
      </c>
      <c r="F19" s="1">
        <v>496</v>
      </c>
      <c r="G19" s="1">
        <v>446</v>
      </c>
      <c r="H19" s="1">
        <v>6</v>
      </c>
      <c r="I19" s="5">
        <f t="shared" si="0"/>
        <v>0.221216</v>
      </c>
      <c r="J19" s="1" t="s">
        <v>230</v>
      </c>
      <c r="K19" s="1" t="s">
        <v>230</v>
      </c>
      <c r="L19" s="1" t="s">
        <v>230</v>
      </c>
      <c r="M19" s="1" t="s">
        <v>230</v>
      </c>
      <c r="N19" s="6">
        <f t="shared" si="1"/>
        <v>495.1</v>
      </c>
      <c r="O19" s="6">
        <f t="shared" si="2"/>
        <v>445.1</v>
      </c>
      <c r="P19" s="4" t="s">
        <v>241</v>
      </c>
    </row>
    <row r="20" spans="1:16" ht="66" customHeight="1">
      <c r="A20" s="1" t="s">
        <v>49</v>
      </c>
      <c r="B20" s="1" t="s">
        <v>34</v>
      </c>
      <c r="C20" s="4" t="s">
        <v>50</v>
      </c>
      <c r="D20" s="4" t="s">
        <v>51</v>
      </c>
      <c r="E20" s="1">
        <v>1</v>
      </c>
      <c r="F20" s="1">
        <v>500</v>
      </c>
      <c r="G20" s="1">
        <v>320</v>
      </c>
      <c r="H20" s="1">
        <v>3</v>
      </c>
      <c r="I20" s="5">
        <f t="shared" si="0"/>
        <v>0.16</v>
      </c>
      <c r="J20" s="1" t="s">
        <v>52</v>
      </c>
      <c r="K20" s="1" t="s">
        <v>52</v>
      </c>
      <c r="L20" s="1" t="s">
        <v>52</v>
      </c>
      <c r="M20" s="1" t="s">
        <v>52</v>
      </c>
      <c r="N20" s="6">
        <f t="shared" si="1"/>
        <v>500</v>
      </c>
      <c r="O20" s="6">
        <f t="shared" si="2"/>
        <v>320</v>
      </c>
      <c r="P20" s="4" t="s">
        <v>53</v>
      </c>
    </row>
    <row r="21" spans="1:16" ht="66" customHeight="1">
      <c r="A21" s="1" t="s">
        <v>54</v>
      </c>
      <c r="B21" s="1" t="s">
        <v>20</v>
      </c>
      <c r="C21" s="4" t="s">
        <v>55</v>
      </c>
      <c r="D21" s="4" t="s">
        <v>56</v>
      </c>
      <c r="E21" s="1">
        <v>1</v>
      </c>
      <c r="F21" s="1">
        <v>550</v>
      </c>
      <c r="G21" s="1">
        <v>470</v>
      </c>
      <c r="H21" s="1">
        <v>20</v>
      </c>
      <c r="I21" s="5">
        <f t="shared" si="0"/>
        <v>0.25850000000000001</v>
      </c>
      <c r="J21" s="1" t="s">
        <v>52</v>
      </c>
      <c r="K21" s="1" t="s">
        <v>52</v>
      </c>
      <c r="L21" s="1" t="s">
        <v>52</v>
      </c>
      <c r="M21" s="1" t="s">
        <v>52</v>
      </c>
      <c r="N21" s="6">
        <f t="shared" si="1"/>
        <v>550</v>
      </c>
      <c r="O21" s="6">
        <f t="shared" si="2"/>
        <v>470</v>
      </c>
      <c r="P21" s="4" t="s">
        <v>57</v>
      </c>
    </row>
    <row r="22" spans="1:16">
      <c r="A22" s="1"/>
      <c r="B22" s="1"/>
      <c r="C22" s="1"/>
      <c r="D22" s="1"/>
      <c r="E22" s="1"/>
      <c r="F22" s="1"/>
      <c r="G22" s="1"/>
      <c r="H22" s="1"/>
      <c r="I22" s="1"/>
      <c r="J22" s="1"/>
      <c r="K22" s="1"/>
      <c r="L22" s="1"/>
      <c r="M22" s="1"/>
      <c r="N22" s="1"/>
      <c r="O22" s="1"/>
      <c r="P22" s="1"/>
    </row>
    <row r="23" spans="1:16">
      <c r="A23" s="1"/>
      <c r="B23" s="1"/>
      <c r="C23" s="1"/>
      <c r="D23" s="1"/>
      <c r="E23" s="1"/>
      <c r="F23" s="1"/>
      <c r="G23" s="1"/>
      <c r="H23" s="1"/>
      <c r="I23" s="1"/>
      <c r="J23" s="1"/>
      <c r="K23" s="1"/>
      <c r="L23" s="1"/>
      <c r="M23" s="1"/>
      <c r="N23" s="1"/>
      <c r="O23" s="1"/>
      <c r="P23" s="1"/>
    </row>
    <row r="24" spans="1:16">
      <c r="A24" s="19" t="s">
        <v>58</v>
      </c>
      <c r="B24" s="19"/>
      <c r="C24" s="19"/>
      <c r="D24" s="19"/>
      <c r="E24" s="1">
        <f>SUMIF(D7:D21,"RH15 Cartagena",E7:E21)</f>
        <v>17</v>
      </c>
      <c r="F24" s="1"/>
      <c r="G24" s="1"/>
      <c r="H24" s="1"/>
      <c r="I24" s="5">
        <f>SUMIF(D7:D21,"RH15 Cartagena",I7:I21)</f>
        <v>1.538983</v>
      </c>
      <c r="J24" s="1"/>
      <c r="K24" s="1"/>
      <c r="L24" s="1"/>
      <c r="M24" s="1"/>
      <c r="N24" s="1"/>
      <c r="O24" s="1"/>
      <c r="P24" s="1"/>
    </row>
    <row r="25" spans="1:16">
      <c r="A25" s="19" t="s">
        <v>59</v>
      </c>
      <c r="B25" s="19"/>
      <c r="C25" s="19"/>
      <c r="D25" s="19"/>
      <c r="E25" s="1">
        <f>SUMIF(D7:D21,"Fondo melamina blanco RH6",E7:E21)</f>
        <v>1</v>
      </c>
      <c r="F25" s="1"/>
      <c r="G25" s="1"/>
      <c r="H25" s="1"/>
      <c r="I25" s="5">
        <f>SUMIF(D7:D21,"Fondo melamina blanco RH6",I7:I21)</f>
        <v>0.221216</v>
      </c>
      <c r="J25" s="1"/>
      <c r="K25" s="1"/>
      <c r="L25" s="1"/>
      <c r="M25" s="1"/>
      <c r="N25" s="1"/>
      <c r="O25" s="1"/>
      <c r="P25" s="1"/>
    </row>
    <row r="26" spans="1:16">
      <c r="A26" s="1"/>
      <c r="B26" s="1"/>
      <c r="C26" s="1"/>
      <c r="D26" s="1"/>
      <c r="E26" s="1"/>
      <c r="F26" s="1"/>
      <c r="G26" s="1"/>
      <c r="H26" s="1"/>
      <c r="I26" s="1"/>
      <c r="J26" s="1"/>
      <c r="K26" s="1"/>
      <c r="L26" s="1"/>
      <c r="M26" s="1"/>
      <c r="N26" s="1"/>
      <c r="O26" s="1"/>
      <c r="P26" s="1"/>
    </row>
    <row r="27" spans="1:16">
      <c r="A27" s="1"/>
      <c r="B27" s="1"/>
      <c r="C27" s="1"/>
      <c r="D27" s="1"/>
      <c r="E27" s="1"/>
      <c r="F27" s="1"/>
      <c r="G27" s="1"/>
      <c r="H27" s="1"/>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sheetData>
  <mergeCells count="2">
    <mergeCell ref="A24:D24"/>
    <mergeCell ref="A25:D2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45"/>
  <sheetViews>
    <sheetView showGridLines="0" workbookViewId="0">
      <pane ySplit="6" topLeftCell="A7" activePane="bottomLeft" state="frozen"/>
      <selection pane="bottomLeft"/>
    </sheetView>
  </sheetViews>
  <sheetFormatPr baseColWidth="10" defaultColWidth="8.796875" defaultRowHeight="13.8"/>
  <cols>
    <col min="1" max="1" width="9" customWidth="1"/>
    <col min="2" max="2" width="12" customWidth="1"/>
    <col min="3" max="3" width="35" customWidth="1"/>
    <col min="4" max="4" width="26" customWidth="1"/>
    <col min="5" max="5" width="10" customWidth="1"/>
    <col min="6" max="7" width="16" customWidth="1"/>
    <col min="8" max="11" width="12" customWidth="1"/>
    <col min="12" max="12" width="16" customWidth="1"/>
    <col min="13" max="13" width="22" customWidth="1"/>
    <col min="14" max="14" width="87" customWidth="1"/>
    <col min="16" max="16" width="55" customWidth="1"/>
    <col min="17" max="17" width="14" customWidth="1"/>
  </cols>
  <sheetData>
    <row r="1" spans="1:17">
      <c r="A1" s="1"/>
      <c r="B1" s="1"/>
      <c r="C1" s="1"/>
      <c r="D1" s="1"/>
      <c r="E1" s="1"/>
      <c r="F1" s="1"/>
      <c r="G1" s="1"/>
      <c r="H1" s="1"/>
      <c r="I1" s="1"/>
      <c r="J1" s="1"/>
      <c r="K1" s="1"/>
      <c r="L1" s="1"/>
      <c r="M1" s="1"/>
      <c r="N1" s="1"/>
      <c r="O1" s="1"/>
      <c r="P1" s="1"/>
    </row>
    <row r="2" spans="1:17" ht="21">
      <c r="A2" s="2" t="s">
        <v>60</v>
      </c>
      <c r="B2" s="1"/>
      <c r="C2" s="1"/>
      <c r="D2" s="1"/>
      <c r="E2" s="1"/>
      <c r="F2" s="1"/>
      <c r="G2" s="1"/>
      <c r="H2" s="1"/>
      <c r="I2" s="1"/>
      <c r="J2" s="1"/>
      <c r="K2" s="1"/>
      <c r="L2" s="1"/>
      <c r="M2" s="1"/>
      <c r="N2" s="1"/>
      <c r="O2" s="1"/>
      <c r="P2" s="1" t="s">
        <v>61</v>
      </c>
      <c r="Q2" t="s">
        <v>62</v>
      </c>
    </row>
    <row r="3" spans="1:17">
      <c r="A3" s="1" t="s">
        <v>242</v>
      </c>
      <c r="B3" s="1"/>
      <c r="C3" s="1"/>
      <c r="D3" s="1"/>
      <c r="E3" s="1"/>
      <c r="F3" s="1"/>
      <c r="G3" s="1"/>
      <c r="H3" s="1"/>
      <c r="I3" s="1"/>
      <c r="J3" s="1"/>
      <c r="K3" s="1"/>
      <c r="L3" s="1"/>
      <c r="M3" s="1"/>
      <c r="N3" s="1"/>
      <c r="O3" s="1"/>
      <c r="P3" s="1" t="s">
        <v>63</v>
      </c>
      <c r="Q3">
        <v>100</v>
      </c>
    </row>
    <row r="4" spans="1:17">
      <c r="A4" s="1" t="s">
        <v>64</v>
      </c>
      <c r="B4" s="1"/>
      <c r="C4" s="1"/>
      <c r="D4" s="1"/>
      <c r="E4" s="1"/>
      <c r="F4" s="1"/>
      <c r="G4" s="1"/>
      <c r="H4" s="1"/>
      <c r="I4" s="1"/>
      <c r="J4" s="1"/>
      <c r="K4" s="1"/>
      <c r="L4" s="1"/>
      <c r="M4" s="1"/>
      <c r="N4" s="1"/>
      <c r="O4" s="1"/>
      <c r="P4" s="1" t="s">
        <v>65</v>
      </c>
      <c r="Q4">
        <v>250</v>
      </c>
    </row>
    <row r="5" spans="1:17">
      <c r="A5" s="1"/>
      <c r="B5" s="1"/>
      <c r="C5" s="1"/>
      <c r="D5" s="1"/>
      <c r="E5" s="1"/>
      <c r="F5" s="1"/>
      <c r="G5" s="1"/>
      <c r="H5" s="1"/>
      <c r="I5" s="1"/>
      <c r="J5" s="1"/>
      <c r="K5" s="1"/>
      <c r="L5" s="1"/>
      <c r="M5" s="1"/>
      <c r="N5" s="1"/>
      <c r="O5" s="1"/>
      <c r="P5" s="1"/>
    </row>
    <row r="6" spans="1:17" ht="42" customHeight="1">
      <c r="A6" s="3" t="s">
        <v>3</v>
      </c>
      <c r="B6" s="3" t="s">
        <v>4</v>
      </c>
      <c r="C6" s="3" t="s">
        <v>5</v>
      </c>
      <c r="D6" s="3" t="s">
        <v>6</v>
      </c>
      <c r="E6" s="3" t="s">
        <v>7</v>
      </c>
      <c r="F6" s="3" t="s">
        <v>66</v>
      </c>
      <c r="G6" s="3" t="s">
        <v>67</v>
      </c>
      <c r="H6" s="3" t="s">
        <v>68</v>
      </c>
      <c r="I6" s="3" t="s">
        <v>69</v>
      </c>
      <c r="J6" s="3" t="s">
        <v>70</v>
      </c>
      <c r="K6" s="3" t="s">
        <v>71</v>
      </c>
      <c r="L6" s="3" t="s">
        <v>72</v>
      </c>
      <c r="M6" s="3" t="s">
        <v>73</v>
      </c>
      <c r="N6" s="3" t="s">
        <v>74</v>
      </c>
      <c r="O6" s="1"/>
      <c r="P6" s="1"/>
    </row>
    <row r="7" spans="1:17" ht="109.95" customHeight="1">
      <c r="A7" s="1" t="str">
        <f>Despiece!A7</f>
        <v>B01</v>
      </c>
      <c r="B7" s="1" t="str">
        <f>Despiece!B7</f>
        <v>BAJO</v>
      </c>
      <c r="C7" s="4" t="str">
        <f>Despiece!C7</f>
        <v>Lateral</v>
      </c>
      <c r="D7" s="4" t="str">
        <f>Despiece!D7</f>
        <v>RH15 Cartagena</v>
      </c>
      <c r="E7" s="1">
        <f>Despiece!E7</f>
        <v>2</v>
      </c>
      <c r="F7" s="6">
        <f>IF($Q$2="NO",ROUND(Despiece!N7,2),Despiece!F7)</f>
        <v>470</v>
      </c>
      <c r="G7" s="6">
        <f>IF($Q$2="NO",ROUND(Despiece!O7,2),Despiece!G7)</f>
        <v>450</v>
      </c>
      <c r="H7" s="1" t="str">
        <f>IF(Despiece!J7="2","R",IF(Despiece!J7="0.45","F","—"))</f>
        <v>F</v>
      </c>
      <c r="I7" s="1" t="str">
        <f>IF(Despiece!K7="2","R",IF(Despiece!K7="0.45","F","—"))</f>
        <v>F</v>
      </c>
      <c r="J7" s="1" t="str">
        <f>IF(Despiece!L7="2","R",IF(Despiece!L7="0.45","F","—"))</f>
        <v>F</v>
      </c>
      <c r="K7" s="1" t="str">
        <f>IF(Despiece!M7="2","R",IF(Despiece!M7="0.45","F","—"))</f>
        <v>F</v>
      </c>
      <c r="L7" s="1" t="str">
        <f>IF(SUMPRODUCT((Despiece!J7:M7="2")+(Despiece!J7:M7="0.45"))=0,"Sin canto",IF(OR(MIN(Despiece!N7,Despiece!O7)&lt;$Q$3,MAX(Despiece!N7,Despiece!O7)&lt;$Q$4),"Pequeña","Normal"))</f>
        <v>Normal</v>
      </c>
      <c r="M7" s="1" t="str">
        <f>Despiece!F7&amp;" × "&amp;Despiece!G7</f>
        <v>470 × 450</v>
      </c>
      <c r="N7" s="4" t="str">
        <f>IF(L7="Pequeña","Si no la cantean: cortar a "&amp;ROUND(Despiece!N7,2)&amp;" × "&amp;ROUND(Despiece!O7,2)&amp;" y cantear en taller. ","")&amp;Despiece!P7</f>
        <v>Zona húmeda: proteger todos los bordes y sellar perforaciones; dimensiones terminadas. Canto flexible 0,45 mm en todo el perímetro; mantener sellados recortes y perforaciones.</v>
      </c>
      <c r="O7" s="1"/>
      <c r="P7" s="1"/>
    </row>
    <row r="8" spans="1:17" ht="109.95" customHeight="1">
      <c r="A8" s="1" t="str">
        <f>Despiece!A8</f>
        <v>B02</v>
      </c>
      <c r="B8" s="1" t="str">
        <f>Despiece!B8</f>
        <v>BAJO</v>
      </c>
      <c r="C8" s="4" t="str">
        <f>Despiece!C8</f>
        <v>Piso</v>
      </c>
      <c r="D8" s="4" t="str">
        <f>Despiece!D8</f>
        <v>RH15 Cartagena</v>
      </c>
      <c r="E8" s="1">
        <f>Despiece!E8</f>
        <v>1</v>
      </c>
      <c r="F8" s="6">
        <f>IF($Q$2="NO",ROUND(Despiece!N8,2),Despiece!F8)</f>
        <v>490</v>
      </c>
      <c r="G8" s="6">
        <f>IF($Q$2="NO",ROUND(Despiece!O8,2),Despiece!G8)</f>
        <v>450</v>
      </c>
      <c r="H8" s="1" t="str">
        <f>IF(Despiece!J8="2","R",IF(Despiece!J8="0.45","F","—"))</f>
        <v>F</v>
      </c>
      <c r="I8" s="1" t="str">
        <f>IF(Despiece!K8="2","R",IF(Despiece!K8="0.45","F","—"))</f>
        <v>F</v>
      </c>
      <c r="J8" s="1" t="str">
        <f>IF(Despiece!L8="2","R",IF(Despiece!L8="0.45","F","—"))</f>
        <v>F</v>
      </c>
      <c r="K8" s="1" t="str">
        <f>IF(Despiece!M8="2","R",IF(Despiece!M8="0.45","F","—"))</f>
        <v>F</v>
      </c>
      <c r="L8" s="1" t="str">
        <f>IF(SUMPRODUCT((Despiece!J8:M8="2")+(Despiece!J8:M8="0.45"))=0,"Sin canto",IF(OR(MIN(Despiece!N8,Despiece!O8)&lt;$Q$3,MAX(Despiece!N8,Despiece!O8)&lt;$Q$4),"Pequeña","Normal"))</f>
        <v>Normal</v>
      </c>
      <c r="M8" s="1" t="str">
        <f>Despiece!F8&amp;" × "&amp;Despiece!G8</f>
        <v>490 × 450</v>
      </c>
      <c r="N8" s="4" t="str">
        <f>IF(L8="Pequeña","Si no la cantean: cortar a "&amp;ROUND(Despiece!N8,2)&amp;" × "&amp;ROUND(Despiece!O8,2)&amp;" y cantear en taller. ","")&amp;Despiece!P8</f>
        <v>Zona húmeda: proteger todos los bordes y sellar perforaciones; dimensiones terminadas. Canto flexible 0,45 mm en todo el perímetro; mantener sellados recortes y perforaciones.</v>
      </c>
      <c r="O8" s="1"/>
      <c r="P8" s="1"/>
    </row>
    <row r="9" spans="1:17" ht="109.95" customHeight="1">
      <c r="A9" s="1" t="str">
        <f>Despiece!A9</f>
        <v>B03</v>
      </c>
      <c r="B9" s="1" t="str">
        <f>Despiece!B9</f>
        <v>BAJO</v>
      </c>
      <c r="C9" s="4" t="str">
        <f>Despiece!C9</f>
        <v>Entrepaño retranqueado con reserva de sifón</v>
      </c>
      <c r="D9" s="4" t="str">
        <f>Despiece!D9</f>
        <v>RH15 Cartagena</v>
      </c>
      <c r="E9" s="1">
        <f>Despiece!E9</f>
        <v>1</v>
      </c>
      <c r="F9" s="6">
        <f>IF($Q$2="NO",ROUND(Despiece!N9,2),Despiece!F9)</f>
        <v>490</v>
      </c>
      <c r="G9" s="6">
        <f>IF($Q$2="NO",ROUND(Despiece!O9,2),Despiece!G9)</f>
        <v>405</v>
      </c>
      <c r="H9" s="1" t="str">
        <f>IF(Despiece!J9="2","R",IF(Despiece!J9="0.45","F","—"))</f>
        <v>F</v>
      </c>
      <c r="I9" s="1" t="str">
        <f>IF(Despiece!K9="2","R",IF(Despiece!K9="0.45","F","—"))</f>
        <v>F</v>
      </c>
      <c r="J9" s="1" t="str">
        <f>IF(Despiece!L9="2","R",IF(Despiece!L9="0.45","F","—"))</f>
        <v>F</v>
      </c>
      <c r="K9" s="1" t="str">
        <f>IF(Despiece!M9="2","R",IF(Despiece!M9="0.45","F","—"))</f>
        <v>F</v>
      </c>
      <c r="L9" s="1" t="str">
        <f>IF(SUMPRODUCT((Despiece!J9:M9="2")+(Despiece!J9:M9="0.45"))=0,"Sin canto",IF(OR(MIN(Despiece!N9,Despiece!O9)&lt;$Q$3,MAX(Despiece!N9,Despiece!O9)&lt;$Q$4),"Pequeña","Normal"))</f>
        <v>Normal</v>
      </c>
      <c r="M9" s="1" t="str">
        <f>Despiece!F9&amp;" × "&amp;Despiece!G9</f>
        <v>490 × 405</v>
      </c>
      <c r="N9" s="4" t="str">
        <f>IF(L9="Pequeña","Si no la cantean: cortar a "&amp;ROUND(Despiece!N9,2)&amp;" × "&amp;ROUND(Despiece!O9,2)&amp;" y cantear en taller. ","")&amp;Despiece!P9</f>
        <v>Zona húmeda: proteger todos los bordes y sellar perforaciones; dimensiones terminadas. Nicho libre de 150 mm bajo granito. Recorte trasero ilustrativo 100 × 270 mm, centrado; no mecanizar sin sifón real. Retranqueo frontal de 30 mm para agarre. Canto flexible 0,45 mm en todo el perímetro; mantener sellados recortes y perforaciones.</v>
      </c>
      <c r="O9" s="1"/>
      <c r="P9" s="1"/>
    </row>
    <row r="10" spans="1:17" ht="109.95" customHeight="1">
      <c r="A10" s="1" t="str">
        <f>Despiece!A10</f>
        <v>B04</v>
      </c>
      <c r="B10" s="1" t="str">
        <f>Despiece!B10</f>
        <v>BAJO</v>
      </c>
      <c r="C10" s="4" t="str">
        <f>Despiece!C10</f>
        <v>Travesaño trasero superior lateral</v>
      </c>
      <c r="D10" s="4" t="str">
        <f>Despiece!D10</f>
        <v>RH15 Cartagena</v>
      </c>
      <c r="E10" s="1">
        <f>Despiece!E10</f>
        <v>2</v>
      </c>
      <c r="F10" s="6">
        <f>IF($Q$2="NO",ROUND(Despiece!N10,2),Despiece!F10)</f>
        <v>195</v>
      </c>
      <c r="G10" s="6">
        <f>IF($Q$2="NO",ROUND(Despiece!O10,2),Despiece!G10)</f>
        <v>80</v>
      </c>
      <c r="H10" s="1" t="str">
        <f>IF(Despiece!J10="2","R",IF(Despiece!J10="0.45","F","—"))</f>
        <v>F</v>
      </c>
      <c r="I10" s="1" t="str">
        <f>IF(Despiece!K10="2","R",IF(Despiece!K10="0.45","F","—"))</f>
        <v>F</v>
      </c>
      <c r="J10" s="1" t="str">
        <f>IF(Despiece!L10="2","R",IF(Despiece!L10="0.45","F","—"))</f>
        <v>F</v>
      </c>
      <c r="K10" s="1" t="str">
        <f>IF(Despiece!M10="2","R",IF(Despiece!M10="0.45","F","—"))</f>
        <v>F</v>
      </c>
      <c r="L10" s="1" t="str">
        <f>IF(SUMPRODUCT((Despiece!J10:M10="2")+(Despiece!J10:M10="0.45"))=0,"Sin canto",IF(OR(MIN(Despiece!N10,Despiece!O10)&lt;$Q$3,MAX(Despiece!N10,Despiece!O10)&lt;$Q$4),"Pequeña","Normal"))</f>
        <v>Pequeña</v>
      </c>
      <c r="M10" s="1" t="str">
        <f>Despiece!F10&amp;" × "&amp;Despiece!G10</f>
        <v>195 × 80</v>
      </c>
      <c r="N10" s="4" t="str">
        <f>IF(L10="Pequeña","Si no la cantean: cortar a "&amp;ROUND(Despiece!N10,2)&amp;" × "&amp;ROUND(Despiece!O10,2)&amp;" y cantear en taller. ","")&amp;Despiece!P10</f>
        <v>Si no la cantean: cortar a 194,1 × 79,1 y cantear en taller. Zona húmeda: proteger todos los bordes y sellar perforaciones; dimensiones terminadas. De canto, interrumpido en el centro para tuberías; no es un colgador certificado. Canto flexible 0,45 mm en todo el perímetro; mantener sellados recortes y perforaciones.</v>
      </c>
      <c r="O10" s="1"/>
      <c r="P10" s="1"/>
    </row>
    <row r="11" spans="1:17" ht="109.95" customHeight="1">
      <c r="A11" s="1" t="str">
        <f>Despiece!A11</f>
        <v>B05</v>
      </c>
      <c r="B11" s="1" t="str">
        <f>Despiece!B11</f>
        <v>BAJO</v>
      </c>
      <c r="C11" s="4" t="str">
        <f>Despiece!C11</f>
        <v>Travesaño trasero inferior</v>
      </c>
      <c r="D11" s="4" t="str">
        <f>Despiece!D11</f>
        <v>RH15 Cartagena</v>
      </c>
      <c r="E11" s="1">
        <f>Despiece!E11</f>
        <v>1</v>
      </c>
      <c r="F11" s="6">
        <f>IF($Q$2="NO",ROUND(Despiece!N11,2),Despiece!F11)</f>
        <v>490</v>
      </c>
      <c r="G11" s="6">
        <f>IF($Q$2="NO",ROUND(Despiece!O11,2),Despiece!G11)</f>
        <v>80</v>
      </c>
      <c r="H11" s="1" t="str">
        <f>IF(Despiece!J11="2","R",IF(Despiece!J11="0.45","F","—"))</f>
        <v>F</v>
      </c>
      <c r="I11" s="1" t="str">
        <f>IF(Despiece!K11="2","R",IF(Despiece!K11="0.45","F","—"))</f>
        <v>F</v>
      </c>
      <c r="J11" s="1" t="str">
        <f>IF(Despiece!L11="2","R",IF(Despiece!L11="0.45","F","—"))</f>
        <v>F</v>
      </c>
      <c r="K11" s="1" t="str">
        <f>IF(Despiece!M11="2","R",IF(Despiece!M11="0.45","F","—"))</f>
        <v>F</v>
      </c>
      <c r="L11" s="1" t="str">
        <f>IF(SUMPRODUCT((Despiece!J11:M11="2")+(Despiece!J11:M11="0.45"))=0,"Sin canto",IF(OR(MIN(Despiece!N11,Despiece!O11)&lt;$Q$3,MAX(Despiece!N11,Despiece!O11)&lt;$Q$4),"Pequeña","Normal"))</f>
        <v>Pequeña</v>
      </c>
      <c r="M11" s="1" t="str">
        <f>Despiece!F11&amp;" × "&amp;Despiece!G11</f>
        <v>490 × 80</v>
      </c>
      <c r="N11" s="4" t="str">
        <f>IF(L11="Pequeña","Si no la cantean: cortar a "&amp;ROUND(Despiece!N11,2)&amp;" × "&amp;ROUND(Despiece!O11,2)&amp;" y cantear en taller. ","")&amp;Despiece!P11</f>
        <v>Si no la cantean: cortar a 489,1 × 79,1 y cantear en taller. Zona húmeda: proteger todos los bordes y sellar perforaciones; dimensiones terminadas. Define rigidez posterior; anclajes y uniones por dimensionar. Canto flexible 0,45 mm en todo el perímetro; mantener sellados recortes y perforaciones.</v>
      </c>
      <c r="O11" s="1"/>
      <c r="P11" s="1"/>
    </row>
    <row r="12" spans="1:17" ht="109.95" customHeight="1">
      <c r="A12" s="1" t="str">
        <f>Despiece!A12</f>
        <v>B06</v>
      </c>
      <c r="B12" s="1" t="str">
        <f>Despiece!B12</f>
        <v>BAJO</v>
      </c>
      <c r="C12" s="4" t="str">
        <f>Despiece!C12</f>
        <v>Panel común para dos puertas: corte diagonal en armado</v>
      </c>
      <c r="D12" s="4" t="str">
        <f>Despiece!D12</f>
        <v>RH15 Cartagena</v>
      </c>
      <c r="E12" s="1">
        <f>Despiece!E12</f>
        <v>1</v>
      </c>
      <c r="F12" s="6">
        <f>IF($Q$2="NO",ROUND(Despiece!N12,2),Despiece!F12)</f>
        <v>299</v>
      </c>
      <c r="G12" s="6">
        <f>IF($Q$2="NO",ROUND(Despiece!O12,2),Despiece!G12)</f>
        <v>517</v>
      </c>
      <c r="H12" s="1" t="str">
        <f>IF(Despiece!J12="2","R",IF(Despiece!J12="0.45","F","—"))</f>
        <v>R</v>
      </c>
      <c r="I12" s="1" t="str">
        <f>IF(Despiece!K12="2","R",IF(Despiece!K12="0.45","F","—"))</f>
        <v>R</v>
      </c>
      <c r="J12" s="1" t="str">
        <f>IF(Despiece!L12="2","R",IF(Despiece!L12="0.45","F","—"))</f>
        <v>R</v>
      </c>
      <c r="K12" s="1" t="str">
        <f>IF(Despiece!M12="2","R",IF(Despiece!M12="0.45","F","—"))</f>
        <v>R</v>
      </c>
      <c r="L12" s="1" t="str">
        <f>IF(SUMPRODUCT((Despiece!J12:M12="2")+(Despiece!J12:M12="0.45"))=0,"Sin canto",IF(OR(MIN(Despiece!N12,Despiece!O12)&lt;$Q$3,MAX(Despiece!N12,Despiece!O12)&lt;$Q$4),"Pequeña","Normal"))</f>
        <v>Normal</v>
      </c>
      <c r="M12" s="1" t="str">
        <f>Despiece!F12&amp;" × "&amp;Despiece!G12</f>
        <v>299 × 517</v>
      </c>
      <c r="N12" s="4" t="str">
        <f>IF(L12="Pequeña","Si no la cantean: cortar a "&amp;ROUND(Despiece!N12,2)&amp;" × "&amp;ROUND(Despiece!O12,2)&amp;" y cantear en taller. ","")&amp;Despiece!P12</f>
        <v>Una sola pieza rectangular terminada 517 × 299 mm (veta vertical). Pedirla entera, con canto 2 mm en el perímetro; NO dividir en tienda. En el armado, corte central a 75° de la horizontal (provisional entre 70 y 80°) con el disco Diablo de 1,5 mm (corte de 0,059") y canto flexible 0,45 mm en los dos bordes nuevos. Holgura entre puertas tras cantear ≈0,6 mm: probablemente insuficiente (ver Pendientes). La medida de lista es del panel común, no de cada tapa.</v>
      </c>
      <c r="O12" s="1"/>
      <c r="P12" s="1"/>
    </row>
    <row r="13" spans="1:17" ht="109.95" customHeight="1">
      <c r="A13" s="1" t="str">
        <f>Despiece!A13</f>
        <v>S01</v>
      </c>
      <c r="B13" s="1" t="str">
        <f>Despiece!B13</f>
        <v>ESPEJO</v>
      </c>
      <c r="C13" s="4" t="str">
        <f>Despiece!C13</f>
        <v>Lateral gabinete superior</v>
      </c>
      <c r="D13" s="4" t="str">
        <f>Despiece!D13</f>
        <v>RH15 Cartagena</v>
      </c>
      <c r="E13" s="1">
        <f>Despiece!E13</f>
        <v>2</v>
      </c>
      <c r="F13" s="6">
        <f>IF($Q$2="NO",ROUND(Despiece!N13,2),Despiece!F13)</f>
        <v>500</v>
      </c>
      <c r="G13" s="6">
        <f>IF($Q$2="NO",ROUND(Despiece!O13,2),Despiece!G13)</f>
        <v>105</v>
      </c>
      <c r="H13" s="1" t="str">
        <f>IF(Despiece!J13="2","R",IF(Despiece!J13="0.45","F","—"))</f>
        <v>F</v>
      </c>
      <c r="I13" s="1" t="str">
        <f>IF(Despiece!K13="2","R",IF(Despiece!K13="0.45","F","—"))</f>
        <v>F</v>
      </c>
      <c r="J13" s="1" t="str">
        <f>IF(Despiece!L13="2","R",IF(Despiece!L13="0.45","F","—"))</f>
        <v>F</v>
      </c>
      <c r="K13" s="1" t="str">
        <f>IF(Despiece!M13="2","R",IF(Despiece!M13="0.45","F","—"))</f>
        <v>F</v>
      </c>
      <c r="L13" s="1" t="str">
        <f>IF(SUMPRODUCT((Despiece!J13:M13="2")+(Despiece!J13:M13="0.45"))=0,"Sin canto",IF(OR(MIN(Despiece!N13,Despiece!O13)&lt;$Q$3,MAX(Despiece!N13,Despiece!O13)&lt;$Q$4),"Pequeña","Normal"))</f>
        <v>Normal</v>
      </c>
      <c r="M13" s="1" t="str">
        <f>Despiece!F13&amp;" × "&amp;Despiece!G13</f>
        <v>500 × 105</v>
      </c>
      <c r="N13" s="4" t="str">
        <f>IF(L13="Pequeña","Si no la cantean: cortar a "&amp;ROUND(Despiece!N13,2)&amp;" × "&amp;ROUND(Despiece!O13,2)&amp;" y cantear en taller. ","")&amp;Despiece!P13</f>
        <v>Zona húmeda: proteger todos los bordes y sellar perforaciones; dimensiones terminadas. Fondo total 130 mm con panel 6 mm, holgura frontal 1 mm, tapa RH15 y espejo 3 mm. Canto flexible 0,45 mm en todo el perímetro; mantener sellados recortes y perforaciones.</v>
      </c>
      <c r="O13" s="1"/>
      <c r="P13" s="1"/>
    </row>
    <row r="14" spans="1:17" ht="109.95" customHeight="1">
      <c r="A14" s="1" t="str">
        <f>Despiece!A14</f>
        <v>S02</v>
      </c>
      <c r="B14" s="1" t="str">
        <f>Despiece!B14</f>
        <v>ESPEJO</v>
      </c>
      <c r="C14" s="4" t="str">
        <f>Despiece!C14</f>
        <v>Piso y techo gabinete superior</v>
      </c>
      <c r="D14" s="4" t="str">
        <f>Despiece!D14</f>
        <v>RH15 Cartagena</v>
      </c>
      <c r="E14" s="1">
        <f>Despiece!E14</f>
        <v>2</v>
      </c>
      <c r="F14" s="6">
        <f>IF($Q$2="NO",ROUND(Despiece!N14,2),Despiece!F14)</f>
        <v>420</v>
      </c>
      <c r="G14" s="6">
        <f>IF($Q$2="NO",ROUND(Despiece!O14,2),Despiece!G14)</f>
        <v>105</v>
      </c>
      <c r="H14" s="1" t="str">
        <f>IF(Despiece!J14="2","R",IF(Despiece!J14="0.45","F","—"))</f>
        <v>F</v>
      </c>
      <c r="I14" s="1" t="str">
        <f>IF(Despiece!K14="2","R",IF(Despiece!K14="0.45","F","—"))</f>
        <v>F</v>
      </c>
      <c r="J14" s="1" t="str">
        <f>IF(Despiece!L14="2","R",IF(Despiece!L14="0.45","F","—"))</f>
        <v>F</v>
      </c>
      <c r="K14" s="1" t="str">
        <f>IF(Despiece!M14="2","R",IF(Despiece!M14="0.45","F","—"))</f>
        <v>F</v>
      </c>
      <c r="L14" s="1" t="str">
        <f>IF(SUMPRODUCT((Despiece!J14:M14="2")+(Despiece!J14:M14="0.45"))=0,"Sin canto",IF(OR(MIN(Despiece!N14,Despiece!O14)&lt;$Q$3,MAX(Despiece!N14,Despiece!O14)&lt;$Q$4),"Pequeña","Normal"))</f>
        <v>Normal</v>
      </c>
      <c r="M14" s="1" t="str">
        <f>Despiece!F14&amp;" × "&amp;Despiece!G14</f>
        <v>420 × 105</v>
      </c>
      <c r="N14" s="4" t="str">
        <f>IF(L14="Pequeña","Si no la cantean: cortar a "&amp;ROUND(Despiece!N14,2)&amp;" × "&amp;ROUND(Despiece!O14,2)&amp;" y cantear en taller. ","")&amp;Despiece!P14</f>
        <v>Zona húmeda: proteger todos los bordes y sellar perforaciones; dimensiones terminadas. Canto flexible 0,45 mm en todo el perímetro; mantener sellados recortes y perforaciones.</v>
      </c>
      <c r="O14" s="1"/>
      <c r="P14" s="1"/>
    </row>
    <row r="15" spans="1:17" ht="109.95" customHeight="1">
      <c r="A15" s="1" t="str">
        <f>Despiece!A15</f>
        <v>S03</v>
      </c>
      <c r="B15" s="1" t="str">
        <f>Despiece!B15</f>
        <v>ESPEJO</v>
      </c>
      <c r="C15" s="4" t="str">
        <f>Despiece!C15</f>
        <v>División vertical</v>
      </c>
      <c r="D15" s="4" t="str">
        <f>Despiece!D15</f>
        <v>RH15 Cartagena</v>
      </c>
      <c r="E15" s="1">
        <f>Despiece!E15</f>
        <v>1</v>
      </c>
      <c r="F15" s="6">
        <f>IF($Q$2="NO",ROUND(Despiece!N15,2),Despiece!F15)</f>
        <v>470</v>
      </c>
      <c r="G15" s="6">
        <f>IF($Q$2="NO",ROUND(Despiece!O15,2),Despiece!G15)</f>
        <v>105</v>
      </c>
      <c r="H15" s="1" t="str">
        <f>IF(Despiece!J15="2","R",IF(Despiece!J15="0.45","F","—"))</f>
        <v>F</v>
      </c>
      <c r="I15" s="1" t="str">
        <f>IF(Despiece!K15="2","R",IF(Despiece!K15="0.45","F","—"))</f>
        <v>F</v>
      </c>
      <c r="J15" s="1" t="str">
        <f>IF(Despiece!L15="2","R",IF(Despiece!L15="0.45","F","—"))</f>
        <v>F</v>
      </c>
      <c r="K15" s="1" t="str">
        <f>IF(Despiece!M15="2","R",IF(Despiece!M15="0.45","F","—"))</f>
        <v>F</v>
      </c>
      <c r="L15" s="1" t="str">
        <f>IF(SUMPRODUCT((Despiece!J15:M15="2")+(Despiece!J15:M15="0.45"))=0,"Sin canto",IF(OR(MIN(Despiece!N15,Despiece!O15)&lt;$Q$3,MAX(Despiece!N15,Despiece!O15)&lt;$Q$4),"Pequeña","Normal"))</f>
        <v>Normal</v>
      </c>
      <c r="M15" s="1" t="str">
        <f>Despiece!F15&amp;" × "&amp;Despiece!G15</f>
        <v>470 × 105</v>
      </c>
      <c r="N15" s="4" t="str">
        <f>IF(L15="Pequeña","Si no la cantean: cortar a "&amp;ROUND(Despiece!N15,2)&amp;" × "&amp;ROUND(Despiece!O15,2)&amp;" y cantear en taller. ","")&amp;Despiece!P15</f>
        <v>Zona húmeda: proteger todos los bordes y sellar perforaciones; dimensiones terminadas. Interior cerrado 290 mm; columna derecha abierta 115 mm. Canto flexible 0,45 mm en todo el perímetro; mantener sellados recortes y perforaciones.</v>
      </c>
      <c r="O15" s="1"/>
      <c r="P15" s="1"/>
    </row>
    <row r="16" spans="1:17" ht="109.95" customHeight="1">
      <c r="A16" s="1" t="str">
        <f>Despiece!A16</f>
        <v>S04</v>
      </c>
      <c r="B16" s="1" t="str">
        <f>Despiece!B16</f>
        <v>ESPEJO</v>
      </c>
      <c r="C16" s="4" t="str">
        <f>Despiece!C16</f>
        <v>Entrepaño interior izquierdo</v>
      </c>
      <c r="D16" s="4" t="str">
        <f>Despiece!D16</f>
        <v>RH15 Cartagena</v>
      </c>
      <c r="E16" s="1">
        <f>Despiece!E16</f>
        <v>2</v>
      </c>
      <c r="F16" s="6">
        <f>IF($Q$2="NO",ROUND(Despiece!N16,2),Despiece!F16)</f>
        <v>290</v>
      </c>
      <c r="G16" s="6">
        <f>IF($Q$2="NO",ROUND(Despiece!O16,2),Despiece!G16)</f>
        <v>100</v>
      </c>
      <c r="H16" s="1" t="str">
        <f>IF(Despiece!J16="2","R",IF(Despiece!J16="0.45","F","—"))</f>
        <v>F</v>
      </c>
      <c r="I16" s="1" t="str">
        <f>IF(Despiece!K16="2","R",IF(Despiece!K16="0.45","F","—"))</f>
        <v>F</v>
      </c>
      <c r="J16" s="1" t="str">
        <f>IF(Despiece!L16="2","R",IF(Despiece!L16="0.45","F","—"))</f>
        <v>F</v>
      </c>
      <c r="K16" s="1" t="str">
        <f>IF(Despiece!M16="2","R",IF(Despiece!M16="0.45","F","—"))</f>
        <v>F</v>
      </c>
      <c r="L16" s="1" t="str">
        <f>IF(SUMPRODUCT((Despiece!J16:M16="2")+(Despiece!J16:M16="0.45"))=0,"Sin canto",IF(OR(MIN(Despiece!N16,Despiece!O16)&lt;$Q$3,MAX(Despiece!N16,Despiece!O16)&lt;$Q$4),"Pequeña","Normal"))</f>
        <v>Pequeña</v>
      </c>
      <c r="M16" s="1" t="str">
        <f>Despiece!F16&amp;" × "&amp;Despiece!G16</f>
        <v>290 × 100</v>
      </c>
      <c r="N16" s="4" t="str">
        <f>IF(L16="Pequeña","Si no la cantean: cortar a "&amp;ROUND(Despiece!N16,2)&amp;" × "&amp;ROUND(Despiece!O16,2)&amp;" y cantear en taller. ","")&amp;Despiece!P16</f>
        <v>Si no la cantean: cortar a 289,1 × 99,1 y cantear en taller. Zona húmeda: proteger todos los bordes y sellar perforaciones; dimensiones terminadas. Dos entrepaños fijos como la referencia. Canto flexible 0,45 mm en todo el perímetro; mantener sellados recortes y perforaciones.</v>
      </c>
      <c r="O16" s="1"/>
      <c r="P16" s="1"/>
    </row>
    <row r="17" spans="1:16" ht="109.95" customHeight="1">
      <c r="A17" s="1" t="str">
        <f>Despiece!A17</f>
        <v>S05</v>
      </c>
      <c r="B17" s="1" t="str">
        <f>Despiece!B17</f>
        <v>ESPEJO</v>
      </c>
      <c r="C17" s="4" t="str">
        <f>Despiece!C17</f>
        <v>Entrepaño columna abierta derecha</v>
      </c>
      <c r="D17" s="4" t="str">
        <f>Despiece!D17</f>
        <v>RH15 Cartagena</v>
      </c>
      <c r="E17" s="1">
        <f>Despiece!E17</f>
        <v>1</v>
      </c>
      <c r="F17" s="6">
        <f>IF($Q$2="NO",ROUND(Despiece!N17,2),Despiece!F17)</f>
        <v>115</v>
      </c>
      <c r="G17" s="6">
        <f>IF($Q$2="NO",ROUND(Despiece!O17,2),Despiece!G17)</f>
        <v>100</v>
      </c>
      <c r="H17" s="1" t="str">
        <f>IF(Despiece!J17="2","R",IF(Despiece!J17="0.45","F","—"))</f>
        <v>F</v>
      </c>
      <c r="I17" s="1" t="str">
        <f>IF(Despiece!K17="2","R",IF(Despiece!K17="0.45","F","—"))</f>
        <v>F</v>
      </c>
      <c r="J17" s="1" t="str">
        <f>IF(Despiece!L17="2","R",IF(Despiece!L17="0.45","F","—"))</f>
        <v>F</v>
      </c>
      <c r="K17" s="1" t="str">
        <f>IF(Despiece!M17="2","R",IF(Despiece!M17="0.45","F","—"))</f>
        <v>F</v>
      </c>
      <c r="L17" s="1" t="str">
        <f>IF(SUMPRODUCT((Despiece!J17:M17="2")+(Despiece!J17:M17="0.45"))=0,"Sin canto",IF(OR(MIN(Despiece!N17,Despiece!O17)&lt;$Q$3,MAX(Despiece!N17,Despiece!O17)&lt;$Q$4),"Pequeña","Normal"))</f>
        <v>Pequeña</v>
      </c>
      <c r="M17" s="1" t="str">
        <f>Despiece!F17&amp;" × "&amp;Despiece!G17</f>
        <v>115 × 100</v>
      </c>
      <c r="N17" s="4" t="str">
        <f>IF(L17="Pequeña","Si no la cantean: cortar a "&amp;ROUND(Despiece!N17,2)&amp;" × "&amp;ROUND(Despiece!O17,2)&amp;" y cantear en taller. ","")&amp;Despiece!P17</f>
        <v>Si no la cantean: cortar a 114,1 × 99,1 y cantear en taller. Zona húmeda: proteger todos los bordes y sellar perforaciones; dimensiones terminadas. Canto flexible 0,45 mm en todo el perímetro; mantener sellados recortes y perforaciones.</v>
      </c>
      <c r="O17" s="1"/>
      <c r="P17" s="1"/>
    </row>
    <row r="18" spans="1:16" ht="109.95" customHeight="1">
      <c r="A18" s="1" t="str">
        <f>Despiece!A18</f>
        <v>S06</v>
      </c>
      <c r="B18" s="1" t="str">
        <f>Despiece!B18</f>
        <v>ESPEJO</v>
      </c>
      <c r="C18" s="4" t="str">
        <f>Despiece!C18</f>
        <v>Tapa RH15 portadora del espejo</v>
      </c>
      <c r="D18" s="4" t="str">
        <f>Despiece!D18</f>
        <v>RH15 Cartagena</v>
      </c>
      <c r="E18" s="1">
        <f>Despiece!E18</f>
        <v>1</v>
      </c>
      <c r="F18" s="6">
        <f>IF($Q$2="NO",ROUND(Despiece!N18,2),Despiece!F18)</f>
        <v>500</v>
      </c>
      <c r="G18" s="6">
        <f>IF($Q$2="NO",ROUND(Despiece!O18,2),Despiece!G18)</f>
        <v>320</v>
      </c>
      <c r="H18" s="1" t="str">
        <f>IF(Despiece!J18="2","R",IF(Despiece!J18="0.45","F","—"))</f>
        <v>F</v>
      </c>
      <c r="I18" s="1" t="str">
        <f>IF(Despiece!K18="2","R",IF(Despiece!K18="0.45","F","—"))</f>
        <v>F</v>
      </c>
      <c r="J18" s="1" t="str">
        <f>IF(Despiece!L18="2","R",IF(Despiece!L18="0.45","F","—"))</f>
        <v>F</v>
      </c>
      <c r="K18" s="1" t="str">
        <f>IF(Despiece!M18="2","R",IF(Despiece!M18="0.45","F","—"))</f>
        <v>F</v>
      </c>
      <c r="L18" s="1" t="str">
        <f>IF(SUMPRODUCT((Despiece!J18:M18="2")+(Despiece!J18:M18="0.45"))=0,"Sin canto",IF(OR(MIN(Despiece!N18,Despiece!O18)&lt;$Q$3,MAX(Despiece!N18,Despiece!O18)&lt;$Q$4),"Pequeña","Normal"))</f>
        <v>Normal</v>
      </c>
      <c r="M18" s="1" t="str">
        <f>Despiece!F18&amp;" × "&amp;Despiece!G18</f>
        <v>500 × 320</v>
      </c>
      <c r="N18" s="4" t="str">
        <f>IF(L18="Pequeña","Si no la cantean: cortar a "&amp;ROUND(Despiece!N18,2)&amp;" × "&amp;ROUND(Despiece!O18,2)&amp;" y cantear en taller. ","")&amp;Despiece!P18</f>
        <v>Medida exterior de referencia 320 × 500; espejo pegado en cara exterior. Dos bisagras candidatas, peso conjunto aproximado 2,8 kg sin herrajes. Validar holguras, cazoletas y adhesivo compatible con espejo. Canto flexible 0,45 mm en todo el perímetro; mantener sellados recortes y perforaciones.</v>
      </c>
      <c r="O18" s="1"/>
      <c r="P18" s="1"/>
    </row>
    <row r="19" spans="1:16" ht="109.95" customHeight="1">
      <c r="A19" s="1" t="str">
        <f>Despiece!A19</f>
        <v>F01</v>
      </c>
      <c r="B19" s="1" t="str">
        <f>Despiece!B19</f>
        <v>ESPEJO</v>
      </c>
      <c r="C19" s="4" t="str">
        <f>Despiece!C19</f>
        <v>Fondo blanco de 6 mm</v>
      </c>
      <c r="D19" s="4" t="str">
        <f>Despiece!D19</f>
        <v>Fondo melamina blanco RH6</v>
      </c>
      <c r="E19" s="1">
        <f>Despiece!E19</f>
        <v>1</v>
      </c>
      <c r="F19" s="6">
        <f>IF($Q$2="NO",ROUND(Despiece!N19,2),Despiece!F19)</f>
        <v>496</v>
      </c>
      <c r="G19" s="6">
        <f>IF($Q$2="NO",ROUND(Despiece!O19,2),Despiece!G19)</f>
        <v>446</v>
      </c>
      <c r="H19" s="1" t="str">
        <f>IF(Despiece!J19="2","R",IF(Despiece!J19="0.45","F","—"))</f>
        <v>F</v>
      </c>
      <c r="I19" s="1" t="str">
        <f>IF(Despiece!K19="2","R",IF(Despiece!K19="0.45","F","—"))</f>
        <v>F</v>
      </c>
      <c r="J19" s="1" t="str">
        <f>IF(Despiece!L19="2","R",IF(Despiece!L19="0.45","F","—"))</f>
        <v>F</v>
      </c>
      <c r="K19" s="1" t="str">
        <f>IF(Despiece!M19="2","R",IF(Despiece!M19="0.45","F","—"))</f>
        <v>F</v>
      </c>
      <c r="L19" s="1" t="str">
        <f>IF(SUMPRODUCT((Despiece!J19:M19="2")+(Despiece!J19:M19="0.45"))=0,"Sin canto",IF(OR(MIN(Despiece!N19,Despiece!O19)&lt;$Q$3,MAX(Despiece!N19,Despiece!O19)&lt;$Q$4),"Pequeña","Normal"))</f>
        <v>Normal</v>
      </c>
      <c r="M19" s="1" t="str">
        <f>Despiece!F19&amp;" × "&amp;Despiece!G19</f>
        <v>496 × 446</v>
      </c>
      <c r="N19" s="4" t="str">
        <f>IF(L19="Pequeña","Si no la cantean: cortar a "&amp;ROUND(Despiece!N19,2)&amp;" × "&amp;ROUND(Despiece!O19,2)&amp;" y cantear en taller. ","")&amp;Despiece!P19</f>
        <v>Fondo aplicado por detrás, retranqueado 2 mm de los bordes. Reutilización de sobrantes de cocina solo se comprobará en la optimización conjunta final. No soporta el anclaje del gabinete. Canto flexible 0,45 mm en todo el perímetro; mantener sellados recortes y perforaciones.</v>
      </c>
      <c r="O19" s="1"/>
      <c r="P19" s="1"/>
    </row>
    <row r="20" spans="1:16">
      <c r="A20" s="1"/>
      <c r="B20" s="1"/>
      <c r="C20" s="4"/>
      <c r="D20" s="4"/>
      <c r="E20" s="1"/>
      <c r="F20" s="6"/>
      <c r="G20" s="6"/>
      <c r="H20" s="1"/>
      <c r="I20" s="1"/>
      <c r="J20" s="1"/>
      <c r="K20" s="1"/>
      <c r="L20" s="1"/>
      <c r="M20" s="1"/>
      <c r="N20" s="4"/>
      <c r="O20" s="1"/>
      <c r="P20" s="1"/>
    </row>
    <row r="21" spans="1:16">
      <c r="A21" s="1"/>
      <c r="B21" s="1"/>
      <c r="C21" s="1"/>
      <c r="D21" s="1"/>
      <c r="E21" s="1"/>
      <c r="F21" s="1"/>
      <c r="G21" s="1"/>
      <c r="H21" s="1"/>
      <c r="I21" s="1"/>
      <c r="J21" s="1"/>
      <c r="K21" s="1"/>
      <c r="L21" s="1"/>
      <c r="M21" s="1"/>
      <c r="N21" s="1"/>
      <c r="O21" s="1"/>
      <c r="P21" s="1"/>
    </row>
    <row r="22" spans="1:16">
      <c r="A22" s="1"/>
      <c r="B22" s="1"/>
      <c r="C22" s="1"/>
      <c r="D22" s="1"/>
      <c r="E22" s="1"/>
      <c r="F22" s="1"/>
      <c r="G22" s="1"/>
      <c r="H22" s="1"/>
      <c r="I22" s="1"/>
      <c r="J22" s="1"/>
      <c r="K22" s="1"/>
      <c r="L22" s="1"/>
      <c r="M22" s="1"/>
      <c r="N22" s="1"/>
      <c r="O22" s="1"/>
      <c r="P22" s="1"/>
    </row>
    <row r="23" spans="1:16">
      <c r="A23" s="1"/>
      <c r="B23" s="1"/>
      <c r="C23" s="1"/>
      <c r="D23" s="1"/>
      <c r="E23" s="1"/>
      <c r="F23" s="1"/>
      <c r="G23" s="1"/>
      <c r="H23" s="1"/>
      <c r="I23" s="1"/>
      <c r="J23" s="1"/>
      <c r="K23" s="1"/>
      <c r="L23" s="1"/>
      <c r="M23" s="1"/>
      <c r="N23" s="1"/>
      <c r="O23" s="1"/>
      <c r="P23" s="1"/>
    </row>
    <row r="24" spans="1:16">
      <c r="A24" s="1"/>
      <c r="B24" s="1"/>
      <c r="C24" s="1"/>
      <c r="D24" s="1"/>
      <c r="E24" s="1"/>
      <c r="F24" s="1"/>
      <c r="G24" s="1"/>
      <c r="H24" s="1"/>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c r="A26" s="1"/>
      <c r="B26" s="1"/>
      <c r="C26" s="1"/>
      <c r="D26" s="1"/>
      <c r="E26" s="1"/>
      <c r="F26" s="1"/>
      <c r="G26" s="1"/>
      <c r="H26" s="1"/>
      <c r="I26" s="1"/>
      <c r="J26" s="1"/>
      <c r="K26" s="1"/>
      <c r="L26" s="1"/>
      <c r="M26" s="1"/>
      <c r="N26" s="1"/>
      <c r="O26" s="1"/>
      <c r="P26" s="1"/>
    </row>
    <row r="27" spans="1:16">
      <c r="A27" s="1"/>
      <c r="B27" s="1"/>
      <c r="C27" s="1"/>
      <c r="D27" s="1"/>
      <c r="E27" s="1"/>
      <c r="F27" s="1"/>
      <c r="G27" s="1"/>
      <c r="H27" s="1"/>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45"/>
  <sheetViews>
    <sheetView showGridLines="0" workbookViewId="0">
      <pane ySplit="6" topLeftCell="A7" activePane="bottomLeft" state="frozen"/>
      <selection pane="bottomLeft"/>
    </sheetView>
  </sheetViews>
  <sheetFormatPr baseColWidth="10" defaultColWidth="8.796875" defaultRowHeight="13.8"/>
  <cols>
    <col min="1" max="1" width="27" customWidth="1"/>
    <col min="2" max="2" width="38" customWidth="1"/>
    <col min="3" max="3" width="13" customWidth="1"/>
    <col min="4" max="4" width="12" customWidth="1"/>
    <col min="5" max="5" width="17" customWidth="1"/>
    <col min="6" max="6" width="18" customWidth="1"/>
    <col min="7" max="7" width="21" customWidth="1"/>
    <col min="8" max="8" width="76" customWidth="1"/>
    <col min="9" max="9" width="54" customWidth="1"/>
  </cols>
  <sheetData>
    <row r="1" spans="1:16">
      <c r="A1" s="1"/>
      <c r="B1" s="1"/>
      <c r="C1" s="1"/>
      <c r="D1" s="1"/>
      <c r="E1" s="1"/>
      <c r="F1" s="1"/>
      <c r="G1" s="1"/>
      <c r="H1" s="1"/>
      <c r="I1" s="1"/>
      <c r="J1" s="1"/>
      <c r="K1" s="1"/>
      <c r="L1" s="1"/>
      <c r="M1" s="1"/>
      <c r="N1" s="1"/>
      <c r="O1" s="1"/>
      <c r="P1" s="1"/>
    </row>
    <row r="2" spans="1:16" ht="21">
      <c r="A2" s="2" t="s">
        <v>75</v>
      </c>
      <c r="B2" s="1"/>
      <c r="C2" s="1"/>
      <c r="D2" s="1"/>
      <c r="E2" s="1"/>
      <c r="F2" s="1"/>
      <c r="G2" s="1"/>
      <c r="H2" s="1"/>
      <c r="I2" s="1"/>
      <c r="J2" s="1"/>
      <c r="K2" s="1"/>
      <c r="L2" s="1"/>
      <c r="M2" s="1"/>
      <c r="N2" s="1"/>
      <c r="O2" s="1"/>
      <c r="P2" s="1"/>
    </row>
    <row r="3" spans="1:16">
      <c r="A3" s="11" t="s">
        <v>76</v>
      </c>
      <c r="B3" s="1"/>
      <c r="C3" s="1"/>
      <c r="D3" s="1"/>
      <c r="E3" s="1"/>
      <c r="F3" s="1"/>
      <c r="G3" s="1"/>
      <c r="H3" s="1"/>
      <c r="I3" s="1"/>
      <c r="J3" s="1"/>
      <c r="K3" s="1"/>
      <c r="L3" s="1"/>
      <c r="M3" s="1"/>
      <c r="N3" s="1"/>
      <c r="O3" s="1"/>
      <c r="P3" s="1"/>
    </row>
    <row r="4" spans="1:16">
      <c r="A4" s="1"/>
      <c r="B4" s="1"/>
      <c r="C4" s="1"/>
      <c r="D4" s="1"/>
      <c r="E4" s="1"/>
      <c r="F4" s="1"/>
      <c r="G4" s="1"/>
      <c r="H4" s="1"/>
      <c r="I4" s="1"/>
      <c r="J4" s="1"/>
      <c r="K4" s="1"/>
      <c r="L4" s="1"/>
      <c r="M4" s="1"/>
      <c r="N4" s="1"/>
      <c r="O4" s="1"/>
      <c r="P4" s="1"/>
    </row>
    <row r="5" spans="1:16">
      <c r="A5" s="1"/>
      <c r="B5" s="1"/>
      <c r="C5" s="1"/>
      <c r="D5" s="1"/>
      <c r="E5" s="1"/>
      <c r="F5" s="1"/>
      <c r="G5" s="1"/>
      <c r="H5" s="1"/>
      <c r="I5" s="1"/>
      <c r="J5" s="1"/>
      <c r="K5" s="1"/>
      <c r="L5" s="1"/>
      <c r="M5" s="1"/>
      <c r="N5" s="1"/>
      <c r="O5" s="1"/>
      <c r="P5" s="1"/>
    </row>
    <row r="6" spans="1:16" ht="42" customHeight="1">
      <c r="A6" s="3" t="s">
        <v>77</v>
      </c>
      <c r="B6" s="3" t="s">
        <v>78</v>
      </c>
      <c r="C6" s="3" t="s">
        <v>7</v>
      </c>
      <c r="D6" s="3" t="s">
        <v>79</v>
      </c>
      <c r="E6" s="3" t="s">
        <v>80</v>
      </c>
      <c r="F6" s="3" t="s">
        <v>81</v>
      </c>
      <c r="G6" s="3" t="s">
        <v>82</v>
      </c>
      <c r="H6" s="3" t="s">
        <v>83</v>
      </c>
      <c r="I6" s="3" t="s">
        <v>84</v>
      </c>
      <c r="J6" s="1"/>
      <c r="K6" s="1"/>
      <c r="L6" s="1"/>
      <c r="M6" s="1"/>
      <c r="N6" s="1"/>
      <c r="O6" s="1"/>
      <c r="P6" s="1"/>
    </row>
    <row r="7" spans="1:16" ht="76.05" customHeight="1">
      <c r="A7" s="4" t="s">
        <v>22</v>
      </c>
      <c r="B7" s="4" t="s">
        <v>85</v>
      </c>
      <c r="C7" s="5">
        <f>Despiece!I24</f>
        <v>1.538983</v>
      </c>
      <c r="D7" s="1" t="s">
        <v>86</v>
      </c>
      <c r="E7" s="9"/>
      <c r="F7" s="9" t="str">
        <f t="shared" ref="F7:F20" si="0">IF(COUNT(C7,E7)=2,C7*E7,"Por cotizar")</f>
        <v>Por cotizar</v>
      </c>
      <c r="G7" s="12" t="s">
        <v>87</v>
      </c>
      <c r="H7" s="12" t="s">
        <v>88</v>
      </c>
      <c r="I7" s="4" t="s">
        <v>89</v>
      </c>
      <c r="J7" s="1"/>
      <c r="K7" s="1"/>
      <c r="L7" s="1"/>
      <c r="M7" s="1"/>
      <c r="N7" s="1"/>
      <c r="O7" s="1"/>
      <c r="P7" s="1"/>
    </row>
    <row r="8" spans="1:16" ht="76.05" customHeight="1">
      <c r="A8" s="4" t="s">
        <v>90</v>
      </c>
      <c r="B8" s="4" t="s">
        <v>91</v>
      </c>
      <c r="C8" s="5">
        <f>Despiece!I25</f>
        <v>0.221216</v>
      </c>
      <c r="D8" s="1" t="s">
        <v>86</v>
      </c>
      <c r="E8" s="9"/>
      <c r="F8" s="9" t="str">
        <f t="shared" si="0"/>
        <v>Por cotizar</v>
      </c>
      <c r="G8" s="12" t="s">
        <v>87</v>
      </c>
      <c r="H8" s="12" t="s">
        <v>92</v>
      </c>
      <c r="I8" s="4" t="s">
        <v>93</v>
      </c>
      <c r="J8" s="1"/>
      <c r="K8" s="1"/>
      <c r="L8" s="1"/>
      <c r="M8" s="1"/>
      <c r="N8" s="1"/>
      <c r="O8" s="1"/>
      <c r="P8" s="1"/>
    </row>
    <row r="9" spans="1:16" ht="76.05" customHeight="1">
      <c r="A9" s="4" t="s">
        <v>94</v>
      </c>
      <c r="B9" s="4" t="s">
        <v>95</v>
      </c>
      <c r="C9" s="1">
        <f>Cantos!E7</f>
        <v>2</v>
      </c>
      <c r="D9" s="1" t="s">
        <v>96</v>
      </c>
      <c r="E9" s="9"/>
      <c r="F9" s="9" t="str">
        <f t="shared" si="0"/>
        <v>Por cotizar</v>
      </c>
      <c r="G9" s="12" t="s">
        <v>87</v>
      </c>
      <c r="H9" s="12" t="s">
        <v>243</v>
      </c>
      <c r="I9" s="4" t="s">
        <v>97</v>
      </c>
      <c r="J9" s="1"/>
      <c r="K9" s="1"/>
      <c r="L9" s="1"/>
      <c r="M9" s="1"/>
      <c r="N9" s="1"/>
      <c r="O9" s="1"/>
      <c r="P9" s="1"/>
    </row>
    <row r="10" spans="1:16" ht="76.05" customHeight="1">
      <c r="A10" s="4" t="s">
        <v>98</v>
      </c>
      <c r="B10" s="4" t="s">
        <v>99</v>
      </c>
      <c r="C10" s="1">
        <f>Cantos!E8</f>
        <v>25</v>
      </c>
      <c r="D10" s="1" t="s">
        <v>96</v>
      </c>
      <c r="E10" s="9"/>
      <c r="F10" s="9" t="str">
        <f t="shared" si="0"/>
        <v>Por cotizar</v>
      </c>
      <c r="G10" s="12" t="s">
        <v>87</v>
      </c>
      <c r="H10" s="12" t="s">
        <v>100</v>
      </c>
      <c r="I10" s="4" t="s">
        <v>97</v>
      </c>
      <c r="J10" s="1"/>
      <c r="K10" s="1"/>
      <c r="L10" s="1"/>
      <c r="M10" s="1"/>
      <c r="N10" s="1"/>
      <c r="O10" s="1"/>
      <c r="P10" s="1"/>
    </row>
    <row r="11" spans="1:16" ht="76.05" customHeight="1">
      <c r="A11" s="4" t="s">
        <v>101</v>
      </c>
      <c r="B11" s="4" t="s">
        <v>102</v>
      </c>
      <c r="C11" s="1">
        <v>3</v>
      </c>
      <c r="D11" s="1" t="s">
        <v>103</v>
      </c>
      <c r="E11" s="9">
        <v>17750</v>
      </c>
      <c r="F11" s="9">
        <f t="shared" si="0"/>
        <v>53250</v>
      </c>
      <c r="G11" s="12" t="s">
        <v>87</v>
      </c>
      <c r="H11" s="12" t="s">
        <v>104</v>
      </c>
      <c r="I11" s="4" t="s">
        <v>105</v>
      </c>
      <c r="J11" s="1"/>
      <c r="K11" s="1"/>
      <c r="L11" s="1"/>
      <c r="M11" s="1"/>
      <c r="N11" s="1"/>
      <c r="O11" s="1"/>
      <c r="P11" s="1"/>
    </row>
    <row r="12" spans="1:16" ht="76.05" customHeight="1">
      <c r="A12" s="4" t="s">
        <v>50</v>
      </c>
      <c r="B12" s="4" t="s">
        <v>106</v>
      </c>
      <c r="C12" s="1">
        <v>1</v>
      </c>
      <c r="D12" s="1" t="s">
        <v>107</v>
      </c>
      <c r="E12" s="9"/>
      <c r="F12" s="9" t="str">
        <f t="shared" si="0"/>
        <v>Por cotizar</v>
      </c>
      <c r="G12" s="4" t="s">
        <v>108</v>
      </c>
      <c r="H12" s="4" t="s">
        <v>109</v>
      </c>
      <c r="I12" s="4" t="s">
        <v>110</v>
      </c>
      <c r="J12" s="1"/>
      <c r="K12" s="1"/>
      <c r="L12" s="1"/>
      <c r="M12" s="1"/>
      <c r="N12" s="1"/>
      <c r="O12" s="1"/>
      <c r="P12" s="1"/>
    </row>
    <row r="13" spans="1:16" ht="76.05" customHeight="1">
      <c r="A13" s="4" t="s">
        <v>111</v>
      </c>
      <c r="B13" s="4" t="s">
        <v>112</v>
      </c>
      <c r="C13" s="1">
        <v>1</v>
      </c>
      <c r="D13" s="1" t="s">
        <v>107</v>
      </c>
      <c r="E13" s="9"/>
      <c r="F13" s="9" t="str">
        <f t="shared" si="0"/>
        <v>Por cotizar</v>
      </c>
      <c r="G13" s="4" t="s">
        <v>113</v>
      </c>
      <c r="H13" s="4" t="s">
        <v>114</v>
      </c>
      <c r="I13" s="4" t="s">
        <v>115</v>
      </c>
      <c r="J13" s="1"/>
      <c r="K13" s="1"/>
      <c r="L13" s="1"/>
      <c r="M13" s="1"/>
      <c r="N13" s="1"/>
      <c r="O13" s="1"/>
      <c r="P13" s="1"/>
    </row>
    <row r="14" spans="1:16" ht="76.05" customHeight="1">
      <c r="A14" s="4" t="s">
        <v>116</v>
      </c>
      <c r="B14" s="4" t="s">
        <v>117</v>
      </c>
      <c r="C14" s="1">
        <v>1</v>
      </c>
      <c r="D14" s="1" t="s">
        <v>118</v>
      </c>
      <c r="E14" s="9"/>
      <c r="F14" s="9" t="str">
        <f t="shared" si="0"/>
        <v>Por cotizar</v>
      </c>
      <c r="G14" s="4" t="s">
        <v>113</v>
      </c>
      <c r="H14" s="4" t="s">
        <v>119</v>
      </c>
      <c r="I14" s="4" t="s">
        <v>120</v>
      </c>
      <c r="J14" s="1"/>
      <c r="K14" s="1"/>
      <c r="L14" s="1"/>
      <c r="M14" s="1"/>
      <c r="N14" s="1"/>
      <c r="O14" s="1"/>
      <c r="P14" s="1"/>
    </row>
    <row r="15" spans="1:16" ht="76.05" customHeight="1">
      <c r="A15" s="4" t="s">
        <v>121</v>
      </c>
      <c r="B15" s="4" t="s">
        <v>122</v>
      </c>
      <c r="C15" s="1">
        <v>1</v>
      </c>
      <c r="D15" s="1" t="s">
        <v>118</v>
      </c>
      <c r="E15" s="9"/>
      <c r="F15" s="9" t="str">
        <f t="shared" si="0"/>
        <v>Por cotizar</v>
      </c>
      <c r="G15" s="4" t="s">
        <v>113</v>
      </c>
      <c r="H15" s="4" t="s">
        <v>123</v>
      </c>
      <c r="I15" s="4" t="s">
        <v>120</v>
      </c>
      <c r="J15" s="1"/>
      <c r="K15" s="1"/>
      <c r="L15" s="1"/>
      <c r="M15" s="1"/>
      <c r="N15" s="1"/>
      <c r="O15" s="1"/>
      <c r="P15" s="1"/>
    </row>
    <row r="16" spans="1:16" ht="76.05" customHeight="1">
      <c r="A16" s="4" t="s">
        <v>124</v>
      </c>
      <c r="B16" s="4" t="s">
        <v>125</v>
      </c>
      <c r="C16" s="1">
        <v>1</v>
      </c>
      <c r="D16" s="1" t="s">
        <v>126</v>
      </c>
      <c r="E16" s="9"/>
      <c r="F16" s="9" t="str">
        <f t="shared" si="0"/>
        <v>Por cotizar</v>
      </c>
      <c r="G16" s="4" t="s">
        <v>113</v>
      </c>
      <c r="H16" s="4" t="s">
        <v>127</v>
      </c>
      <c r="I16" s="4" t="s">
        <v>128</v>
      </c>
      <c r="J16" s="1"/>
      <c r="K16" s="1"/>
      <c r="L16" s="1"/>
      <c r="M16" s="1"/>
      <c r="N16" s="1"/>
      <c r="O16" s="1"/>
      <c r="P16" s="1"/>
    </row>
    <row r="17" spans="1:16" ht="76.05" customHeight="1">
      <c r="A17" s="4" t="s">
        <v>129</v>
      </c>
      <c r="B17" s="4" t="s">
        <v>130</v>
      </c>
      <c r="C17" s="1">
        <v>2</v>
      </c>
      <c r="D17" s="1" t="s">
        <v>118</v>
      </c>
      <c r="E17" s="9"/>
      <c r="F17" s="9" t="str">
        <f t="shared" si="0"/>
        <v>Por cotizar</v>
      </c>
      <c r="G17" s="4" t="s">
        <v>131</v>
      </c>
      <c r="H17" s="4" t="s">
        <v>132</v>
      </c>
      <c r="I17" s="4" t="s">
        <v>133</v>
      </c>
      <c r="J17" s="1"/>
      <c r="K17" s="1"/>
      <c r="L17" s="1"/>
      <c r="M17" s="1"/>
      <c r="N17" s="1"/>
      <c r="O17" s="1"/>
      <c r="P17" s="1"/>
    </row>
    <row r="18" spans="1:16" ht="76.05" customHeight="1">
      <c r="A18" s="4" t="s">
        <v>134</v>
      </c>
      <c r="B18" s="4" t="s">
        <v>135</v>
      </c>
      <c r="C18" s="1">
        <v>1</v>
      </c>
      <c r="D18" s="1" t="s">
        <v>126</v>
      </c>
      <c r="E18" s="9"/>
      <c r="F18" s="9" t="str">
        <f t="shared" si="0"/>
        <v>Por cotizar</v>
      </c>
      <c r="G18" s="4" t="s">
        <v>131</v>
      </c>
      <c r="H18" s="4" t="s">
        <v>136</v>
      </c>
      <c r="I18" s="4" t="s">
        <v>137</v>
      </c>
      <c r="J18" s="1"/>
      <c r="K18" s="1"/>
      <c r="L18" s="1"/>
      <c r="M18" s="1"/>
      <c r="N18" s="1"/>
      <c r="O18" s="1"/>
      <c r="P18" s="1"/>
    </row>
    <row r="19" spans="1:16" ht="76.05" customHeight="1">
      <c r="A19" s="4" t="s">
        <v>138</v>
      </c>
      <c r="B19" s="4" t="s">
        <v>139</v>
      </c>
      <c r="C19" s="1">
        <v>1</v>
      </c>
      <c r="D19" s="1" t="s">
        <v>140</v>
      </c>
      <c r="E19" s="9"/>
      <c r="F19" s="9" t="str">
        <f t="shared" si="0"/>
        <v>Por cotizar</v>
      </c>
      <c r="G19" s="4" t="s">
        <v>108</v>
      </c>
      <c r="H19" s="4" t="s">
        <v>141</v>
      </c>
      <c r="I19" s="4" t="s">
        <v>142</v>
      </c>
      <c r="J19" s="1"/>
      <c r="K19" s="1"/>
      <c r="L19" s="1"/>
      <c r="M19" s="1"/>
      <c r="N19" s="1"/>
      <c r="O19" s="1"/>
      <c r="P19" s="1"/>
    </row>
    <row r="20" spans="1:16" ht="76.05" customHeight="1">
      <c r="A20" s="4" t="s">
        <v>143</v>
      </c>
      <c r="B20" s="4" t="s">
        <v>144</v>
      </c>
      <c r="C20" s="1">
        <v>1</v>
      </c>
      <c r="D20" s="1" t="s">
        <v>145</v>
      </c>
      <c r="E20" s="9"/>
      <c r="F20" s="9" t="str">
        <f t="shared" si="0"/>
        <v>Por cotizar</v>
      </c>
      <c r="G20" s="4" t="s">
        <v>108</v>
      </c>
      <c r="H20" s="4" t="s">
        <v>146</v>
      </c>
      <c r="I20" s="4" t="s">
        <v>147</v>
      </c>
      <c r="J20" s="1"/>
      <c r="K20" s="1"/>
      <c r="L20" s="1"/>
      <c r="M20" s="1"/>
      <c r="N20" s="1"/>
      <c r="O20" s="1"/>
      <c r="P20" s="1"/>
    </row>
    <row r="21" spans="1:16">
      <c r="A21" s="1"/>
      <c r="B21" s="1"/>
      <c r="C21" s="1"/>
      <c r="D21" s="1"/>
      <c r="E21" s="9"/>
      <c r="F21" s="9"/>
      <c r="G21" s="1"/>
      <c r="H21" s="1"/>
      <c r="I21" s="1"/>
      <c r="J21" s="1"/>
      <c r="K21" s="1"/>
      <c r="L21" s="1"/>
      <c r="M21" s="1"/>
      <c r="N21" s="1"/>
      <c r="O21" s="1"/>
      <c r="P21" s="1"/>
    </row>
    <row r="22" spans="1:16" ht="49.95" customHeight="1">
      <c r="A22" s="8" t="s">
        <v>148</v>
      </c>
      <c r="B22" s="8"/>
      <c r="C22" s="8"/>
      <c r="D22" s="8"/>
      <c r="E22" s="10"/>
      <c r="F22" s="10">
        <f>SUM(F7:F20)</f>
        <v>53250</v>
      </c>
      <c r="G22" s="8"/>
      <c r="H22" s="13" t="s">
        <v>149</v>
      </c>
      <c r="I22" s="8"/>
      <c r="J22" s="1"/>
      <c r="K22" s="1"/>
      <c r="L22" s="1"/>
      <c r="M22" s="1"/>
      <c r="N22" s="1"/>
      <c r="O22" s="1"/>
      <c r="P22" s="1"/>
    </row>
    <row r="23" spans="1:16">
      <c r="A23" s="1"/>
      <c r="B23" s="1"/>
      <c r="C23" s="1"/>
      <c r="D23" s="1"/>
      <c r="E23" s="1"/>
      <c r="F23" s="1"/>
      <c r="G23" s="1"/>
      <c r="H23" s="1"/>
      <c r="I23" s="1"/>
      <c r="J23" s="1"/>
      <c r="K23" s="1"/>
      <c r="L23" s="1"/>
      <c r="M23" s="1"/>
      <c r="N23" s="1"/>
      <c r="O23" s="1"/>
      <c r="P23" s="1"/>
    </row>
    <row r="24" spans="1:16">
      <c r="A24" s="1"/>
      <c r="B24" s="1"/>
      <c r="C24" s="1"/>
      <c r="D24" s="1"/>
      <c r="E24" s="1"/>
      <c r="F24" s="1"/>
      <c r="G24" s="1"/>
      <c r="H24" s="1"/>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c r="A26" s="1"/>
      <c r="B26" s="1"/>
      <c r="C26" s="1"/>
      <c r="D26" s="1"/>
      <c r="E26" s="1"/>
      <c r="F26" s="1"/>
      <c r="G26" s="1"/>
      <c r="H26" s="1"/>
      <c r="I26" s="1"/>
      <c r="J26" s="1"/>
      <c r="K26" s="1"/>
      <c r="L26" s="1"/>
      <c r="M26" s="1"/>
      <c r="N26" s="1"/>
      <c r="O26" s="1"/>
      <c r="P26" s="1"/>
    </row>
    <row r="27" spans="1:16">
      <c r="A27" s="1"/>
      <c r="B27" s="1"/>
      <c r="C27" s="1"/>
      <c r="D27" s="1"/>
      <c r="E27" s="1"/>
      <c r="F27" s="1"/>
      <c r="G27" s="1"/>
      <c r="H27" s="1"/>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45"/>
  <sheetViews>
    <sheetView showGridLines="0" workbookViewId="0">
      <pane ySplit="6" topLeftCell="A7" activePane="bottomLeft" state="frozen"/>
      <selection pane="bottomLeft"/>
    </sheetView>
  </sheetViews>
  <sheetFormatPr baseColWidth="10" defaultColWidth="8.796875" defaultRowHeight="13.8"/>
  <cols>
    <col min="1" max="1" width="23" customWidth="1"/>
    <col min="2" max="2" width="17" customWidth="1"/>
    <col min="3" max="3" width="13" customWidth="1"/>
    <col min="4" max="4" width="16" customWidth="1"/>
    <col min="5" max="5" width="22" customWidth="1"/>
    <col min="6" max="6" width="23" customWidth="1"/>
    <col min="7" max="7" width="19" customWidth="1"/>
    <col min="8" max="8" width="21" customWidth="1"/>
    <col min="9" max="9" width="15" customWidth="1"/>
    <col min="10" max="10" width="45" customWidth="1"/>
    <col min="11" max="11" width="18" customWidth="1"/>
  </cols>
  <sheetData>
    <row r="1" spans="1:16">
      <c r="A1" s="1"/>
      <c r="B1" s="1"/>
      <c r="C1" s="1"/>
      <c r="D1" s="1"/>
      <c r="E1" s="1"/>
      <c r="F1" s="1"/>
      <c r="G1" s="1"/>
      <c r="H1" s="1"/>
      <c r="I1" s="1"/>
      <c r="J1" s="1"/>
      <c r="K1" s="1"/>
      <c r="L1" s="1"/>
      <c r="M1" s="1"/>
      <c r="N1" s="1"/>
      <c r="O1" s="1"/>
      <c r="P1" s="1"/>
    </row>
    <row r="2" spans="1:16" ht="21">
      <c r="A2" s="2" t="s">
        <v>150</v>
      </c>
      <c r="B2" s="1"/>
      <c r="C2" s="1"/>
      <c r="D2" s="1"/>
      <c r="E2" s="1"/>
      <c r="F2" s="1"/>
      <c r="G2" s="1"/>
      <c r="H2" s="1" t="s">
        <v>151</v>
      </c>
      <c r="I2" s="1">
        <v>0.05</v>
      </c>
      <c r="J2" s="1"/>
      <c r="K2" s="1"/>
      <c r="L2" s="1"/>
      <c r="M2" s="1"/>
      <c r="N2" s="1"/>
      <c r="O2" s="1"/>
      <c r="P2" s="1"/>
    </row>
    <row r="3" spans="1:16" ht="85.05" customHeight="1">
      <c r="A3" s="12" t="s">
        <v>244</v>
      </c>
      <c r="B3" s="1"/>
      <c r="C3" s="1"/>
      <c r="D3" s="1"/>
      <c r="E3" s="1"/>
      <c r="F3" s="1"/>
      <c r="G3" s="1"/>
      <c r="H3" s="1" t="s">
        <v>152</v>
      </c>
      <c r="I3" s="1">
        <v>75</v>
      </c>
      <c r="J3" s="1" t="s">
        <v>153</v>
      </c>
      <c r="K3" s="6">
        <f>Despiece!F12/SIN(RADIANS(I3))</f>
        <v>309.54757794261485</v>
      </c>
      <c r="L3" s="1"/>
      <c r="M3" s="1"/>
      <c r="N3" s="1"/>
      <c r="O3" s="1"/>
      <c r="P3" s="1"/>
    </row>
    <row r="4" spans="1:16">
      <c r="A4" s="1"/>
      <c r="B4" s="1"/>
      <c r="C4" s="1"/>
      <c r="D4" s="1"/>
      <c r="E4" s="1"/>
      <c r="F4" s="1"/>
      <c r="G4" s="1"/>
      <c r="H4" s="11" t="s">
        <v>154</v>
      </c>
      <c r="I4" s="1">
        <v>1.5</v>
      </c>
      <c r="J4" s="1" t="s">
        <v>155</v>
      </c>
      <c r="K4" s="6">
        <f>I4-2*I5</f>
        <v>0.6</v>
      </c>
      <c r="L4" s="1"/>
      <c r="M4" s="1"/>
      <c r="N4" s="1"/>
      <c r="O4" s="1"/>
      <c r="P4" s="1"/>
    </row>
    <row r="5" spans="1:16">
      <c r="A5" s="1"/>
      <c r="B5" s="1"/>
      <c r="C5" s="1"/>
      <c r="D5" s="1"/>
      <c r="E5" s="1"/>
      <c r="F5" s="1"/>
      <c r="G5" s="1"/>
      <c r="H5" s="1" t="s">
        <v>156</v>
      </c>
      <c r="I5" s="1">
        <v>0.45</v>
      </c>
      <c r="J5" s="1" t="s">
        <v>157</v>
      </c>
      <c r="K5" s="6">
        <f>K4/SIN(RADIANS(I3))</f>
        <v>0.62116570824604977</v>
      </c>
      <c r="L5" s="1"/>
      <c r="M5" s="1"/>
      <c r="N5" s="1"/>
      <c r="O5" s="1"/>
      <c r="P5" s="1"/>
    </row>
    <row r="6" spans="1:16" ht="42" customHeight="1">
      <c r="A6" s="3" t="s">
        <v>158</v>
      </c>
      <c r="B6" s="3" t="s">
        <v>159</v>
      </c>
      <c r="C6" s="3" t="s">
        <v>160</v>
      </c>
      <c r="D6" s="3" t="s">
        <v>161</v>
      </c>
      <c r="E6" s="3" t="s">
        <v>162</v>
      </c>
      <c r="F6" s="3" t="s">
        <v>163</v>
      </c>
      <c r="G6" s="3" t="s">
        <v>164</v>
      </c>
      <c r="H6" s="3" t="s">
        <v>165</v>
      </c>
      <c r="I6" s="1"/>
      <c r="J6" s="1"/>
      <c r="K6" s="1"/>
      <c r="L6" s="1"/>
      <c r="M6" s="1"/>
      <c r="N6" s="1"/>
      <c r="O6" s="1"/>
      <c r="P6" s="1"/>
    </row>
    <row r="7" spans="1:16" ht="45" customHeight="1">
      <c r="A7" s="1" t="s">
        <v>166</v>
      </c>
      <c r="B7" s="7">
        <f>(SUMPRODUCT(Despiece!$E$7:$E$19,Despiece!$F$7:$F$19,(Despiece!$J$7:$J$19="2")+(Despiece!$K$7:$K$19="2"))+SUMPRODUCT(Despiece!$E$7:$E$19,Despiece!$G$7:$G$19,(Despiece!$L$7:$L$19="2")+(Despiece!$M$7:$M$19="2")))/1000</f>
        <v>1.6319999999999999</v>
      </c>
      <c r="C7" s="1">
        <f>SUMPRODUCT(Despiece!$E$7:$E$19,(Despiece!$J$7:$J$19="2")+(Despiece!$K$7:$K$19="2")+(Despiece!$L$7:$L$19="2")+(Despiece!$M$7:$M$19="2"))</f>
        <v>4</v>
      </c>
      <c r="D7" s="1">
        <f>C7*$I$2</f>
        <v>0.2</v>
      </c>
      <c r="E7" s="1">
        <f>ROUNDUP(B7+D7,0)</f>
        <v>2</v>
      </c>
      <c r="F7" s="7">
        <f>(SUMPRODUCT(Despiece!$E$7:$E$19,Despiece!$F$7:$F$19,(Despiece!$J$7:$J$19="2")+(Despiece!$K$7:$K$19="2"),--('Pedido de corte'!$L$7:$L$19="Pequeña"))+SUMPRODUCT(Despiece!$E$7:$E$19,Despiece!$G$7:$G$19,(Despiece!$L$7:$L$19="2")+(Despiece!$M$7:$M$19="2"),--('Pedido de corte'!$L$7:$L$19="Pequeña")))/1000</f>
        <v>0</v>
      </c>
      <c r="G7" s="1">
        <f>SUMPRODUCT(Despiece!$E$7:$E$19,(Despiece!$J$7:$J$19="2")+(Despiece!$K$7:$K$19="2")+(Despiece!$L$7:$L$19="2")+(Despiece!$M$7:$M$19="2"),--('Pedido de corte'!$L$7:$L$19="Pequeña"))</f>
        <v>0</v>
      </c>
      <c r="H7" s="1">
        <f>IF(G7=0,0,ROUNDUP((F7+G7*0.1)*1.2,0))</f>
        <v>0</v>
      </c>
      <c r="I7" s="1"/>
      <c r="J7" s="1"/>
      <c r="K7" s="1"/>
      <c r="L7" s="1"/>
      <c r="M7" s="1"/>
      <c r="N7" s="1"/>
      <c r="O7" s="1"/>
      <c r="P7" s="1"/>
    </row>
    <row r="8" spans="1:16" ht="45" customHeight="1">
      <c r="A8" s="1" t="s">
        <v>167</v>
      </c>
      <c r="B8" s="7">
        <f>(SUMPRODUCT(Despiece!$E$7:$E$19,Despiece!$F$7:$F$19,(Despiece!$J$7:$J$19="0.45")+(Despiece!$K$7:$K$19="0.45"))+SUMPRODUCT(Despiece!$E$7:$E$19,Despiece!$G$7:$G$19,(Despiece!$L$7:$L$19="0.45")+(Despiece!$M$7:$M$19="0.45")))/1000+2*$K$3/1000</f>
        <v>21.393095155885231</v>
      </c>
      <c r="C8" s="1">
        <f>SUMPRODUCT(Despiece!$E$7:$E$19,(Despiece!$J$7:$J$19="0.45")+(Despiece!$K$7:$K$19="0.45")+(Despiece!$L$7:$L$19="0.45")+(Despiece!$M$7:$M$19="0.45"))+2</f>
        <v>70</v>
      </c>
      <c r="D8" s="1">
        <f>C8*$I$2</f>
        <v>3.5</v>
      </c>
      <c r="E8" s="1">
        <f>ROUNDUP(B8+D8,0)</f>
        <v>25</v>
      </c>
      <c r="F8" s="7">
        <f>(SUMPRODUCT(Despiece!$E$7:$E$19,Despiece!$F$7:$F$19,(Despiece!$J$7:$J$19="0.45")+(Despiece!$K$7:$K$19="0.45"),--('Pedido de corte'!$L$7:$L$19="Pequeña"))+SUMPRODUCT(Despiece!$E$7:$E$19,Despiece!$G$7:$G$19,(Despiece!$L$7:$L$19="0.45")+(Despiece!$M$7:$M$19="0.45"),--('Pedido de corte'!$L$7:$L$19="Pequeña")))/1000+2*$K$3/1000</f>
        <v>4.8490951558852302</v>
      </c>
      <c r="G8" s="1">
        <f>SUMPRODUCT(Despiece!$E$7:$E$19,(Despiece!$J$7:$J$19="0.45")+(Despiece!$K$7:$K$19="0.45")+(Despiece!$L$7:$L$19="0.45")+(Despiece!$M$7:$M$19="0.45"),--('Pedido de corte'!$L$7:$L$19="Pequeña"))+2</f>
        <v>26</v>
      </c>
      <c r="H8" s="1">
        <f>IF(G8=0,0,ROUNDUP((F8+G8*0.1)*1.2,0))</f>
        <v>9</v>
      </c>
      <c r="I8" s="1"/>
      <c r="J8" s="1"/>
      <c r="K8" s="1"/>
      <c r="L8" s="1"/>
      <c r="M8" s="1"/>
      <c r="N8" s="1"/>
      <c r="O8" s="1"/>
      <c r="P8" s="1"/>
    </row>
    <row r="9" spans="1:16">
      <c r="A9" s="1"/>
      <c r="B9" s="1"/>
      <c r="C9" s="1"/>
      <c r="D9" s="1"/>
      <c r="E9" s="1"/>
      <c r="F9" s="1"/>
      <c r="G9" s="1"/>
      <c r="H9" s="1"/>
      <c r="I9" s="1"/>
      <c r="J9" s="1"/>
      <c r="K9" s="1"/>
      <c r="L9" s="1"/>
      <c r="M9" s="1"/>
      <c r="N9" s="1"/>
      <c r="O9" s="1"/>
      <c r="P9" s="1"/>
    </row>
    <row r="10" spans="1:16">
      <c r="A10" s="1" t="s">
        <v>168</v>
      </c>
      <c r="B10" s="1"/>
      <c r="C10" s="1"/>
      <c r="D10" s="1"/>
      <c r="E10" s="1"/>
      <c r="F10" s="1"/>
      <c r="G10" s="1"/>
      <c r="H10" s="1"/>
      <c r="I10" s="1"/>
      <c r="J10" s="1"/>
      <c r="K10" s="1"/>
      <c r="L10" s="1"/>
      <c r="M10" s="1"/>
      <c r="N10" s="1"/>
      <c r="O10" s="1"/>
      <c r="P10" s="1"/>
    </row>
    <row r="11" spans="1:16" ht="85.05" customHeight="1">
      <c r="A11" s="12" t="s">
        <v>245</v>
      </c>
      <c r="B11" s="1"/>
      <c r="C11" s="1"/>
      <c r="D11" s="1"/>
      <c r="E11" s="1"/>
      <c r="F11" s="1"/>
      <c r="G11" s="1"/>
      <c r="H11" s="1"/>
      <c r="I11" s="1"/>
      <c r="J11" s="1"/>
      <c r="K11" s="1"/>
      <c r="L11" s="1"/>
      <c r="M11" s="1"/>
      <c r="N11" s="1"/>
      <c r="O11" s="1"/>
      <c r="P11" s="1"/>
    </row>
    <row r="12" spans="1:16">
      <c r="A12" s="1" t="s">
        <v>169</v>
      </c>
      <c r="B12" s="1"/>
      <c r="C12" s="1"/>
      <c r="D12" s="1"/>
      <c r="E12" s="1"/>
      <c r="F12" s="1"/>
      <c r="G12" s="1"/>
      <c r="H12" s="1"/>
      <c r="I12" s="1"/>
      <c r="J12" s="1"/>
      <c r="K12" s="1"/>
      <c r="L12" s="1"/>
      <c r="M12" s="1"/>
      <c r="N12" s="1"/>
      <c r="O12" s="1"/>
      <c r="P12" s="1"/>
    </row>
    <row r="13" spans="1:16">
      <c r="A13" s="1"/>
      <c r="B13" s="1"/>
      <c r="C13" s="1"/>
      <c r="D13" s="1"/>
      <c r="E13" s="1"/>
      <c r="F13" s="1"/>
      <c r="G13" s="1"/>
      <c r="H13" s="1"/>
      <c r="I13" s="1"/>
      <c r="J13" s="1"/>
      <c r="K13" s="1"/>
      <c r="L13" s="1"/>
      <c r="M13" s="1"/>
      <c r="N13" s="1"/>
      <c r="O13" s="1"/>
      <c r="P13" s="1"/>
    </row>
    <row r="14" spans="1:16">
      <c r="A14" s="1"/>
      <c r="B14" s="1"/>
      <c r="C14" s="1"/>
      <c r="D14" s="1"/>
      <c r="E14" s="1"/>
      <c r="F14" s="1"/>
      <c r="G14" s="1"/>
      <c r="H14" s="1"/>
      <c r="I14" s="1"/>
      <c r="J14" s="1"/>
      <c r="K14" s="1"/>
      <c r="L14" s="1"/>
      <c r="M14" s="1"/>
      <c r="N14" s="1"/>
      <c r="O14" s="1"/>
      <c r="P14" s="1"/>
    </row>
    <row r="15" spans="1:16">
      <c r="A15" s="1"/>
      <c r="B15" s="1"/>
      <c r="C15" s="1"/>
      <c r="D15" s="1"/>
      <c r="E15" s="1"/>
      <c r="F15" s="1"/>
      <c r="G15" s="1"/>
      <c r="H15" s="1"/>
      <c r="I15" s="1"/>
      <c r="J15" s="1"/>
      <c r="K15" s="1"/>
      <c r="L15" s="1"/>
      <c r="M15" s="1"/>
      <c r="N15" s="1"/>
      <c r="O15" s="1"/>
      <c r="P15" s="1"/>
    </row>
    <row r="16" spans="1:16">
      <c r="A16" s="1"/>
      <c r="B16" s="1"/>
      <c r="C16" s="1"/>
      <c r="D16" s="1"/>
      <c r="E16" s="1"/>
      <c r="F16" s="1"/>
      <c r="G16" s="1"/>
      <c r="H16" s="1"/>
      <c r="I16" s="1"/>
      <c r="J16" s="1"/>
      <c r="K16" s="1"/>
      <c r="L16" s="1"/>
      <c r="M16" s="1"/>
      <c r="N16" s="1"/>
      <c r="O16" s="1"/>
      <c r="P16" s="1"/>
    </row>
    <row r="17" spans="1:16">
      <c r="A17" s="1"/>
      <c r="B17" s="1"/>
      <c r="C17" s="1"/>
      <c r="D17" s="1"/>
      <c r="E17" s="1"/>
      <c r="F17" s="1"/>
      <c r="G17" s="1"/>
      <c r="H17" s="1"/>
      <c r="I17" s="1"/>
      <c r="J17" s="1"/>
      <c r="K17" s="1"/>
      <c r="L17" s="1"/>
      <c r="M17" s="1"/>
      <c r="N17" s="1"/>
      <c r="O17" s="1"/>
      <c r="P17" s="1"/>
    </row>
    <row r="18" spans="1:16">
      <c r="A18" s="1"/>
      <c r="B18" s="1"/>
      <c r="C18" s="1"/>
      <c r="D18" s="1"/>
      <c r="E18" s="1"/>
      <c r="F18" s="1"/>
      <c r="G18" s="1"/>
      <c r="H18" s="1"/>
      <c r="I18" s="1"/>
      <c r="J18" s="1"/>
      <c r="K18" s="1"/>
      <c r="L18" s="1"/>
      <c r="M18" s="1"/>
      <c r="N18" s="1"/>
      <c r="O18" s="1"/>
      <c r="P18" s="1"/>
    </row>
    <row r="19" spans="1:16">
      <c r="A19" s="1"/>
      <c r="B19" s="1"/>
      <c r="C19" s="1"/>
      <c r="D19" s="1"/>
      <c r="E19" s="1"/>
      <c r="F19" s="1"/>
      <c r="G19" s="1"/>
      <c r="H19" s="1"/>
      <c r="I19" s="1"/>
      <c r="J19" s="1"/>
      <c r="K19" s="1"/>
      <c r="L19" s="1"/>
      <c r="M19" s="1"/>
      <c r="N19" s="1"/>
      <c r="O19" s="1"/>
      <c r="P19" s="1"/>
    </row>
    <row r="20" spans="1:16">
      <c r="A20" s="1"/>
      <c r="B20" s="1"/>
      <c r="C20" s="1"/>
      <c r="D20" s="1"/>
      <c r="E20" s="1"/>
      <c r="F20" s="1"/>
      <c r="G20" s="1"/>
      <c r="H20" s="1"/>
      <c r="I20" s="1"/>
      <c r="J20" s="1"/>
      <c r="K20" s="1"/>
      <c r="L20" s="1"/>
      <c r="M20" s="1"/>
      <c r="N20" s="1"/>
      <c r="O20" s="1"/>
      <c r="P20" s="1"/>
    </row>
    <row r="21" spans="1:16">
      <c r="A21" s="1"/>
      <c r="B21" s="1"/>
      <c r="C21" s="1"/>
      <c r="D21" s="1"/>
      <c r="E21" s="1"/>
      <c r="F21" s="1"/>
      <c r="G21" s="1"/>
      <c r="H21" s="1"/>
      <c r="I21" s="1"/>
      <c r="J21" s="1"/>
      <c r="K21" s="1"/>
      <c r="L21" s="1"/>
      <c r="M21" s="1"/>
      <c r="N21" s="1"/>
      <c r="O21" s="1"/>
      <c r="P21" s="1"/>
    </row>
    <row r="22" spans="1:16">
      <c r="A22" s="1"/>
      <c r="B22" s="1"/>
      <c r="C22" s="1"/>
      <c r="D22" s="1"/>
      <c r="E22" s="1"/>
      <c r="F22" s="1"/>
      <c r="G22" s="1"/>
      <c r="H22" s="1"/>
      <c r="I22" s="1"/>
      <c r="J22" s="1"/>
      <c r="K22" s="1"/>
      <c r="L22" s="1"/>
      <c r="M22" s="1"/>
      <c r="N22" s="1"/>
      <c r="O22" s="1"/>
      <c r="P22" s="1"/>
    </row>
    <row r="23" spans="1:16">
      <c r="A23" s="1"/>
      <c r="B23" s="1"/>
      <c r="C23" s="1"/>
      <c r="D23" s="1"/>
      <c r="E23" s="1"/>
      <c r="F23" s="1"/>
      <c r="G23" s="1"/>
      <c r="H23" s="1"/>
      <c r="I23" s="1"/>
      <c r="J23" s="1"/>
      <c r="K23" s="1"/>
      <c r="L23" s="1"/>
      <c r="M23" s="1"/>
      <c r="N23" s="1"/>
      <c r="O23" s="1"/>
      <c r="P23" s="1"/>
    </row>
    <row r="24" spans="1:16">
      <c r="A24" s="1"/>
      <c r="B24" s="1"/>
      <c r="C24" s="1"/>
      <c r="D24" s="1"/>
      <c r="E24" s="1"/>
      <c r="F24" s="1"/>
      <c r="G24" s="1"/>
      <c r="H24" s="1"/>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c r="A26" s="1"/>
      <c r="B26" s="1"/>
      <c r="C26" s="1"/>
      <c r="D26" s="1"/>
      <c r="E26" s="1"/>
      <c r="F26" s="1"/>
      <c r="G26" s="1"/>
      <c r="H26" s="1"/>
      <c r="I26" s="1"/>
      <c r="J26" s="1"/>
      <c r="K26" s="1"/>
      <c r="L26" s="1"/>
      <c r="M26" s="1"/>
      <c r="N26" s="1"/>
      <c r="O26" s="1"/>
      <c r="P26" s="1"/>
    </row>
    <row r="27" spans="1:16">
      <c r="A27" s="1"/>
      <c r="B27" s="1"/>
      <c r="C27" s="1"/>
      <c r="D27" s="1"/>
      <c r="E27" s="1"/>
      <c r="F27" s="1"/>
      <c r="G27" s="1"/>
      <c r="H27" s="1"/>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E15"/>
  <sheetViews>
    <sheetView workbookViewId="0">
      <selection activeCell="A15" sqref="A15:XFD15"/>
    </sheetView>
  </sheetViews>
  <sheetFormatPr baseColWidth="10" defaultRowHeight="13.8"/>
  <cols>
    <col min="1" max="1" width="5.69921875" customWidth="1"/>
    <col min="2" max="2" width="26.69921875" customWidth="1"/>
    <col min="3" max="3" width="80.69921875" customWidth="1"/>
    <col min="4" max="4" width="28.69921875" customWidth="1"/>
    <col min="5" max="5" width="24.69921875" customWidth="1"/>
  </cols>
  <sheetData>
    <row r="2" spans="1:5" ht="17.399999999999999">
      <c r="A2" s="17" t="s">
        <v>170</v>
      </c>
    </row>
    <row r="3" spans="1:5" ht="14.4">
      <c r="A3" s="18" t="s">
        <v>171</v>
      </c>
    </row>
    <row r="6" spans="1:5">
      <c r="A6" s="14" t="s">
        <v>172</v>
      </c>
      <c r="B6" s="14" t="s">
        <v>173</v>
      </c>
      <c r="C6" s="14" t="s">
        <v>174</v>
      </c>
      <c r="D6" s="14" t="s">
        <v>175</v>
      </c>
      <c r="E6" s="14" t="s">
        <v>176</v>
      </c>
    </row>
    <row r="7" spans="1:5" ht="27.6">
      <c r="A7" s="15">
        <v>1</v>
      </c>
      <c r="B7" s="16" t="s">
        <v>177</v>
      </c>
      <c r="C7" s="16" t="s">
        <v>178</v>
      </c>
      <c r="D7" s="16" t="s">
        <v>179</v>
      </c>
      <c r="E7" s="16" t="s">
        <v>180</v>
      </c>
    </row>
    <row r="8" spans="1:5" ht="27.6">
      <c r="A8" s="15">
        <v>2</v>
      </c>
      <c r="B8" s="16" t="s">
        <v>181</v>
      </c>
      <c r="C8" s="16" t="s">
        <v>182</v>
      </c>
      <c r="D8" s="16" t="s">
        <v>183</v>
      </c>
      <c r="E8" s="16" t="s">
        <v>184</v>
      </c>
    </row>
    <row r="9" spans="1:5" ht="27.6">
      <c r="A9" s="15">
        <v>3</v>
      </c>
      <c r="B9" s="16" t="s">
        <v>185</v>
      </c>
      <c r="C9" s="16" t="s">
        <v>186</v>
      </c>
      <c r="D9" s="16" t="s">
        <v>187</v>
      </c>
      <c r="E9" s="16" t="s">
        <v>188</v>
      </c>
    </row>
    <row r="10" spans="1:5" ht="55.2">
      <c r="A10" s="15">
        <v>4</v>
      </c>
      <c r="B10" s="16" t="s">
        <v>189</v>
      </c>
      <c r="C10" s="16" t="s">
        <v>190</v>
      </c>
      <c r="D10" s="16" t="s">
        <v>191</v>
      </c>
      <c r="E10" s="16" t="s">
        <v>192</v>
      </c>
    </row>
    <row r="11" spans="1:5">
      <c r="A11" s="15">
        <v>5</v>
      </c>
      <c r="B11" s="16" t="s">
        <v>193</v>
      </c>
      <c r="C11" s="16" t="s">
        <v>194</v>
      </c>
      <c r="D11" s="16" t="s">
        <v>195</v>
      </c>
      <c r="E11" s="16" t="s">
        <v>196</v>
      </c>
    </row>
    <row r="12" spans="1:5" ht="27.6">
      <c r="A12" s="15">
        <v>6</v>
      </c>
      <c r="B12" s="16" t="s">
        <v>197</v>
      </c>
      <c r="C12" s="16" t="s">
        <v>198</v>
      </c>
      <c r="D12" s="16" t="s">
        <v>187</v>
      </c>
      <c r="E12" s="16" t="s">
        <v>199</v>
      </c>
    </row>
    <row r="13" spans="1:5" ht="27.6">
      <c r="A13" s="15">
        <v>7</v>
      </c>
      <c r="B13" s="16" t="s">
        <v>200</v>
      </c>
      <c r="C13" s="16" t="s">
        <v>201</v>
      </c>
      <c r="D13" s="16" t="s">
        <v>202</v>
      </c>
      <c r="E13" s="16" t="s">
        <v>203</v>
      </c>
    </row>
    <row r="14" spans="1:5">
      <c r="A14" s="15">
        <v>8</v>
      </c>
      <c r="B14" s="16" t="s">
        <v>204</v>
      </c>
      <c r="C14" s="16" t="s">
        <v>205</v>
      </c>
      <c r="D14" s="16" t="s">
        <v>187</v>
      </c>
      <c r="E14" s="16" t="s">
        <v>206</v>
      </c>
    </row>
    <row r="15" spans="1:5" ht="82.8">
      <c r="A15" s="16" t="s">
        <v>247</v>
      </c>
      <c r="B15" s="16" t="s">
        <v>248</v>
      </c>
      <c r="C15" s="16" t="s">
        <v>249</v>
      </c>
      <c r="D15" s="16" t="s">
        <v>250</v>
      </c>
      <c r="E15" s="16" t="s">
        <v>251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C13"/>
  <sheetViews>
    <sheetView workbookViewId="0"/>
  </sheetViews>
  <sheetFormatPr baseColWidth="10" defaultRowHeight="13.8"/>
  <cols>
    <col min="1" max="1" width="22.69921875" customWidth="1"/>
    <col min="2" max="2" width="95.69921875" customWidth="1"/>
    <col min="3" max="3" width="34.69921875" customWidth="1"/>
  </cols>
  <sheetData>
    <row r="2" spans="1:3" ht="17.399999999999999">
      <c r="A2" s="17" t="s">
        <v>207</v>
      </c>
    </row>
    <row r="3" spans="1:3" ht="14.4">
      <c r="A3" s="18" t="s">
        <v>208</v>
      </c>
    </row>
    <row r="6" spans="1:3">
      <c r="A6" s="14" t="s">
        <v>173</v>
      </c>
      <c r="B6" s="14" t="s">
        <v>209</v>
      </c>
      <c r="C6" s="14" t="s">
        <v>210</v>
      </c>
    </row>
    <row r="7" spans="1:3" ht="27.6">
      <c r="A7" s="16" t="s">
        <v>211</v>
      </c>
      <c r="B7" s="16" t="s">
        <v>212</v>
      </c>
      <c r="C7" s="16" t="s">
        <v>213</v>
      </c>
    </row>
    <row r="8" spans="1:3">
      <c r="A8" s="16" t="s">
        <v>214</v>
      </c>
      <c r="B8" s="16" t="s">
        <v>215</v>
      </c>
      <c r="C8" s="16" t="s">
        <v>216</v>
      </c>
    </row>
    <row r="9" spans="1:3">
      <c r="A9" s="16" t="s">
        <v>6</v>
      </c>
      <c r="B9" s="16" t="s">
        <v>217</v>
      </c>
      <c r="C9" s="16" t="s">
        <v>218</v>
      </c>
    </row>
    <row r="10" spans="1:3" ht="67.95" customHeight="1">
      <c r="A10" s="16" t="s">
        <v>219</v>
      </c>
      <c r="B10" s="16" t="s">
        <v>246</v>
      </c>
      <c r="C10" s="16" t="s">
        <v>220</v>
      </c>
    </row>
    <row r="11" spans="1:3" ht="27.6">
      <c r="A11" s="16" t="s">
        <v>221</v>
      </c>
      <c r="B11" s="16" t="s">
        <v>222</v>
      </c>
      <c r="C11" s="16" t="s">
        <v>223</v>
      </c>
    </row>
    <row r="12" spans="1:3" ht="27.6">
      <c r="A12" s="16" t="s">
        <v>224</v>
      </c>
      <c r="B12" s="16" t="s">
        <v>225</v>
      </c>
      <c r="C12" s="16" t="s">
        <v>226</v>
      </c>
    </row>
    <row r="13" spans="1:3" ht="27.6">
      <c r="A13" s="16" t="s">
        <v>227</v>
      </c>
      <c r="B13" s="16" t="s">
        <v>228</v>
      </c>
      <c r="C13" s="16" t="s">
        <v>229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Despiece</vt:lpstr>
      <vt:lpstr>Pedido de corte</vt:lpstr>
      <vt:lpstr>Compras</vt:lpstr>
      <vt:lpstr>Cantos</vt:lpstr>
      <vt:lpstr>Pendientes</vt:lpstr>
      <vt:lpstr>Decisiones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William Perez Muñoz</cp:lastModifiedBy>
  <dcterms:modified xsi:type="dcterms:W3CDTF">2026-10-28T15:43:15Z</dcterms:modified>
</cp:coreProperties>
</file>