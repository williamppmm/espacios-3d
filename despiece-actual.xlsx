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e4bb88fb3ffb2f3/Desktop/cocina/"/>
    </mc:Choice>
  </mc:AlternateContent>
  <xr:revisionPtr revIDLastSave="0" documentId="11_E89F3A8322D49B022151ED64311DEFA24F89F6D0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spiece" sheetId="1" r:id="rId1"/>
    <sheet name="Herrajes" sheetId="2" r:id="rId2"/>
    <sheet name="Compras" sheetId="3" r:id="rId3"/>
    <sheet name="Cantos" sheetId="4" r:id="rId4"/>
    <sheet name="Revisión" sheetId="5" r:id="rId5"/>
    <sheet name="Distribució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6" l="1"/>
  <c r="D21" i="6"/>
  <c r="D20" i="6"/>
  <c r="D19" i="6"/>
  <c r="D18" i="6"/>
  <c r="D16" i="6"/>
  <c r="D15" i="6"/>
  <c r="D14" i="6"/>
  <c r="F13" i="6"/>
  <c r="E13" i="6"/>
  <c r="D12" i="6"/>
  <c r="B7" i="6"/>
  <c r="C12" i="6" s="1"/>
  <c r="B26" i="6" s="1"/>
  <c r="B6" i="6"/>
  <c r="D5" i="4"/>
  <c r="E5" i="4" s="1"/>
  <c r="C5" i="4"/>
  <c r="F5" i="4" s="1"/>
  <c r="C5" i="3" s="1"/>
  <c r="E5" i="3" s="1"/>
  <c r="D4" i="4"/>
  <c r="E4" i="4" s="1"/>
  <c r="C4" i="4"/>
  <c r="F4" i="4" s="1"/>
  <c r="C4" i="3" s="1"/>
  <c r="E4" i="3" s="1"/>
  <c r="E33" i="3"/>
  <c r="E34" i="3" s="1"/>
  <c r="E31" i="3"/>
  <c r="E30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C9" i="3"/>
  <c r="E9" i="3" s="1"/>
  <c r="E29" i="3" s="1"/>
  <c r="E8" i="3"/>
  <c r="E7" i="3"/>
  <c r="E6" i="3"/>
  <c r="E3" i="3"/>
  <c r="E2" i="3"/>
  <c r="G82" i="1"/>
  <c r="G81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B13" i="6" l="1"/>
  <c r="C13" i="6" s="1"/>
  <c r="B14" i="6" s="1"/>
  <c r="C14" i="6" s="1"/>
  <c r="B15" i="6" s="1"/>
  <c r="B12" i="6"/>
  <c r="B25" i="6" s="1"/>
  <c r="E32" i="3"/>
  <c r="E28" i="3"/>
  <c r="C15" i="6" l="1"/>
  <c r="B16" i="6" s="1"/>
  <c r="C16" i="6" s="1"/>
  <c r="B18" i="6" s="1"/>
  <c r="C18" i="6" s="1"/>
  <c r="B27" i="6" s="1"/>
  <c r="B20" i="6"/>
  <c r="C20" i="6" l="1"/>
  <c r="B21" i="6" s="1"/>
  <c r="C21" i="6" s="1"/>
  <c r="B22" i="6" s="1"/>
  <c r="C22" i="6" s="1"/>
  <c r="B28" i="6" s="1"/>
  <c r="B19" i="6"/>
  <c r="C19" i="6"/>
</calcChain>
</file>

<file path=xl/sharedStrings.xml><?xml version="1.0" encoding="utf-8"?>
<sst xmlns="http://schemas.openxmlformats.org/spreadsheetml/2006/main" count="861" uniqueCount="410">
  <si>
    <t>Despiece cocina terraza · melamina Cartagena RH 15 mm · fondos melamina blanco 6 mm · L = sentido de la veta</t>
  </si>
  <si>
    <t>E/F = dimensiones terminadas. B3 único de 750 sustituye B3+B4. Sin B0 ni S0; posiciones en Distribución.</t>
  </si>
  <si>
    <t>E/F terminadas; L/M corte antes de canto. Bases B3 aplicadas bajo las paredes: 693 × 550 × 15. Alturas de paredes reducidas 15 mm; detalle en Revisión.</t>
  </si>
  <si>
    <t>N°</t>
  </si>
  <si>
    <t>Módulo</t>
  </si>
  <si>
    <t>Pieza</t>
  </si>
  <si>
    <t>Material</t>
  </si>
  <si>
    <t>Largo veta terminado (mm)</t>
  </si>
  <si>
    <t>Ancho terminado (mm)</t>
  </si>
  <si>
    <t>Cant.</t>
  </si>
  <si>
    <t>Canto L1</t>
  </si>
  <si>
    <t>Canto L2</t>
  </si>
  <si>
    <t>Canto A1</t>
  </si>
  <si>
    <t>Canto A2</t>
  </si>
  <si>
    <t>Largo corte teórico (mm)</t>
  </si>
  <si>
    <t>Ancho corte teórico (mm)</t>
  </si>
  <si>
    <t>03</t>
  </si>
  <si>
    <t>B1 Basurero 30</t>
  </si>
  <si>
    <t>Lateral</t>
  </si>
  <si>
    <t>Melamina Cartagena RH 15</t>
  </si>
  <si>
    <t>2</t>
  </si>
  <si>
    <t>0.45</t>
  </si>
  <si>
    <t>04</t>
  </si>
  <si>
    <t>Piso</t>
  </si>
  <si>
    <t>05</t>
  </si>
  <si>
    <t>Travesaño (horizontales)</t>
  </si>
  <si>
    <t>06</t>
  </si>
  <si>
    <t>Fondo melamina 6 mm (clavado atrás)</t>
  </si>
  <si>
    <t>Fondo melamina 6</t>
  </si>
  <si>
    <t>—</t>
  </si>
  <si>
    <t>07</t>
  </si>
  <si>
    <t>Frente basurero</t>
  </si>
  <si>
    <t>08</t>
  </si>
  <si>
    <t>B2 Horno + estufa 60</t>
  </si>
  <si>
    <t>09</t>
  </si>
  <si>
    <t>Piso (apoyo horno)</t>
  </si>
  <si>
    <t>10</t>
  </si>
  <si>
    <t>Repisa sobre horno</t>
  </si>
  <si>
    <t>11</t>
  </si>
  <si>
    <t>Travesaño trasero</t>
  </si>
  <si>
    <t>12</t>
  </si>
  <si>
    <t>Listón frontal de apoyo del mesón (de canto)</t>
  </si>
  <si>
    <t>13</t>
  </si>
  <si>
    <t>Panel fijo bajo estufa (ajustar en obra)</t>
  </si>
  <si>
    <t>14</t>
  </si>
  <si>
    <t>B3 Cajonero único 75</t>
  </si>
  <si>
    <t>15</t>
  </si>
  <si>
    <t>16</t>
  </si>
  <si>
    <t>17</t>
  </si>
  <si>
    <t>18</t>
  </si>
  <si>
    <t>Frente cajón superior (cubiertero lateral)</t>
  </si>
  <si>
    <t>19</t>
  </si>
  <si>
    <t>Frente gaveta media</t>
  </si>
  <si>
    <t>20</t>
  </si>
  <si>
    <t>Frente gaveta honda</t>
  </si>
  <si>
    <t>21</t>
  </si>
  <si>
    <t>Gaveta honda: costado</t>
  </si>
  <si>
    <t>22</t>
  </si>
  <si>
    <t>Gaveta honda: frente/trasero interno</t>
  </si>
  <si>
    <t>23</t>
  </si>
  <si>
    <t>Gaveta honda: base</t>
  </si>
  <si>
    <t>24</t>
  </si>
  <si>
    <t>Gaveta media: costado</t>
  </si>
  <si>
    <t>25</t>
  </si>
  <si>
    <t>Gaveta media: frente/trasero interno</t>
  </si>
  <si>
    <t>26</t>
  </si>
  <si>
    <t>Gaveta media: base</t>
  </si>
  <si>
    <t>27</t>
  </si>
  <si>
    <t>Cajón superior: costado</t>
  </si>
  <si>
    <t>28</t>
  </si>
  <si>
    <t>Cajón superior: frente/trasero interno</t>
  </si>
  <si>
    <t>29</t>
  </si>
  <si>
    <t>Cajón superior: base</t>
  </si>
  <si>
    <t>46</t>
  </si>
  <si>
    <t>B5 Lavaplatos 90</t>
  </si>
  <si>
    <t>47</t>
  </si>
  <si>
    <t>48</t>
  </si>
  <si>
    <t>Travesaño (verticales, de canto)</t>
  </si>
  <si>
    <t>49</t>
  </si>
  <si>
    <t>50</t>
  </si>
  <si>
    <t>Listón de apoyo bajo el lavaplatos</t>
  </si>
  <si>
    <t>51</t>
  </si>
  <si>
    <t>Puerta</t>
  </si>
  <si>
    <t>52</t>
  </si>
  <si>
    <t>B6 Terminación</t>
  </si>
  <si>
    <t>Costado de terminación (lado circulación)</t>
  </si>
  <si>
    <t>53</t>
  </si>
  <si>
    <t>Zócalo (2 tramos, retranqueado 5 cm)</t>
  </si>
  <si>
    <t>54</t>
  </si>
  <si>
    <t>S1 Alacena 31,5</t>
  </si>
  <si>
    <t>55</t>
  </si>
  <si>
    <t>Techo</t>
  </si>
  <si>
    <t>56</t>
  </si>
  <si>
    <t>57</t>
  </si>
  <si>
    <t>Entrepaño regulable</t>
  </si>
  <si>
    <t>58</t>
  </si>
  <si>
    <t>59</t>
  </si>
  <si>
    <t>Fondo melamina 6 mm</t>
  </si>
  <si>
    <t>60</t>
  </si>
  <si>
    <t>S2 Gabinete ducto 60</t>
  </si>
  <si>
    <t>61</t>
  </si>
  <si>
    <t>62</t>
  </si>
  <si>
    <t>Piso (perforar para ducto)</t>
  </si>
  <si>
    <t>63</t>
  </si>
  <si>
    <t>64</t>
  </si>
  <si>
    <t>65</t>
  </si>
  <si>
    <t>S3 Alacena 84,5</t>
  </si>
  <si>
    <t>66</t>
  </si>
  <si>
    <t>67</t>
  </si>
  <si>
    <t>68</t>
  </si>
  <si>
    <t>División vertical central</t>
  </si>
  <si>
    <t>69</t>
  </si>
  <si>
    <t>70</t>
  </si>
  <si>
    <t>71</t>
  </si>
  <si>
    <t>72</t>
  </si>
  <si>
    <t>S4 Platero 71,5 (herraje nominal 70)</t>
  </si>
  <si>
    <t>73</t>
  </si>
  <si>
    <t>74</t>
  </si>
  <si>
    <t>Listón inferior delantero</t>
  </si>
  <si>
    <t>75</t>
  </si>
  <si>
    <t>Listón inferior trasero</t>
  </si>
  <si>
    <t>76</t>
  </si>
  <si>
    <t>77</t>
  </si>
  <si>
    <t>Total piezas melamina</t>
  </si>
  <si>
    <t>Total piezas de fondo 6 mm</t>
  </si>
  <si>
    <t>Herraje</t>
  </si>
  <si>
    <t>Uso</t>
  </si>
  <si>
    <t>Bisagra parche HBM897-01 · 35 mm · cierre lento (unidad física)</t>
  </si>
  <si>
    <t>16 unidades físicas = 8 pares comerciales. Dos por puerta; revisar carga antes de fabricar.</t>
  </si>
  <si>
    <t>Riel Bonuit HRE550-55N · negro · cierre lento 30 kg · 550 mm (par)</t>
  </si>
  <si>
    <t>HRE550-55N negro, 550, cierre lento, lateral. Ficha aportada: 27 mm total confirmado (720−27=693), 13,5/lado para riel de 12,7. Alto 45 centrado en paredes 205/125/75: márgenes 80/40/15 mm. 30 kg, &gt;25.000 ciclos; 3 pares incluyen 36 tornillos 4 × 12. Ancho máximo y carga útil aún por validar.</t>
  </si>
  <si>
    <t>Perfil gola superior × 3 m</t>
  </si>
  <si>
    <t>Se usan unos 1,95 m: B1 300 + tramo B3–B5 1650; se interrumpe en el horno. Confirmar remates.</t>
  </si>
  <si>
    <t>Perfil gola media × 3 m</t>
  </si>
  <si>
    <t>1,50 m: dos niveles de 750 mm sobre B3 único.</t>
  </si>
  <si>
    <t>Basurero cierre lento, 1 contenedor (HSO460-30)</t>
  </si>
  <si>
    <t>Módulo 300; confirmar fijación del frente extraíble, pues B1 no tiene bisagras asignadas.</t>
  </si>
  <si>
    <t>Canasta bajo fregadero (HSO228-90R)</t>
  </si>
  <si>
    <t>Módulo 900; confirmar montaje independiente detrás de dos puertas, bisagras y sifón.</t>
  </si>
  <si>
    <t>Cubiertero HSC910-40 · 360 × 480 × 50 mm</t>
  </si>
  <si>
    <t>B3 interior 663 × 520; cubiertero 360 × 480 a izquierda, apoyado sobre base aplicada de 15. Altura interior superior 75; cubiertero alto 50. Sin divisor fijo.</t>
  </si>
  <si>
    <t>Platero HSO566-03G · nominal 700 mm, gris antracita</t>
  </si>
  <si>
    <t>HSO566-03G, 680 × 245 en luz 685: holgura total 5 mm. 7 kg máx.; acero 201 pintado. Fijación por pines: 4 taladros Ø10 según ficha transcrita. Marcar en obra con herraje real; profundidad según sistema, sin perforar de fábrica.</t>
  </si>
  <si>
    <t>Pata niveladora para zócalo 100 mm</t>
  </si>
  <si>
    <t>4 módulos bajos: 16 apoyos básicos + 8 refuerzos previstos para cajonero ancho, horno y lavaplatos. Distribución final según cargas; 24 apoyos conservados en presupuesto.</t>
  </si>
  <si>
    <t>Colgador regulable para gabinete superior (par)</t>
  </si>
  <si>
    <t>Un par por gabinete</t>
  </si>
  <si>
    <t>Soporte de entrepaño</t>
  </si>
  <si>
    <t>S1: 1 entrepaño · S3: 2 entrepaños (con división central)</t>
  </si>
  <si>
    <t>Tornillo 4 × 50 mm para armado</t>
  </si>
  <si>
    <t>Aprox.; o minifix si prefieres armado desmontable</t>
  </si>
  <si>
    <t>Tornillo 4 × 16 mm para herrajes</t>
  </si>
  <si>
    <t>150 tornillos 4 × 16 aproximados para otros herrajes. Los 3 pares HRE550-55N incluyen 36 tornillos 4 × 12 mm según ficha transcrita; no comprarlos aparte ni contarlos como fijaciones de bases.</t>
  </si>
  <si>
    <t>Riel seleccionado · referencia única</t>
  </si>
  <si>
    <t>Referencia / marca</t>
  </si>
  <si>
    <t>Carga (kg)</t>
  </si>
  <si>
    <t>Selección y fuente</t>
  </si>
  <si>
    <t>HRE550-55N · Bonuit</t>
  </si>
  <si>
    <t>Única referencia: HRE550-55N negro, 550, cierre lento, 30 kg, &gt;25.000 ciclos. 3 pares a $47.034 = $141.102. Descuento 27 confirmado según ficha Bonuit rev. 15/05/2025 transcrita por usuario; caja 693. Altura 45 centrada. Confirmar ancho máximo y carga útil; fuente completa en Revisión.</t>
  </si>
  <si>
    <t>Grupo</t>
  </si>
  <si>
    <t>Ítem</t>
  </si>
  <si>
    <t>Precio unitario (COP)</t>
  </si>
  <si>
    <t>Subtotal (COP)</t>
  </si>
  <si>
    <t>Fuente / nota</t>
  </si>
  <si>
    <t>Tableros y cantos</t>
  </si>
  <si>
    <t>Tablero melamina Cartagena RH 15 mm, 2,15 × 2,44</t>
  </si>
  <si>
    <t>Se conserva previsión de 4 láminas. Encaje geométrico verificado con piezas corregidas, refilado 10 mm y disco 4 mm, sin girar E/F; proveedor debe optimizar secuencia de corte y veta.</t>
  </si>
  <si>
    <t>Fondo melamina blanco nevado RH 6 mm, 2,15 × 2,44</t>
  </si>
  <si>
    <t>Se conserva 1 lámina de fondo. Encaje geométrico verificado con las 7 piezas actuales; confirmar formato del suministro antes del corte.</t>
  </si>
  <si>
    <t>Canto rígido Cartagena 19 × 2 mm · rollo 100 m</t>
  </si>
  <si>
    <t>Precio de la nueva versión: $531.600/rollo. Metros y rollos vinculados a Cantos; validar SKU.</t>
  </si>
  <si>
    <t>Canto flexible Cartagena 19 × 0,45 mm · rollo 200 m</t>
  </si>
  <si>
    <t>Precio de la nueva versión: $285.600/rollo. Metros y rollos vinculados a Cantos; validar SKU.</t>
  </si>
  <si>
    <t>Herrajes</t>
  </si>
  <si>
    <t>Madecentro</t>
  </si>
  <si>
    <t>Riel Bonuit HRE550-55N · negro · 550 mm · cierre lento 30 kg · par</t>
  </si>
  <si>
    <t>HRE550-55N negro 550, 3 pares a $47.034 = $141.102. Descuento total 27 mm confirmado según ficha transcrita por usuario (Bonuit rev. 15/05/2025): vano 720 → caja 693. Riel 45 alto y 12,7 ancho, juego 13,5/lado. 30 kg, &gt;25.000 ciclos; 36 tornillos 4 × 12 incluidos. Validar ancho máximo de cajón y carga útil. Precio verificado previamente en selector Madecentro.</t>
  </si>
  <si>
    <t>Bisagra parche HBM897-01 · par (16 bisagras físicas)</t>
  </si>
  <si>
    <t>Madecentro, consulta 25/10/2026: $17.750/par. Incluye tornillos; confirmar cotización.</t>
  </si>
  <si>
    <t>Platero HSO566-03G · nominal 700 mm · herraje 680 × 245</t>
  </si>
  <si>
    <t>HSO566-03G gris antracita: precio conservado $63.539. Ficha transcrita por usuario: 680 × 245, carga máxima 7 kg, acero 201 pintado, cuatro fijaciones Ø10; cotas y profundidad de taladro a verificar con pieza real. Marcar en obra.</t>
  </si>
  <si>
    <t>Se conserva HSC910-40 de 360 × 480 × 50 y precio $38.791. Se coloca a un lado de B3, con apoyo antideslizante removible; no requiere panel divisor.</t>
  </si>
  <si>
    <t>cotizar</t>
  </si>
  <si>
    <t>Soportes de entrepaño y tornillería</t>
  </si>
  <si>
    <t>12 soportes, tornillos de armado y herrajes, fijaciones de fondos de 6, anclajes al muro y remates gola/zócalo. Evitar duplicar los incluidos.</t>
  </si>
  <si>
    <t>Mesón y equipos</t>
  </si>
  <si>
    <t>Mesón Crema Marfil 260 × 62 cm · código 519014</t>
  </si>
  <si>
    <t>Placa de 15 mm confirmada por usuario y ficha Homecenter. Precio $1.486.300 conservado. Recortes, material final, apoyos y posible borde engrosado por definir. La ficha mezcla 260/150 cm y granito/cuarzo: confirmar suministro concreto. https://www.homecenter.com.co/homecenter-co/product/519014/meson-granito-natural-crema-marfil-260-cm-x-62-cm/519014/</t>
  </si>
  <si>
    <t>Lavaplatos Socoda AS350 satinado · submontar 1 poceta 55 × 43 cm · código 87730</t>
  </si>
  <si>
    <t>Socoda AS350 satinado, código 87730: $209.900 conservados. 550 × 430 EXTERIORES, profundidad 165 mm. Abertura interior 490 × 370 según ficha descrita por usuario. Submontar: pestaña bajo placa, con anclaje/soporte compatibles. Hueco de corte lo define plantilla Socoda y acabado del borde; 490 × 370 solo referencia 3D. https://www.homecenter.com.co/homecenter-co/product/87730/lavaplatos-de-submontar-1-poceta-55x43-cm-acero-inoxidable-socoda/87730/</t>
  </si>
  <si>
    <t>Combo CA3057: campana Tofu negro 60 cm + horno H60EEVAL005 + estufa CCR60-F4P-SBF031</t>
  </si>
  <si>
    <t>Precio aportado por el usuario el 25/10/2026 por el combo completo. Horno mixto 110 V/gas natural; estufa cristal gas natural 60 × 51 cm.</t>
  </si>
  <si>
    <t>Servicios</t>
  </si>
  <si>
    <t>Corte y canteado de piezas</t>
  </si>
  <si>
    <t>Cotizar corte, canteado y uniones de bases inferiores. EXCLUIR los 4 taladros Ø10 del platero del pedido a fábrica: marcar y ejecutar en obra con herraje real, verificando profundidad y posición. No duplicar rollos de canto ni tornillos de riel incluidos.</t>
  </si>
  <si>
    <t>Cortes y pulido del mesón (lavaplatos y estufa)</t>
  </si>
  <si>
    <t>Plantillas y recortes en placa 15 mm. Lavaplatos 550 × 430 exterior NO es medida de hueco; referencia 3D 490 × 370, plantilla Socoda y tipo de borde mandan. Profundidad 165. Marmolero define radios, tolerancias, apoyos y anclajes; recorte estufa sigue por manual. Borde engrosado opcional por cotizar.</t>
  </si>
  <si>
    <t>Grifería de cocina</t>
  </si>
  <si>
    <t>Seleccionar modelo y conexiones.</t>
  </si>
  <si>
    <t>Desagüe, canastilla, sifón y acoples</t>
  </si>
  <si>
    <t>Revisar contra cubeta y canasta extraíble; evitar duplicados del suministro.</t>
  </si>
  <si>
    <t>Ducto y accesorios de campana</t>
  </si>
  <si>
    <t>Definir según modelo Haceb, diámetro y salida.</t>
  </si>
  <si>
    <t>Armado e instalación de muebles y mesón</t>
  </si>
  <si>
    <t>Cotizar nivelación, apoyos definidos por fabricante, fijación/sellado con producto compatible, soporte mecánico del lavaplatos y montaje de equipos. Transporte/manipulación según proveedor; no presupone dos operarios suficientes.</t>
  </si>
  <si>
    <t>Transporte y subida de materiales</t>
  </si>
  <si>
    <t>Ingresar 0 únicamente si se confirma incluido.</t>
  </si>
  <si>
    <t>Subtotal tableros y cantos</t>
  </si>
  <si>
    <t>Subtotal herrajes con precio</t>
  </si>
  <si>
    <t>Subtotal mesón y equipos con precio</t>
  </si>
  <si>
    <t>Subtotal servicios con precio</t>
  </si>
  <si>
    <t>TOTAL CONOCIDO</t>
  </si>
  <si>
    <t>Subtotal parcial: no representa costo final. Cero en servicios significa sin importes cotizados.</t>
  </si>
  <si>
    <t>Partidas sin precio</t>
  </si>
  <si>
    <t>TOTAL DEL ALCANCE LISTADO</t>
  </si>
  <si>
    <t>Aun con todos los precios, validar alcances, IVA y posibles adecuaciones de agua/gas/electricidad.</t>
  </si>
  <si>
    <t>Precio unitario numérico = editable. Escribir 0 solo cuando se confirme gratuito o incluido.</t>
  </si>
  <si>
    <t>Si agregas partidas después de la fila 26, amplía las fórmulas de resumen.</t>
  </si>
  <si>
    <t>Resumen de canto Cartagena 19 mm (tablero de 15 mm)</t>
  </si>
  <si>
    <t>Reserva por borde (m)</t>
  </si>
  <si>
    <t>Tipo</t>
  </si>
  <si>
    <t>Dónde va</t>
  </si>
  <si>
    <t>Metros netos</t>
  </si>
  <si>
    <t>Bordes</t>
  </si>
  <si>
    <t>Reserva de máquina (supuesto)</t>
  </si>
  <si>
    <t>Metros a pedir</t>
  </si>
  <si>
    <t>m por rollo</t>
  </si>
  <si>
    <t>Rígido (≈2 mm)</t>
  </si>
  <si>
    <t>Frentes y puertas en sus 4 lados; borde frontal de laterales, pisos, techos, entrepaños y costado; borde inferior de laterales de superiores</t>
  </si>
  <si>
    <t>Flexible (≈0,45 mm)</t>
  </si>
  <si>
    <t>Bordes ocultos: traseros, superiores bajo el mesón, travesaños, cajas de cajón y zócalo</t>
  </si>
  <si>
    <t>Piezas estrechas: validar proceso de canteado</t>
  </si>
  <si>
    <t>Medida (mm)</t>
  </si>
  <si>
    <t>Qué hacer</t>
  </si>
  <si>
    <t>S4 Platero 71,5 · Listón inferior delantero</t>
  </si>
  <si>
    <t>685 × 60</t>
  </si>
  <si>
    <t>Conservar canto y protección de bordes: zona próxima al goteo del platero. Validar proceso para 60 mm.</t>
  </si>
  <si>
    <t>Los 5 cm por borde son una reserva editable; confirmar con la canteadora. No retirar cantos por estar ocultos.</t>
  </si>
  <si>
    <t>Neto calculado con dimensiones terminadas. El proveedor debe validar formato, espesor 19 × 2 / 19 × 0,45 y precios.</t>
  </si>
  <si>
    <t>Correcciones y pendientes de fabricación</t>
  </si>
  <si>
    <t>Estado</t>
  </si>
  <si>
    <t>Tema</t>
  </si>
  <si>
    <t>Cambio o acción</t>
  </si>
  <si>
    <t>Ubicación</t>
  </si>
  <si>
    <t>Base / fuente</t>
  </si>
  <si>
    <t>Aplicado</t>
  </si>
  <si>
    <t>Riel y cajas</t>
  </si>
  <si>
    <t>B3: vano 720 − descuento confirmado 27 = caja exterior 693; interior 663 × 520. Descuento confirmado para HRE550-55N según ficha transcrita. Se conservan tres bases inferiores 693 × 550 y paredes 205/125/75.</t>
  </si>
  <si>
    <t>Despiece B3; Herrajes 3</t>
  </si>
  <si>
    <t>Datos de ficha HRE550-55N Bonuit, rev. 15/05/2025, transcritos por el usuario el 25/10/2026. Documento original no adjunto en este turno.</t>
  </si>
  <si>
    <t>Descuento de canto</t>
  </si>
  <si>
    <t>E/F se interpretan como dimensiones terminadas. L/M calculan corte teórico descontando cantos de extremos perpendiculares. Validar convención y tolerancias con proveedor.</t>
  </si>
  <si>
    <t>Despiece A2:A3, L:M</t>
  </si>
  <si>
    <t>Convención adoptada para conservar encajes nominales; requiere validación del proveedor.</t>
  </si>
  <si>
    <t>Cantos</t>
  </si>
  <si>
    <t>Se conserva nuevo rollo rígido de 100 m a $531.600 y flexible de 200 m a $285.600. Resumen y compra enlazados a piezas.</t>
  </si>
  <si>
    <t>Cantos C4:F5; Compras C4:C5</t>
  </si>
  <si>
    <t>Precios y presentaciones de la nueva versión suministrada.</t>
  </si>
  <si>
    <t>Bisagras</t>
  </si>
  <si>
    <t>16 unidades físicas = 8 pares. HBM897-01 a $17.750/par, referencia de consulta; validar peso de puertas y vigencia.</t>
  </si>
  <si>
    <t>Herrajes 2; Compras 9</t>
  </si>
  <si>
    <t>https://madecentro.com/products/bisagra-parche-cierre-lento-clip-on-acero-inoxidable-201-35mm</t>
  </si>
  <si>
    <t>Fórmulas</t>
  </si>
  <si>
    <t>Cada partida tiene fórmula; precio pendiente no equivale a cero. Se agregan gastos faltantes y total incompleto visible.</t>
  </si>
  <si>
    <t>Compras E2:E34</t>
  </si>
  <si>
    <t>Recálculo independiente.</t>
  </si>
  <si>
    <t>Conteos</t>
  </si>
  <si>
    <t>75 piezas de melamina + 7 fondos = 82. Se retiran las 16 partidas IDs 30–45 del B4; se conservan los demás IDs.</t>
  </si>
  <si>
    <t>Despiece B3; Herrajes; Distribución</t>
  </si>
  <si>
    <t>Cantidades del despiece.</t>
  </si>
  <si>
    <t>Pendiente</t>
  </si>
  <si>
    <t>Platero</t>
  </si>
  <si>
    <t>Ficha transcrita HSO566-03G: 680 × 245 para módulo nominal 700 × 300, 7 kg máx., acero 201 pintado. S4 propuesto 715/luz 685: 5 mm de juego total; confirmar fijación con pieza real. 4 taladros Ø10 por pines, marcados en obra; profundidad y cotas no especificadas, excluirlos del mecanizado de fábrica.</t>
  </si>
  <si>
    <t>Herrajes 9; Compras 12</t>
  </si>
  <si>
    <t>Ficha HSO566-03G descrita por usuario el 25/10/2026; original no adjunto en este turno.</t>
  </si>
  <si>
    <t>Espesor mesón</t>
  </si>
  <si>
    <t>Placa de 15 mm confirmada por usuario y ficha de 519014. Se mantiene apoyo en y=885 y cara superior en y=900. Esta confirmación no aprueba recortes, apoyos ni material del suministro.</t>
  </si>
  <si>
    <t>Compras 17</t>
  </si>
  <si>
    <t>https://www.homecenter.com.co/homecenter-co/product/519014/meson-granito-natural-crema-marfil-260-cm-x-62-cm/519014/</t>
  </si>
  <si>
    <t>Patas y terminal</t>
  </si>
  <si>
    <t>Terminal 882 × 595 a 3 mm del piso. Se mantienen 24 patas: cuatro módulos básicos y ocho refuerzos; disponer apoyos bajo extremos del cajonero ancho y cargas de horno/lavaplatos.</t>
  </si>
  <si>
    <t>No cambiar altura sin nivel de obra.</t>
  </si>
  <si>
    <t>Gola y alturas</t>
  </si>
  <si>
    <t>Frentes 676 + holguras 9 + ranuras visibles 100 = caja 785. Mantener sección y mecanizados gola. Superiores: frente 717 sobre cuerpo 700; validar agarre y bisagras.</t>
  </si>
  <si>
    <t>Despiece; Herrajes 4:5</t>
  </si>
  <si>
    <t>Dibujar sección gola y ubicación de frentes.</t>
  </si>
  <si>
    <t>Alineación superior</t>
  </si>
  <si>
    <t>S1 pasa de 320 a 315: x=215–530, alineado con B6. S2/B2 mantienen x=530–1130; S3 845 y S4 715 sin cambios.</t>
  </si>
  <si>
    <t>Despiece S1; Distribución</t>
  </si>
  <si>
    <t>Corrección geométrica: S2/B2 coinciden independientemente del ancho de S1.</t>
  </si>
  <si>
    <t>Equipos y ducto</t>
  </si>
  <si>
    <t>Equipos definidos: combo CA3057; campana Tofu 60, horno H60EEVAL005 (110 V/gas natural), estufa CCR60-F4P-SBF031 (gas natural, 60 × 51). Validar manuales, nicho, ventilación, distancias y recortes antes de fabricar.</t>
  </si>
  <si>
    <t>B2 y S2; Compras 19,24</t>
  </si>
  <si>
    <t>Modelos y precio suministrados por el usuario el 25/10/2026. Manuales de instalación aún pendientes.</t>
  </si>
  <si>
    <t>Canasta y basurero</t>
  </si>
  <si>
    <t>Socoda AS350 submontar: exterior 550 × 430, cubeta 490 × 370 y profundidad 165 según ficha descrita. Plantilla de recorte, anclajes compatibles con placa 15, sifón y canasta HSO228-90R aún deben verificarse. Frente del basurero según su herraje.</t>
  </si>
  <si>
    <t>Compras 18; Herrajes 6:7</t>
  </si>
  <si>
    <t>Exterior, profundidad y montaje: https://www.homecenter.com.co/homecenter-co/product/87730/lavaplatos-de-submontar-1-poceta-55x43-cm-acero-inoxidable-socoda/87730/; abertura 490 × 370: ficha descrita por usuario.</t>
  </si>
  <si>
    <t>Fondos y cargas</t>
  </si>
  <si>
    <t>Validar con fabricante fijación de bases inferiores, resistencia de uniones, deformación bajo carga y posible refuerzo. Confirmar también fijaciones de traseras, colgadores y capacidad del muro. El detalle geométrico figura en Bases inferiores B3.</t>
  </si>
  <si>
    <t>Despiece IDs 21–29; Herrajes 3; Compras 20</t>
  </si>
  <si>
    <t>No hay cálculo de carga ni detalle de muro.</t>
  </si>
  <si>
    <t>Corte definitivo</t>
  </si>
  <si>
    <t>59 partidas y 82 piezas. Bases 693 × 550; paredes 205/125/75; frentes 747. Encaje geométrico comprobado en 4 tableros + 1 fondo; secuencia industrial y continuidad de veta por validar.</t>
  </si>
  <si>
    <t>Despiece; Compras 2:3</t>
  </si>
  <si>
    <t>Cortes teóricos decimales sin redondeo: proveedor debe confirmar su precisión.</t>
  </si>
  <si>
    <t>Terraza</t>
  </si>
  <si>
    <t>RH no es impermeable. Proteger de lluvia/goteo, conservar sellado de piezas estrechas y confirmar exposición del sitio.</t>
  </si>
  <si>
    <t>Cantos fila 9; material RH</t>
  </si>
  <si>
    <t>Descripción de material suministrada por el usuario.</t>
  </si>
  <si>
    <t>Fórmulas de corte</t>
  </si>
  <si>
    <t>Corte teórico (L/M) sin VALUE(): con Excel en español, VALUE("0.45") da error o 45 por la coma decimal. Ahora compara el texto del canto.</t>
  </si>
  <si>
    <t>Despiece L:M</t>
  </si>
  <si>
    <t>Revisión independiente</t>
  </si>
  <si>
    <t>Parcial</t>
  </si>
  <si>
    <t>Riel 550</t>
  </si>
  <si>
    <t>Confirmados por ficha transcrita: HRE550-55N, 550 mm, negro, cierre lento, 30 kg, &gt;25.000 ciclos, descuento total 27 (13,5/lado), riel 12,7 de ancho y 45 de alto, tornillos 4 × 12. Centrado en pared superior de 75 deja 15 mm a cada borde. Pendientes: ancho máximo y carga útil real con peso propio de cajón.</t>
  </si>
  <si>
    <t>Herrajes 3; Compras 8</t>
  </si>
  <si>
    <t>Entrepaño S3</t>
  </si>
  <si>
    <t>S3 de 845 con división central de 15 y dos entrepaños de 397,5; se mantiene apoyo central.</t>
  </si>
  <si>
    <t>Despiece S3; Herrajes 12</t>
  </si>
  <si>
    <t>Regla práctica: aglomerado de 15 mm sin apoyo hasta ~80 cm con carga.</t>
  </si>
  <si>
    <t>Optimización</t>
  </si>
  <si>
    <t>Encaje sin solapes de 75 piezas de 15 mm en 4 láminas y 7 fondos en 1. Formato 2440 × 2150, refilado 10 mm y reserva de sierra 4 mm, orientación E/F fija. No se certifica mínimo de láminas ni secuencia de seccionadora.</t>
  </si>
  <si>
    <t>Formato 2440 × 2150; refilado 10 mm por lado; sierra 4 mm; orientación E/F fija, sin rotación. Encaje geométrico sin solapes; no garantiza secuencia de seccionadora ni continuidad de veta.</t>
  </si>
  <si>
    <t>Aclaración</t>
  </si>
  <si>
    <t>Basurero</t>
  </si>
  <si>
    <t>El frente del basurero no lleva bisagras: se atornilla a los soportes de frente del herraje HSO460.</t>
  </si>
  <si>
    <t>Herrajes 6</t>
  </si>
  <si>
    <t>Mesón: código</t>
  </si>
  <si>
    <t>Se selecciona 519014 de 260 × 62 cm por $1.486.300; reemplaza códigos y precios del mesón anterior de 280.</t>
  </si>
  <si>
    <t>Selección y precio del usuario: código 519014.</t>
  </si>
  <si>
    <t>Lavaplatos: precio</t>
  </si>
  <si>
    <t>Socoda AS350, código 87730: se conserva $209.900 porque el usuario lo aportó expresamente para este modelo.</t>
  </si>
  <si>
    <t>Compras 18</t>
  </si>
  <si>
    <t>Cubiertero: código</t>
  </si>
  <si>
    <t>HSC910-40: 360 × 480 × 50. En interior 663 × 520, a un lado del cajón superior. Confirmar medida real y altura; fijación removible antideslizante, sin divisor fijo.</t>
  </si>
  <si>
    <t>Holgura esquina</t>
  </si>
  <si>
    <t>Mesón 2600 centrado en muro 3000: 200 mm libres a cada extremo. Bajos a 220 y superiores a 310 de esquina derecha. Vuelos conservados 15 izquierda y 20 derecha.</t>
  </si>
  <si>
    <t>Distribución</t>
  </si>
  <si>
    <t>Mesón de 260 cm seleccionado por el usuario; vuelos conservados.</t>
  </si>
  <si>
    <t>Rellenos eliminados</t>
  </si>
  <si>
    <t>Sin B0 ni S0. Dos zócalos de 1275 cubren 2550 bajo B1/B2/B3/B5; el cajonero único ocupa x=1130–1880.</t>
  </si>
  <si>
    <t>Se conserva el ancho útil de cada módulo.</t>
  </si>
  <si>
    <t>HTML coherente</t>
  </si>
  <si>
    <t>Hueco ilustrativo 490 × 370 y pestaña exterior 550 × 430 bajo placa; cubeta 165 de profundidad, fondo interior a 720. B5 con travesaños 870 × 100 de canto, fuera de pestaña. Se mantienen bases inferiores de cajón, S1 alineado y resto de geometría.</t>
  </si>
  <si>
    <t>Cocina Cartagena 3D.html</t>
  </si>
  <si>
    <t>Dimensiones terminadas de este XLSX.</t>
  </si>
  <si>
    <t>Bases inferiores B3</t>
  </si>
  <si>
    <t>Base B3 aplicada inferior 693 × 550 × 15, bajo las cuatro paredes. Paredes antes 220/140/90 pasan a 205/125/75. Envolventes totales conservadas 220/140/90; alturas interiores iguales. Unión por cara inferior con pretaladro a paredes: proveedor define fijaciones, separaciones y refuerzos según carga; no es cálculo estructural.</t>
  </si>
  <si>
    <t>Despiece IDs 21–29</t>
  </si>
  <si>
    <t>Solución de ensamblaje propuesta; validación de uniones y carga por fabricante pendiente.</t>
  </si>
  <si>
    <t>Mesón: recortes y apoyos</t>
  </si>
  <si>
    <t>3D corrige hueco del lavaplatos a referencia 490 × 370, centro x=2330/z=310, franjas frontal y posterior 125. Exterior 550 × 430 con pestaña inferior: no usar como hueco. Corte final según plantilla Socoda y marmolero (radios/reveal/tolerancias). Travesaños B5 se representan de canto; validar listones y soporte mecánico definitivo. Estufa pendiente de plantilla/manual.</t>
  </si>
  <si>
    <t>B2/B5; Compras 21,25</t>
  </si>
  <si>
    <t>Sin aprobación de recortes ni cálculo de cargas; no adoptar 10 mm como radio mínimo universal.</t>
  </si>
  <si>
    <t>Submontaje 15 mm</t>
  </si>
  <si>
    <t>Verificar compatibilidad de anclajes Socoda con placa de 15 mm y soporte mecánico para peso del lavaplatos, agua y uso. Definir sellado/fijación y adhesivo compatible con fabricante; no depender de una recomendación genérica de silicona.</t>
  </si>
  <si>
    <t>Compras 18,23,25</t>
  </si>
  <si>
    <t>Plantilla, kit y manual de instalación del lavaplatos por confirmar.</t>
  </si>
  <si>
    <t>Opcional</t>
  </si>
  <si>
    <t>Borde engrosado</t>
  </si>
  <si>
    <t>Placa 15 mm puede tener faldón o borde armado de apariencia 30 mm, si lo admite el proveedor. No equivale a placa maciza de 30. Mantener cara superior 900; si baja a 870, revisar interferencias con gola, panel del horno y apertura de frentes. Modelo conserva borde simple hasta elegir perfil y sección.</t>
  </si>
  <si>
    <t>Mesón; B2; gola; Compras 21</t>
  </si>
  <si>
    <t>Opción del usuario sin dimensiones de sección ni precio confirmados.</t>
  </si>
  <si>
    <t>Distribución con mesón de 260 cm · holguras de 20 cm</t>
  </si>
  <si>
    <t>Muro (mm)</t>
  </si>
  <si>
    <t>Mesón (mm)</t>
  </si>
  <si>
    <t>Separación mesón-esquina (mm)</t>
  </si>
  <si>
    <t>Inicio mesón desde extremo izquierdo</t>
  </si>
  <si>
    <t>Final mesón desde extremo izquierdo</t>
  </si>
  <si>
    <t>Vuelo mesón sobre costado libre (mm)</t>
  </si>
  <si>
    <t>Elemento</t>
  </si>
  <si>
    <t>Inicio x (mm)</t>
  </si>
  <si>
    <t>Final x (mm)</t>
  </si>
  <si>
    <t>Ancho (mm)</t>
  </si>
  <si>
    <t>Alto (mm)</t>
  </si>
  <si>
    <t>Fondo (mm)</t>
  </si>
  <si>
    <t>Colocación</t>
  </si>
  <si>
    <t>Origen</t>
  </si>
  <si>
    <t>Mesón</t>
  </si>
  <si>
    <t>Placa de 15 mm confirmada: cara inferior 885, superior 900. Recortes, apoyos y perfil del borde por definir con marmolero.</t>
  </si>
  <si>
    <t>Compras, medida nominal</t>
  </si>
  <si>
    <t>B6 · Costado libre</t>
  </si>
  <si>
    <t>Desde y=3 hasta 885: deja 3 mm sobre el piso.</t>
  </si>
  <si>
    <t>Despiece</t>
  </si>
  <si>
    <t>B1 · Basurero</t>
  </si>
  <si>
    <t>Patas a 100 mm; frente a 100–832.</t>
  </si>
  <si>
    <t>B2 · Horno</t>
  </si>
  <si>
    <t>Nicho y ventilación sujetos al manual.</t>
  </si>
  <si>
    <t>B3 · Cajonero único 75</t>
  </si>
  <si>
    <t>B3 750; cajas exteriores 693 × 550. Base aplicada 15 debajo de paredes: alturas 205/125/75, envolventes 220/140/90. Interior 663 × 520; cubiertero lateral 360 × 480.</t>
  </si>
  <si>
    <t>B5 · Lavaplatos</t>
  </si>
  <si>
    <t>B5 900. Travesaños de 870 × 100 de canto: 15 de fondo y 100 de alto. Pestaña exterior del lavaplatos 550 × 430 debajo de placa; abertura 3D 490 × 370. Dos listones 870 × 80 del despiece conservados; posición/anclaje de apoyo por validar.</t>
  </si>
  <si>
    <t>S1 · Alacena 31,5</t>
  </si>
  <si>
    <t>S1 315: x=215–530, alineado con costado B6. Cuerpo 1450–2150; frente 1430–2147. S2/B2 conservan x=530–1130.</t>
  </si>
  <si>
    <t>S2 · Ducto</t>
  </si>
  <si>
    <t>Cuerpo 1800–2150; campana ilustrativa a 1550.</t>
  </si>
  <si>
    <t>S3 · Alacena</t>
  </si>
  <si>
    <t>845 mm; división central, dos entrepaños de 397,5.</t>
  </si>
  <si>
    <t>S4 · Platero</t>
  </si>
  <si>
    <t>S4 715, luz 685; herraje 680 × 245, 5 mm de holgura total, máximo 7 kg. Pines: 4 agujeros Ø10 marcados en obra; sin taladros de fábrica.</t>
  </si>
  <si>
    <t>Libre a la izquierda del mesón (mm)</t>
  </si>
  <si>
    <t>Libre mesón-esquina (mm)</t>
  </si>
  <si>
    <t>Libre bajos-esquina (mm)</t>
  </si>
  <si>
    <t>Libre superiores-esquina (mm)</t>
  </si>
  <si>
    <t>Mesón centrado: 200 mm libres a cada extremo del muro. Bajos terminan en x=2780; superiores en x=2690.</t>
  </si>
  <si>
    <t>Coordenada x desde el extremo izquierdo del muro de 3000 mm. Esquina en x=3000. No se cambian alturas de equipos sin sus manuales.</t>
  </si>
  <si>
    <t>Se retiran los IDs 30–45 del B4; B3 se amplía a 750. Se mantienen los otros IDs para trazabilidad.</t>
  </si>
  <si>
    <t>Bases B3 bajo las paredes, sin aumentar la envolvente vertical. Antes de cortar: validar unión, carga, rieles, espesor de mesón y anclajes del platero.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</si>
</sst>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&quot;$&quot;#,##0;\(&quot;$&quot;#,##0\);&quot;—&quot;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3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9DFD3"/>
      </patternFill>
    </fill>
    <fill>
      <patternFill patternType="solid">
        <fgColor rgb="FFE8DFD4"/>
      </patternFill>
    </fill>
    <fill>
      <patternFill patternType="solid">
        <fgColor rgb="FFFFF5D6"/>
      </patternFill>
    </fill>
    <fill>
      <patternFill patternType="solid">
        <fgColor rgb="FFE8DFD4"/>
      </patternFill>
    </fill>
    <fill>
      <patternFill patternType="solid">
        <fgColor rgb="FFFFF0CC"/>
      </patternFill>
    </fill>
    <fill>
      <patternFill patternType="solid">
        <fgColor rgb="FFE8DFD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1" fillId="2" borderId="0" xfId="0" applyFont="1" applyFill="1"/>
    <xf numFmtId="0" fontId="1" fillId="0" borderId="0" xfId="0" applyFont="1"/>
    <xf numFmtId="0" fontId="0" fillId="0" borderId="0" xfId="0" applyAlignment="1">
      <alignment wrapText="1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2" fontId="3" fillId="4" borderId="0" xfId="0" applyNumberFormat="1" applyFont="1" applyFill="1"/>
    <xf numFmtId="0" fontId="1" fillId="0" borderId="0" xfId="0" applyFont="1" applyAlignment="1">
      <alignment wrapText="1"/>
    </xf>
    <xf numFmtId="165" fontId="0" fillId="0" borderId="0" xfId="0" applyNumberFormat="1"/>
    <xf numFmtId="165" fontId="1" fillId="0" borderId="0" xfId="0" applyNumberFormat="1" applyFont="1"/>
    <xf numFmtId="165" fontId="3" fillId="0" borderId="0" xfId="0" applyNumberFormat="1" applyFont="1"/>
    <xf numFmtId="1" fontId="3" fillId="0" borderId="0" xfId="0" applyNumberFormat="1" applyFont="1"/>
    <xf numFmtId="0" fontId="4" fillId="0" borderId="0" xfId="0" applyFont="1"/>
    <xf numFmtId="165" fontId="4" fillId="0" borderId="0" xfId="0" applyNumberFormat="1" applyFont="1"/>
    <xf numFmtId="0" fontId="3" fillId="0" borderId="0" xfId="0" applyFont="1" applyAlignment="1">
      <alignment wrapText="1"/>
    </xf>
    <xf numFmtId="0" fontId="5" fillId="0" borderId="0" xfId="0" applyFont="1"/>
    <xf numFmtId="0" fontId="4" fillId="3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4" fillId="5" borderId="0" xfId="0" applyFont="1" applyFill="1" applyAlignment="1">
      <alignment wrapText="1"/>
    </xf>
    <xf numFmtId="0" fontId="3" fillId="6" borderId="0" xfId="0" applyFont="1" applyFill="1"/>
    <xf numFmtId="166" fontId="3" fillId="0" borderId="0" xfId="0" applyNumberFormat="1" applyFont="1"/>
    <xf numFmtId="0" fontId="6" fillId="7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2">
    <dxf>
      <fill>
        <patternFill>
          <bgColor rgb="FFFFF0CC"/>
        </patternFill>
      </fill>
    </dxf>
    <dxf>
      <font>
        <color rgb="FF9C5700"/>
      </font>
      <fill>
        <patternFill>
          <bgColor rgb="FFFFF0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"/>
  <sheetViews>
    <sheetView tabSelected="1" topLeftCell="D1" workbookViewId="0">
      <pane ySplit="4" topLeftCell="A5" activePane="bottomLeft" state="frozen"/>
      <selection pane="bottomLeft" activeCell="L5" sqref="L5"/>
    </sheetView>
  </sheetViews>
  <sheetFormatPr baseColWidth="10" defaultColWidth="8.88671875" defaultRowHeight="14.4" x14ac:dyDescent="0.3"/>
  <cols>
    <col min="1" max="1" width="6" customWidth="1"/>
    <col min="2" max="2" width="43" customWidth="1"/>
    <col min="3" max="3" width="52" customWidth="1"/>
    <col min="4" max="4" width="28" customWidth="1"/>
    <col min="5" max="6" width="21" customWidth="1"/>
    <col min="7" max="7" width="7" customWidth="1"/>
    <col min="8" max="11" width="9" customWidth="1"/>
    <col min="12" max="13" width="23" customWidth="1"/>
  </cols>
  <sheetData>
    <row r="1" spans="1:13" ht="17.399999999999999" x14ac:dyDescent="0.35">
      <c r="A1" s="1" t="s">
        <v>0</v>
      </c>
    </row>
    <row r="2" spans="1:13" x14ac:dyDescent="0.3">
      <c r="A2" t="s">
        <v>1</v>
      </c>
    </row>
    <row r="3" spans="1:13" x14ac:dyDescent="0.3">
      <c r="A3" t="s">
        <v>2</v>
      </c>
    </row>
    <row r="4" spans="1:13" ht="31.95" customHeight="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</row>
    <row r="5" spans="1:13" x14ac:dyDescent="0.3">
      <c r="A5" s="3" t="s">
        <v>16</v>
      </c>
      <c r="B5" s="3" t="s">
        <v>17</v>
      </c>
      <c r="C5" s="3" t="s">
        <v>18</v>
      </c>
      <c r="D5" s="3" t="s">
        <v>19</v>
      </c>
      <c r="E5" s="3">
        <v>785</v>
      </c>
      <c r="F5" s="3">
        <v>580</v>
      </c>
      <c r="G5" s="3">
        <v>2</v>
      </c>
      <c r="H5" s="3" t="s">
        <v>20</v>
      </c>
      <c r="I5" s="3" t="s">
        <v>21</v>
      </c>
      <c r="J5" s="3" t="s">
        <v>21</v>
      </c>
      <c r="K5" s="3" t="s">
        <v>21</v>
      </c>
      <c r="L5" s="7">
        <f t="shared" ref="L5:L36" si="0">E5-IF(J5="2",2,IF(J5="0.45",0.45,0))-IF(K5="2",2,IF(K5="0.45",0.45,0))</f>
        <v>784.09999999999991</v>
      </c>
      <c r="M5" s="7">
        <f t="shared" ref="M5:M36" si="1">F5-IF(H5="2",2,IF(H5="0.45",0.45,0))-IF(I5="2",2,IF(I5="0.45",0.45,0))</f>
        <v>577.54999999999995</v>
      </c>
    </row>
    <row r="6" spans="1:13" x14ac:dyDescent="0.3">
      <c r="A6" s="3" t="s">
        <v>22</v>
      </c>
      <c r="B6" s="3" t="s">
        <v>17</v>
      </c>
      <c r="C6" s="3" t="s">
        <v>23</v>
      </c>
      <c r="D6" s="3" t="s">
        <v>19</v>
      </c>
      <c r="E6" s="3">
        <v>270</v>
      </c>
      <c r="F6" s="3">
        <v>580</v>
      </c>
      <c r="G6" s="3">
        <v>1</v>
      </c>
      <c r="H6" s="3" t="s">
        <v>20</v>
      </c>
      <c r="I6" s="3" t="s">
        <v>21</v>
      </c>
      <c r="J6" s="3" t="s">
        <v>21</v>
      </c>
      <c r="K6" s="3" t="s">
        <v>21</v>
      </c>
      <c r="L6" s="7">
        <f t="shared" si="0"/>
        <v>269.10000000000002</v>
      </c>
      <c r="M6" s="7">
        <f t="shared" si="1"/>
        <v>577.54999999999995</v>
      </c>
    </row>
    <row r="7" spans="1:13" x14ac:dyDescent="0.3">
      <c r="A7" s="3" t="s">
        <v>24</v>
      </c>
      <c r="B7" s="3" t="s">
        <v>17</v>
      </c>
      <c r="C7" s="3" t="s">
        <v>25</v>
      </c>
      <c r="D7" s="3" t="s">
        <v>19</v>
      </c>
      <c r="E7" s="3">
        <v>270</v>
      </c>
      <c r="F7" s="3">
        <v>100</v>
      </c>
      <c r="G7" s="3">
        <v>2</v>
      </c>
      <c r="H7" s="3" t="s">
        <v>21</v>
      </c>
      <c r="I7" s="3" t="s">
        <v>21</v>
      </c>
      <c r="J7" s="3" t="s">
        <v>21</v>
      </c>
      <c r="K7" s="3" t="s">
        <v>21</v>
      </c>
      <c r="L7" s="7">
        <f t="shared" si="0"/>
        <v>269.10000000000002</v>
      </c>
      <c r="M7" s="7">
        <f t="shared" si="1"/>
        <v>99.1</v>
      </c>
    </row>
    <row r="8" spans="1:13" x14ac:dyDescent="0.3">
      <c r="A8" s="3" t="s">
        <v>26</v>
      </c>
      <c r="B8" s="3" t="s">
        <v>17</v>
      </c>
      <c r="C8" s="3" t="s">
        <v>27</v>
      </c>
      <c r="D8" s="3" t="s">
        <v>28</v>
      </c>
      <c r="E8" s="3">
        <v>296</v>
      </c>
      <c r="F8" s="3">
        <v>781</v>
      </c>
      <c r="G8" s="3">
        <v>1</v>
      </c>
      <c r="H8" s="3" t="s">
        <v>29</v>
      </c>
      <c r="I8" s="3" t="s">
        <v>29</v>
      </c>
      <c r="J8" s="3" t="s">
        <v>29</v>
      </c>
      <c r="K8" s="3" t="s">
        <v>29</v>
      </c>
      <c r="L8" s="7">
        <f t="shared" si="0"/>
        <v>296</v>
      </c>
      <c r="M8" s="7">
        <f t="shared" si="1"/>
        <v>781</v>
      </c>
    </row>
    <row r="9" spans="1:13" x14ac:dyDescent="0.3">
      <c r="A9" s="3" t="s">
        <v>30</v>
      </c>
      <c r="B9" s="3" t="s">
        <v>17</v>
      </c>
      <c r="C9" s="3" t="s">
        <v>31</v>
      </c>
      <c r="D9" s="3" t="s">
        <v>19</v>
      </c>
      <c r="E9" s="3">
        <v>732</v>
      </c>
      <c r="F9" s="3">
        <v>297</v>
      </c>
      <c r="G9" s="3">
        <v>1</v>
      </c>
      <c r="H9" s="3" t="s">
        <v>20</v>
      </c>
      <c r="I9" s="3" t="s">
        <v>20</v>
      </c>
      <c r="J9" s="3" t="s">
        <v>20</v>
      </c>
      <c r="K9" s="3" t="s">
        <v>20</v>
      </c>
      <c r="L9" s="7">
        <f t="shared" si="0"/>
        <v>728</v>
      </c>
      <c r="M9" s="7">
        <f t="shared" si="1"/>
        <v>293</v>
      </c>
    </row>
    <row r="10" spans="1:13" x14ac:dyDescent="0.3">
      <c r="A10" s="3" t="s">
        <v>32</v>
      </c>
      <c r="B10" s="3" t="s">
        <v>33</v>
      </c>
      <c r="C10" s="3" t="s">
        <v>18</v>
      </c>
      <c r="D10" s="3" t="s">
        <v>19</v>
      </c>
      <c r="E10" s="3">
        <v>785</v>
      </c>
      <c r="F10" s="3">
        <v>580</v>
      </c>
      <c r="G10" s="3">
        <v>2</v>
      </c>
      <c r="H10" s="3" t="s">
        <v>20</v>
      </c>
      <c r="I10" s="3" t="s">
        <v>21</v>
      </c>
      <c r="J10" s="3" t="s">
        <v>21</v>
      </c>
      <c r="K10" s="3" t="s">
        <v>21</v>
      </c>
      <c r="L10" s="7">
        <f t="shared" si="0"/>
        <v>784.09999999999991</v>
      </c>
      <c r="M10" s="7">
        <f t="shared" si="1"/>
        <v>577.54999999999995</v>
      </c>
    </row>
    <row r="11" spans="1:13" x14ac:dyDescent="0.3">
      <c r="A11" s="3" t="s">
        <v>34</v>
      </c>
      <c r="B11" s="3" t="s">
        <v>33</v>
      </c>
      <c r="C11" s="3" t="s">
        <v>35</v>
      </c>
      <c r="D11" s="3" t="s">
        <v>19</v>
      </c>
      <c r="E11" s="3">
        <v>570</v>
      </c>
      <c r="F11" s="3">
        <v>580</v>
      </c>
      <c r="G11" s="3">
        <v>1</v>
      </c>
      <c r="H11" s="3" t="s">
        <v>20</v>
      </c>
      <c r="I11" s="3" t="s">
        <v>21</v>
      </c>
      <c r="J11" s="3" t="s">
        <v>21</v>
      </c>
      <c r="K11" s="3" t="s">
        <v>21</v>
      </c>
      <c r="L11" s="7">
        <f t="shared" si="0"/>
        <v>569.09999999999991</v>
      </c>
      <c r="M11" s="7">
        <f t="shared" si="1"/>
        <v>577.54999999999995</v>
      </c>
    </row>
    <row r="12" spans="1:13" x14ac:dyDescent="0.3">
      <c r="A12" s="3" t="s">
        <v>36</v>
      </c>
      <c r="B12" s="3" t="s">
        <v>33</v>
      </c>
      <c r="C12" s="3" t="s">
        <v>37</v>
      </c>
      <c r="D12" s="3" t="s">
        <v>19</v>
      </c>
      <c r="E12" s="3">
        <v>570</v>
      </c>
      <c r="F12" s="3">
        <v>500</v>
      </c>
      <c r="G12" s="3">
        <v>1</v>
      </c>
      <c r="H12" s="3" t="s">
        <v>20</v>
      </c>
      <c r="I12" s="3" t="s">
        <v>21</v>
      </c>
      <c r="J12" s="3" t="s">
        <v>21</v>
      </c>
      <c r="K12" s="3" t="s">
        <v>21</v>
      </c>
      <c r="L12" s="7">
        <f t="shared" si="0"/>
        <v>569.09999999999991</v>
      </c>
      <c r="M12" s="7">
        <f t="shared" si="1"/>
        <v>497.55</v>
      </c>
    </row>
    <row r="13" spans="1:13" x14ac:dyDescent="0.3">
      <c r="A13" s="3" t="s">
        <v>38</v>
      </c>
      <c r="B13" s="3" t="s">
        <v>33</v>
      </c>
      <c r="C13" s="3" t="s">
        <v>39</v>
      </c>
      <c r="D13" s="3" t="s">
        <v>19</v>
      </c>
      <c r="E13" s="3">
        <v>570</v>
      </c>
      <c r="F13" s="3">
        <v>100</v>
      </c>
      <c r="G13" s="3">
        <v>1</v>
      </c>
      <c r="H13" s="3" t="s">
        <v>21</v>
      </c>
      <c r="I13" s="3" t="s">
        <v>21</v>
      </c>
      <c r="J13" s="3" t="s">
        <v>21</v>
      </c>
      <c r="K13" s="3" t="s">
        <v>21</v>
      </c>
      <c r="L13" s="7">
        <f t="shared" si="0"/>
        <v>569.09999999999991</v>
      </c>
      <c r="M13" s="7">
        <f t="shared" si="1"/>
        <v>99.1</v>
      </c>
    </row>
    <row r="14" spans="1:13" x14ac:dyDescent="0.3">
      <c r="A14" s="3" t="s">
        <v>40</v>
      </c>
      <c r="B14" s="3" t="s">
        <v>33</v>
      </c>
      <c r="C14" s="3" t="s">
        <v>41</v>
      </c>
      <c r="D14" s="3" t="s">
        <v>19</v>
      </c>
      <c r="E14" s="3">
        <v>570</v>
      </c>
      <c r="F14" s="3">
        <v>80</v>
      </c>
      <c r="G14" s="3">
        <v>1</v>
      </c>
      <c r="H14" s="3" t="s">
        <v>21</v>
      </c>
      <c r="I14" s="3" t="s">
        <v>21</v>
      </c>
      <c r="J14" s="3" t="s">
        <v>21</v>
      </c>
      <c r="K14" s="3" t="s">
        <v>21</v>
      </c>
      <c r="L14" s="7">
        <f t="shared" si="0"/>
        <v>569.09999999999991</v>
      </c>
      <c r="M14" s="7">
        <f t="shared" si="1"/>
        <v>79.099999999999994</v>
      </c>
    </row>
    <row r="15" spans="1:13" x14ac:dyDescent="0.3">
      <c r="A15" s="3" t="s">
        <v>42</v>
      </c>
      <c r="B15" s="3" t="s">
        <v>33</v>
      </c>
      <c r="C15" s="3" t="s">
        <v>43</v>
      </c>
      <c r="D15" s="3" t="s">
        <v>19</v>
      </c>
      <c r="E15" s="3">
        <v>145</v>
      </c>
      <c r="F15" s="3">
        <v>597</v>
      </c>
      <c r="G15" s="3">
        <v>1</v>
      </c>
      <c r="H15" s="3" t="s">
        <v>20</v>
      </c>
      <c r="I15" s="3" t="s">
        <v>20</v>
      </c>
      <c r="J15" s="3" t="s">
        <v>20</v>
      </c>
      <c r="K15" s="3" t="s">
        <v>20</v>
      </c>
      <c r="L15" s="7">
        <f t="shared" si="0"/>
        <v>141</v>
      </c>
      <c r="M15" s="7">
        <f t="shared" si="1"/>
        <v>593</v>
      </c>
    </row>
    <row r="16" spans="1:13" x14ac:dyDescent="0.3">
      <c r="A16" s="3" t="s">
        <v>44</v>
      </c>
      <c r="B16" s="3" t="s">
        <v>45</v>
      </c>
      <c r="C16" s="3" t="s">
        <v>18</v>
      </c>
      <c r="D16" s="3" t="s">
        <v>19</v>
      </c>
      <c r="E16" s="3">
        <v>785</v>
      </c>
      <c r="F16" s="3">
        <v>580</v>
      </c>
      <c r="G16" s="3">
        <v>2</v>
      </c>
      <c r="H16" s="3" t="s">
        <v>20</v>
      </c>
      <c r="I16" s="3" t="s">
        <v>21</v>
      </c>
      <c r="J16" s="3" t="s">
        <v>21</v>
      </c>
      <c r="K16" s="3" t="s">
        <v>21</v>
      </c>
      <c r="L16" s="7">
        <f t="shared" si="0"/>
        <v>784.09999999999991</v>
      </c>
      <c r="M16" s="7">
        <f t="shared" si="1"/>
        <v>577.54999999999995</v>
      </c>
    </row>
    <row r="17" spans="1:13" x14ac:dyDescent="0.3">
      <c r="A17" s="3" t="s">
        <v>46</v>
      </c>
      <c r="B17" s="3" t="s">
        <v>45</v>
      </c>
      <c r="C17" s="3" t="s">
        <v>23</v>
      </c>
      <c r="D17" s="3" t="s">
        <v>19</v>
      </c>
      <c r="E17" s="3">
        <v>720</v>
      </c>
      <c r="F17" s="3">
        <v>580</v>
      </c>
      <c r="G17" s="3">
        <v>1</v>
      </c>
      <c r="H17" s="3" t="s">
        <v>20</v>
      </c>
      <c r="I17" s="3" t="s">
        <v>21</v>
      </c>
      <c r="J17" s="3" t="s">
        <v>21</v>
      </c>
      <c r="K17" s="3" t="s">
        <v>21</v>
      </c>
      <c r="L17" s="7">
        <f t="shared" si="0"/>
        <v>719.09999999999991</v>
      </c>
      <c r="M17" s="7">
        <f t="shared" si="1"/>
        <v>577.54999999999995</v>
      </c>
    </row>
    <row r="18" spans="1:13" x14ac:dyDescent="0.3">
      <c r="A18" s="3" t="s">
        <v>47</v>
      </c>
      <c r="B18" s="3" t="s">
        <v>45</v>
      </c>
      <c r="C18" s="3" t="s">
        <v>25</v>
      </c>
      <c r="D18" s="3" t="s">
        <v>19</v>
      </c>
      <c r="E18" s="3">
        <v>720</v>
      </c>
      <c r="F18" s="3">
        <v>100</v>
      </c>
      <c r="G18" s="3">
        <v>2</v>
      </c>
      <c r="H18" s="3" t="s">
        <v>21</v>
      </c>
      <c r="I18" s="3" t="s">
        <v>21</v>
      </c>
      <c r="J18" s="3" t="s">
        <v>21</v>
      </c>
      <c r="K18" s="3" t="s">
        <v>21</v>
      </c>
      <c r="L18" s="7">
        <f t="shared" si="0"/>
        <v>719.09999999999991</v>
      </c>
      <c r="M18" s="7">
        <f t="shared" si="1"/>
        <v>99.1</v>
      </c>
    </row>
    <row r="19" spans="1:13" x14ac:dyDescent="0.3">
      <c r="A19" s="3" t="s">
        <v>48</v>
      </c>
      <c r="B19" s="3" t="s">
        <v>45</v>
      </c>
      <c r="C19" s="3" t="s">
        <v>27</v>
      </c>
      <c r="D19" s="3" t="s">
        <v>28</v>
      </c>
      <c r="E19" s="3">
        <v>746</v>
      </c>
      <c r="F19" s="3">
        <v>781</v>
      </c>
      <c r="G19" s="3">
        <v>1</v>
      </c>
      <c r="H19" s="3" t="s">
        <v>29</v>
      </c>
      <c r="I19" s="3" t="s">
        <v>29</v>
      </c>
      <c r="J19" s="3" t="s">
        <v>29</v>
      </c>
      <c r="K19" s="3" t="s">
        <v>29</v>
      </c>
      <c r="L19" s="7">
        <f t="shared" si="0"/>
        <v>746</v>
      </c>
      <c r="M19" s="7">
        <f t="shared" si="1"/>
        <v>781</v>
      </c>
    </row>
    <row r="20" spans="1:13" x14ac:dyDescent="0.3">
      <c r="A20" s="3" t="s">
        <v>49</v>
      </c>
      <c r="B20" s="3" t="s">
        <v>45</v>
      </c>
      <c r="C20" s="3" t="s">
        <v>50</v>
      </c>
      <c r="D20" s="3" t="s">
        <v>19</v>
      </c>
      <c r="E20" s="3">
        <v>167</v>
      </c>
      <c r="F20" s="3">
        <v>747</v>
      </c>
      <c r="G20" s="3">
        <v>1</v>
      </c>
      <c r="H20" s="3" t="s">
        <v>20</v>
      </c>
      <c r="I20" s="3" t="s">
        <v>20</v>
      </c>
      <c r="J20" s="3" t="s">
        <v>20</v>
      </c>
      <c r="K20" s="3" t="s">
        <v>20</v>
      </c>
      <c r="L20" s="7">
        <f t="shared" si="0"/>
        <v>163</v>
      </c>
      <c r="M20" s="7">
        <f t="shared" si="1"/>
        <v>743</v>
      </c>
    </row>
    <row r="21" spans="1:13" x14ac:dyDescent="0.3">
      <c r="A21" s="3" t="s">
        <v>51</v>
      </c>
      <c r="B21" s="3" t="s">
        <v>45</v>
      </c>
      <c r="C21" s="3" t="s">
        <v>52</v>
      </c>
      <c r="D21" s="3" t="s">
        <v>19</v>
      </c>
      <c r="E21" s="3">
        <v>207</v>
      </c>
      <c r="F21" s="3">
        <v>747</v>
      </c>
      <c r="G21" s="3">
        <v>1</v>
      </c>
      <c r="H21" s="3" t="s">
        <v>20</v>
      </c>
      <c r="I21" s="3" t="s">
        <v>20</v>
      </c>
      <c r="J21" s="3" t="s">
        <v>20</v>
      </c>
      <c r="K21" s="3" t="s">
        <v>20</v>
      </c>
      <c r="L21" s="7">
        <f t="shared" si="0"/>
        <v>203</v>
      </c>
      <c r="M21" s="7">
        <f t="shared" si="1"/>
        <v>743</v>
      </c>
    </row>
    <row r="22" spans="1:13" x14ac:dyDescent="0.3">
      <c r="A22" s="3" t="s">
        <v>53</v>
      </c>
      <c r="B22" s="3" t="s">
        <v>45</v>
      </c>
      <c r="C22" s="3" t="s">
        <v>54</v>
      </c>
      <c r="D22" s="3" t="s">
        <v>19</v>
      </c>
      <c r="E22" s="3">
        <v>302</v>
      </c>
      <c r="F22" s="3">
        <v>747</v>
      </c>
      <c r="G22" s="3">
        <v>1</v>
      </c>
      <c r="H22" s="3" t="s">
        <v>20</v>
      </c>
      <c r="I22" s="3" t="s">
        <v>20</v>
      </c>
      <c r="J22" s="3" t="s">
        <v>20</v>
      </c>
      <c r="K22" s="3" t="s">
        <v>20</v>
      </c>
      <c r="L22" s="7">
        <f t="shared" si="0"/>
        <v>298</v>
      </c>
      <c r="M22" s="7">
        <f t="shared" si="1"/>
        <v>743</v>
      </c>
    </row>
    <row r="23" spans="1:13" x14ac:dyDescent="0.3">
      <c r="A23" s="3" t="s">
        <v>55</v>
      </c>
      <c r="B23" s="3" t="s">
        <v>45</v>
      </c>
      <c r="C23" s="3" t="s">
        <v>56</v>
      </c>
      <c r="D23" s="3" t="s">
        <v>19</v>
      </c>
      <c r="E23" s="3">
        <v>550</v>
      </c>
      <c r="F23" s="3">
        <v>205</v>
      </c>
      <c r="G23" s="3">
        <v>2</v>
      </c>
      <c r="H23" s="3" t="s">
        <v>21</v>
      </c>
      <c r="I23" s="3" t="s">
        <v>21</v>
      </c>
      <c r="J23" s="3" t="s">
        <v>21</v>
      </c>
      <c r="K23" s="3" t="s">
        <v>21</v>
      </c>
      <c r="L23" s="7">
        <f t="shared" si="0"/>
        <v>549.09999999999991</v>
      </c>
      <c r="M23" s="7">
        <f t="shared" si="1"/>
        <v>204.10000000000002</v>
      </c>
    </row>
    <row r="24" spans="1:13" x14ac:dyDescent="0.3">
      <c r="A24" s="3" t="s">
        <v>57</v>
      </c>
      <c r="B24" s="3" t="s">
        <v>45</v>
      </c>
      <c r="C24" s="3" t="s">
        <v>58</v>
      </c>
      <c r="D24" s="3" t="s">
        <v>19</v>
      </c>
      <c r="E24" s="3">
        <v>663</v>
      </c>
      <c r="F24" s="3">
        <v>205</v>
      </c>
      <c r="G24" s="3">
        <v>2</v>
      </c>
      <c r="H24" s="3" t="s">
        <v>21</v>
      </c>
      <c r="I24" s="3" t="s">
        <v>21</v>
      </c>
      <c r="J24" s="3" t="s">
        <v>21</v>
      </c>
      <c r="K24" s="3" t="s">
        <v>21</v>
      </c>
      <c r="L24" s="7">
        <f t="shared" si="0"/>
        <v>662.09999999999991</v>
      </c>
      <c r="M24" s="7">
        <f t="shared" si="1"/>
        <v>204.10000000000002</v>
      </c>
    </row>
    <row r="25" spans="1:13" x14ac:dyDescent="0.3">
      <c r="A25" s="3" t="s">
        <v>59</v>
      </c>
      <c r="B25" s="3" t="s">
        <v>45</v>
      </c>
      <c r="C25" s="3" t="s">
        <v>60</v>
      </c>
      <c r="D25" s="3" t="s">
        <v>19</v>
      </c>
      <c r="E25" s="3">
        <v>693</v>
      </c>
      <c r="F25" s="3">
        <v>550</v>
      </c>
      <c r="G25" s="3">
        <v>1</v>
      </c>
      <c r="H25" s="3" t="s">
        <v>21</v>
      </c>
      <c r="I25" s="3" t="s">
        <v>21</v>
      </c>
      <c r="J25" s="3" t="s">
        <v>21</v>
      </c>
      <c r="K25" s="3" t="s">
        <v>21</v>
      </c>
      <c r="L25" s="7">
        <f t="shared" si="0"/>
        <v>692.09999999999991</v>
      </c>
      <c r="M25" s="7">
        <f t="shared" si="1"/>
        <v>549.09999999999991</v>
      </c>
    </row>
    <row r="26" spans="1:13" x14ac:dyDescent="0.3">
      <c r="A26" s="3" t="s">
        <v>61</v>
      </c>
      <c r="B26" s="3" t="s">
        <v>45</v>
      </c>
      <c r="C26" s="3" t="s">
        <v>62</v>
      </c>
      <c r="D26" s="3" t="s">
        <v>19</v>
      </c>
      <c r="E26" s="3">
        <v>550</v>
      </c>
      <c r="F26" s="3">
        <v>125</v>
      </c>
      <c r="G26" s="3">
        <v>2</v>
      </c>
      <c r="H26" s="3" t="s">
        <v>21</v>
      </c>
      <c r="I26" s="3" t="s">
        <v>21</v>
      </c>
      <c r="J26" s="3" t="s">
        <v>21</v>
      </c>
      <c r="K26" s="3" t="s">
        <v>21</v>
      </c>
      <c r="L26" s="7">
        <f t="shared" si="0"/>
        <v>549.09999999999991</v>
      </c>
      <c r="M26" s="7">
        <f t="shared" si="1"/>
        <v>124.1</v>
      </c>
    </row>
    <row r="27" spans="1:13" x14ac:dyDescent="0.3">
      <c r="A27" s="3" t="s">
        <v>63</v>
      </c>
      <c r="B27" s="3" t="s">
        <v>45</v>
      </c>
      <c r="C27" s="3" t="s">
        <v>64</v>
      </c>
      <c r="D27" s="3" t="s">
        <v>19</v>
      </c>
      <c r="E27" s="3">
        <v>663</v>
      </c>
      <c r="F27" s="3">
        <v>125</v>
      </c>
      <c r="G27" s="3">
        <v>2</v>
      </c>
      <c r="H27" s="3" t="s">
        <v>21</v>
      </c>
      <c r="I27" s="3" t="s">
        <v>21</v>
      </c>
      <c r="J27" s="3" t="s">
        <v>21</v>
      </c>
      <c r="K27" s="3" t="s">
        <v>21</v>
      </c>
      <c r="L27" s="7">
        <f t="shared" si="0"/>
        <v>662.09999999999991</v>
      </c>
      <c r="M27" s="7">
        <f t="shared" si="1"/>
        <v>124.1</v>
      </c>
    </row>
    <row r="28" spans="1:13" x14ac:dyDescent="0.3">
      <c r="A28" s="3" t="s">
        <v>65</v>
      </c>
      <c r="B28" s="3" t="s">
        <v>45</v>
      </c>
      <c r="C28" s="3" t="s">
        <v>66</v>
      </c>
      <c r="D28" s="3" t="s">
        <v>19</v>
      </c>
      <c r="E28" s="3">
        <v>693</v>
      </c>
      <c r="F28" s="3">
        <v>550</v>
      </c>
      <c r="G28" s="3">
        <v>1</v>
      </c>
      <c r="H28" s="3" t="s">
        <v>21</v>
      </c>
      <c r="I28" s="3" t="s">
        <v>21</v>
      </c>
      <c r="J28" s="3" t="s">
        <v>21</v>
      </c>
      <c r="K28" s="3" t="s">
        <v>21</v>
      </c>
      <c r="L28" s="7">
        <f t="shared" si="0"/>
        <v>692.09999999999991</v>
      </c>
      <c r="M28" s="7">
        <f t="shared" si="1"/>
        <v>549.09999999999991</v>
      </c>
    </row>
    <row r="29" spans="1:13" x14ac:dyDescent="0.3">
      <c r="A29" s="3" t="s">
        <v>67</v>
      </c>
      <c r="B29" s="3" t="s">
        <v>45</v>
      </c>
      <c r="C29" s="3" t="s">
        <v>68</v>
      </c>
      <c r="D29" s="3" t="s">
        <v>19</v>
      </c>
      <c r="E29" s="3">
        <v>550</v>
      </c>
      <c r="F29" s="3">
        <v>75</v>
      </c>
      <c r="G29" s="3">
        <v>2</v>
      </c>
      <c r="H29" s="3" t="s">
        <v>21</v>
      </c>
      <c r="I29" s="3" t="s">
        <v>21</v>
      </c>
      <c r="J29" s="3" t="s">
        <v>21</v>
      </c>
      <c r="K29" s="3" t="s">
        <v>21</v>
      </c>
      <c r="L29" s="7">
        <f t="shared" si="0"/>
        <v>549.09999999999991</v>
      </c>
      <c r="M29" s="7">
        <f t="shared" si="1"/>
        <v>74.099999999999994</v>
      </c>
    </row>
    <row r="30" spans="1:13" x14ac:dyDescent="0.3">
      <c r="A30" s="3" t="s">
        <v>69</v>
      </c>
      <c r="B30" s="3" t="s">
        <v>45</v>
      </c>
      <c r="C30" s="3" t="s">
        <v>70</v>
      </c>
      <c r="D30" s="3" t="s">
        <v>19</v>
      </c>
      <c r="E30" s="3">
        <v>663</v>
      </c>
      <c r="F30" s="3">
        <v>75</v>
      </c>
      <c r="G30" s="3">
        <v>2</v>
      </c>
      <c r="H30" s="3" t="s">
        <v>21</v>
      </c>
      <c r="I30" s="3" t="s">
        <v>21</v>
      </c>
      <c r="J30" s="3" t="s">
        <v>21</v>
      </c>
      <c r="K30" s="3" t="s">
        <v>21</v>
      </c>
      <c r="L30" s="7">
        <f t="shared" si="0"/>
        <v>662.09999999999991</v>
      </c>
      <c r="M30" s="7">
        <f t="shared" si="1"/>
        <v>74.099999999999994</v>
      </c>
    </row>
    <row r="31" spans="1:13" x14ac:dyDescent="0.3">
      <c r="A31" s="3" t="s">
        <v>71</v>
      </c>
      <c r="B31" s="3" t="s">
        <v>45</v>
      </c>
      <c r="C31" s="3" t="s">
        <v>72</v>
      </c>
      <c r="D31" s="3" t="s">
        <v>19</v>
      </c>
      <c r="E31" s="3">
        <v>693</v>
      </c>
      <c r="F31" s="3">
        <v>550</v>
      </c>
      <c r="G31" s="3">
        <v>1</v>
      </c>
      <c r="H31" s="3" t="s">
        <v>21</v>
      </c>
      <c r="I31" s="3" t="s">
        <v>21</v>
      </c>
      <c r="J31" s="3" t="s">
        <v>21</v>
      </c>
      <c r="K31" s="3" t="s">
        <v>21</v>
      </c>
      <c r="L31" s="7">
        <f t="shared" si="0"/>
        <v>692.09999999999991</v>
      </c>
      <c r="M31" s="7">
        <f t="shared" si="1"/>
        <v>549.09999999999991</v>
      </c>
    </row>
    <row r="32" spans="1:13" x14ac:dyDescent="0.3">
      <c r="A32" s="3" t="s">
        <v>73</v>
      </c>
      <c r="B32" s="3" t="s">
        <v>74</v>
      </c>
      <c r="C32" s="3" t="s">
        <v>18</v>
      </c>
      <c r="D32" s="3" t="s">
        <v>19</v>
      </c>
      <c r="E32" s="3">
        <v>785</v>
      </c>
      <c r="F32" s="3">
        <v>580</v>
      </c>
      <c r="G32" s="3">
        <v>2</v>
      </c>
      <c r="H32" s="3" t="s">
        <v>20</v>
      </c>
      <c r="I32" s="3" t="s">
        <v>21</v>
      </c>
      <c r="J32" s="3" t="s">
        <v>21</v>
      </c>
      <c r="K32" s="3" t="s">
        <v>21</v>
      </c>
      <c r="L32" s="7">
        <f t="shared" si="0"/>
        <v>784.09999999999991</v>
      </c>
      <c r="M32" s="7">
        <f t="shared" si="1"/>
        <v>577.54999999999995</v>
      </c>
    </row>
    <row r="33" spans="1:13" x14ac:dyDescent="0.3">
      <c r="A33" s="3" t="s">
        <v>75</v>
      </c>
      <c r="B33" s="3" t="s">
        <v>74</v>
      </c>
      <c r="C33" s="3" t="s">
        <v>23</v>
      </c>
      <c r="D33" s="3" t="s">
        <v>19</v>
      </c>
      <c r="E33" s="3">
        <v>870</v>
      </c>
      <c r="F33" s="3">
        <v>580</v>
      </c>
      <c r="G33" s="3">
        <v>1</v>
      </c>
      <c r="H33" s="3" t="s">
        <v>20</v>
      </c>
      <c r="I33" s="3" t="s">
        <v>21</v>
      </c>
      <c r="J33" s="3" t="s">
        <v>21</v>
      </c>
      <c r="K33" s="3" t="s">
        <v>21</v>
      </c>
      <c r="L33" s="7">
        <f t="shared" si="0"/>
        <v>869.09999999999991</v>
      </c>
      <c r="M33" s="7">
        <f t="shared" si="1"/>
        <v>577.54999999999995</v>
      </c>
    </row>
    <row r="34" spans="1:13" x14ac:dyDescent="0.3">
      <c r="A34" s="3" t="s">
        <v>76</v>
      </c>
      <c r="B34" s="3" t="s">
        <v>74</v>
      </c>
      <c r="C34" s="3" t="s">
        <v>77</v>
      </c>
      <c r="D34" s="3" t="s">
        <v>19</v>
      </c>
      <c r="E34" s="3">
        <v>870</v>
      </c>
      <c r="F34" s="3">
        <v>100</v>
      </c>
      <c r="G34" s="3">
        <v>2</v>
      </c>
      <c r="H34" s="3" t="s">
        <v>21</v>
      </c>
      <c r="I34" s="3" t="s">
        <v>21</v>
      </c>
      <c r="J34" s="3" t="s">
        <v>21</v>
      </c>
      <c r="K34" s="3" t="s">
        <v>21</v>
      </c>
      <c r="L34" s="7">
        <f t="shared" si="0"/>
        <v>869.09999999999991</v>
      </c>
      <c r="M34" s="7">
        <f t="shared" si="1"/>
        <v>99.1</v>
      </c>
    </row>
    <row r="35" spans="1:13" x14ac:dyDescent="0.3">
      <c r="A35" s="3" t="s">
        <v>78</v>
      </c>
      <c r="B35" s="3" t="s">
        <v>74</v>
      </c>
      <c r="C35" s="3" t="s">
        <v>27</v>
      </c>
      <c r="D35" s="3" t="s">
        <v>28</v>
      </c>
      <c r="E35" s="3">
        <v>896</v>
      </c>
      <c r="F35" s="3">
        <v>781</v>
      </c>
      <c r="G35" s="3">
        <v>1</v>
      </c>
      <c r="H35" s="3" t="s">
        <v>29</v>
      </c>
      <c r="I35" s="3" t="s">
        <v>29</v>
      </c>
      <c r="J35" s="3" t="s">
        <v>29</v>
      </c>
      <c r="K35" s="3" t="s">
        <v>29</v>
      </c>
      <c r="L35" s="7">
        <f t="shared" si="0"/>
        <v>896</v>
      </c>
      <c r="M35" s="7">
        <f t="shared" si="1"/>
        <v>781</v>
      </c>
    </row>
    <row r="36" spans="1:13" x14ac:dyDescent="0.3">
      <c r="A36" s="3" t="s">
        <v>79</v>
      </c>
      <c r="B36" s="3" t="s">
        <v>74</v>
      </c>
      <c r="C36" s="3" t="s">
        <v>80</v>
      </c>
      <c r="D36" s="3" t="s">
        <v>19</v>
      </c>
      <c r="E36" s="3">
        <v>870</v>
      </c>
      <c r="F36" s="3">
        <v>80</v>
      </c>
      <c r="G36" s="3">
        <v>2</v>
      </c>
      <c r="H36" s="3" t="s">
        <v>21</v>
      </c>
      <c r="I36" s="3" t="s">
        <v>21</v>
      </c>
      <c r="J36" s="3" t="s">
        <v>21</v>
      </c>
      <c r="K36" s="3" t="s">
        <v>21</v>
      </c>
      <c r="L36" s="7">
        <f t="shared" si="0"/>
        <v>869.09999999999991</v>
      </c>
      <c r="M36" s="7">
        <f t="shared" si="1"/>
        <v>79.099999999999994</v>
      </c>
    </row>
    <row r="37" spans="1:13" x14ac:dyDescent="0.3">
      <c r="A37" s="3" t="s">
        <v>81</v>
      </c>
      <c r="B37" s="3" t="s">
        <v>74</v>
      </c>
      <c r="C37" s="3" t="s">
        <v>82</v>
      </c>
      <c r="D37" s="3" t="s">
        <v>19</v>
      </c>
      <c r="E37" s="3">
        <v>732</v>
      </c>
      <c r="F37" s="3">
        <v>447</v>
      </c>
      <c r="G37" s="3">
        <v>2</v>
      </c>
      <c r="H37" s="3" t="s">
        <v>20</v>
      </c>
      <c r="I37" s="3" t="s">
        <v>20</v>
      </c>
      <c r="J37" s="3" t="s">
        <v>20</v>
      </c>
      <c r="K37" s="3" t="s">
        <v>20</v>
      </c>
      <c r="L37" s="7">
        <f t="shared" ref="L37:L68" si="2">E37-IF(J37="2",2,IF(J37="0.45",0.45,0))-IF(K37="2",2,IF(K37="0.45",0.45,0))</f>
        <v>728</v>
      </c>
      <c r="M37" s="7">
        <f t="shared" ref="M37:M63" si="3">F37-IF(H37="2",2,IF(H37="0.45",0.45,0))-IF(I37="2",2,IF(I37="0.45",0.45,0))</f>
        <v>443</v>
      </c>
    </row>
    <row r="38" spans="1:13" x14ac:dyDescent="0.3">
      <c r="A38" s="3" t="s">
        <v>83</v>
      </c>
      <c r="B38" s="3" t="s">
        <v>84</v>
      </c>
      <c r="C38" s="3" t="s">
        <v>85</v>
      </c>
      <c r="D38" s="3" t="s">
        <v>19</v>
      </c>
      <c r="E38" s="3">
        <v>882</v>
      </c>
      <c r="F38" s="3">
        <v>595</v>
      </c>
      <c r="G38" s="3">
        <v>1</v>
      </c>
      <c r="H38" s="3" t="s">
        <v>20</v>
      </c>
      <c r="I38" s="3" t="s">
        <v>21</v>
      </c>
      <c r="J38" s="3" t="s">
        <v>21</v>
      </c>
      <c r="K38" s="3" t="s">
        <v>21</v>
      </c>
      <c r="L38" s="7">
        <f t="shared" si="2"/>
        <v>881.09999999999991</v>
      </c>
      <c r="M38" s="7">
        <f t="shared" si="3"/>
        <v>592.54999999999995</v>
      </c>
    </row>
    <row r="39" spans="1:13" x14ac:dyDescent="0.3">
      <c r="A39" s="3" t="s">
        <v>86</v>
      </c>
      <c r="B39" s="3" t="s">
        <v>84</v>
      </c>
      <c r="C39" s="3" t="s">
        <v>87</v>
      </c>
      <c r="D39" s="3" t="s">
        <v>19</v>
      </c>
      <c r="E39" s="3">
        <v>1275</v>
      </c>
      <c r="F39" s="3">
        <v>97</v>
      </c>
      <c r="G39" s="3">
        <v>2</v>
      </c>
      <c r="H39" s="3" t="s">
        <v>21</v>
      </c>
      <c r="I39" s="3" t="s">
        <v>21</v>
      </c>
      <c r="J39" s="3" t="s">
        <v>21</v>
      </c>
      <c r="K39" s="3" t="s">
        <v>21</v>
      </c>
      <c r="L39" s="7">
        <f t="shared" si="2"/>
        <v>1274.0999999999999</v>
      </c>
      <c r="M39" s="7">
        <f t="shared" si="3"/>
        <v>96.1</v>
      </c>
    </row>
    <row r="40" spans="1:13" x14ac:dyDescent="0.3">
      <c r="A40" s="3" t="s">
        <v>88</v>
      </c>
      <c r="B40" s="3" t="s">
        <v>89</v>
      </c>
      <c r="C40" s="3" t="s">
        <v>18</v>
      </c>
      <c r="D40" s="3" t="s">
        <v>19</v>
      </c>
      <c r="E40" s="3">
        <v>700</v>
      </c>
      <c r="F40" s="3">
        <v>320</v>
      </c>
      <c r="G40" s="3">
        <v>2</v>
      </c>
      <c r="H40" s="3" t="s">
        <v>20</v>
      </c>
      <c r="I40" s="3" t="s">
        <v>21</v>
      </c>
      <c r="J40" s="3" t="s">
        <v>20</v>
      </c>
      <c r="K40" s="3" t="s">
        <v>21</v>
      </c>
      <c r="L40" s="7">
        <f t="shared" si="2"/>
        <v>697.55</v>
      </c>
      <c r="M40" s="7">
        <f t="shared" si="3"/>
        <v>317.55</v>
      </c>
    </row>
    <row r="41" spans="1:13" x14ac:dyDescent="0.3">
      <c r="A41" s="3" t="s">
        <v>90</v>
      </c>
      <c r="B41" s="3" t="s">
        <v>89</v>
      </c>
      <c r="C41" s="3" t="s">
        <v>91</v>
      </c>
      <c r="D41" s="3" t="s">
        <v>19</v>
      </c>
      <c r="E41" s="3">
        <v>285</v>
      </c>
      <c r="F41" s="3">
        <v>320</v>
      </c>
      <c r="G41" s="3">
        <v>1</v>
      </c>
      <c r="H41" s="3" t="s">
        <v>20</v>
      </c>
      <c r="I41" s="3" t="s">
        <v>21</v>
      </c>
      <c r="J41" s="3" t="s">
        <v>21</v>
      </c>
      <c r="K41" s="3" t="s">
        <v>21</v>
      </c>
      <c r="L41" s="7">
        <f t="shared" si="2"/>
        <v>284.10000000000002</v>
      </c>
      <c r="M41" s="7">
        <f t="shared" si="3"/>
        <v>317.55</v>
      </c>
    </row>
    <row r="42" spans="1:13" x14ac:dyDescent="0.3">
      <c r="A42" s="3" t="s">
        <v>92</v>
      </c>
      <c r="B42" s="3" t="s">
        <v>89</v>
      </c>
      <c r="C42" s="3" t="s">
        <v>23</v>
      </c>
      <c r="D42" s="3" t="s">
        <v>19</v>
      </c>
      <c r="E42" s="3">
        <v>285</v>
      </c>
      <c r="F42" s="3">
        <v>320</v>
      </c>
      <c r="G42" s="3">
        <v>1</v>
      </c>
      <c r="H42" s="3" t="s">
        <v>20</v>
      </c>
      <c r="I42" s="3" t="s">
        <v>21</v>
      </c>
      <c r="J42" s="3" t="s">
        <v>21</v>
      </c>
      <c r="K42" s="3" t="s">
        <v>21</v>
      </c>
      <c r="L42" s="7">
        <f t="shared" si="2"/>
        <v>284.10000000000002</v>
      </c>
      <c r="M42" s="7">
        <f t="shared" si="3"/>
        <v>317.55</v>
      </c>
    </row>
    <row r="43" spans="1:13" x14ac:dyDescent="0.3">
      <c r="A43" s="3" t="s">
        <v>93</v>
      </c>
      <c r="B43" s="3" t="s">
        <v>89</v>
      </c>
      <c r="C43" s="3" t="s">
        <v>94</v>
      </c>
      <c r="D43" s="3" t="s">
        <v>19</v>
      </c>
      <c r="E43" s="3">
        <v>283</v>
      </c>
      <c r="F43" s="3">
        <v>300</v>
      </c>
      <c r="G43" s="3">
        <v>1</v>
      </c>
      <c r="H43" s="3" t="s">
        <v>20</v>
      </c>
      <c r="I43" s="3" t="s">
        <v>21</v>
      </c>
      <c r="J43" s="3" t="s">
        <v>21</v>
      </c>
      <c r="K43" s="3" t="s">
        <v>21</v>
      </c>
      <c r="L43" s="7">
        <f t="shared" si="2"/>
        <v>282.10000000000002</v>
      </c>
      <c r="M43" s="7">
        <f t="shared" si="3"/>
        <v>297.55</v>
      </c>
    </row>
    <row r="44" spans="1:13" x14ac:dyDescent="0.3">
      <c r="A44" s="3" t="s">
        <v>95</v>
      </c>
      <c r="B44" s="3" t="s">
        <v>89</v>
      </c>
      <c r="C44" s="3" t="s">
        <v>82</v>
      </c>
      <c r="D44" s="3" t="s">
        <v>19</v>
      </c>
      <c r="E44" s="3">
        <v>717</v>
      </c>
      <c r="F44" s="3">
        <v>312</v>
      </c>
      <c r="G44" s="3">
        <v>1</v>
      </c>
      <c r="H44" s="3" t="s">
        <v>20</v>
      </c>
      <c r="I44" s="3" t="s">
        <v>20</v>
      </c>
      <c r="J44" s="3" t="s">
        <v>20</v>
      </c>
      <c r="K44" s="3" t="s">
        <v>20</v>
      </c>
      <c r="L44" s="7">
        <f t="shared" si="2"/>
        <v>713</v>
      </c>
      <c r="M44" s="7">
        <f t="shared" si="3"/>
        <v>308</v>
      </c>
    </row>
    <row r="45" spans="1:13" x14ac:dyDescent="0.3">
      <c r="A45" s="3" t="s">
        <v>96</v>
      </c>
      <c r="B45" s="3" t="s">
        <v>89</v>
      </c>
      <c r="C45" s="3" t="s">
        <v>97</v>
      </c>
      <c r="D45" s="3" t="s">
        <v>28</v>
      </c>
      <c r="E45" s="3">
        <v>311</v>
      </c>
      <c r="F45" s="3">
        <v>696</v>
      </c>
      <c r="G45" s="3">
        <v>1</v>
      </c>
      <c r="H45" s="3" t="s">
        <v>29</v>
      </c>
      <c r="I45" s="3" t="s">
        <v>29</v>
      </c>
      <c r="J45" s="3" t="s">
        <v>29</v>
      </c>
      <c r="K45" s="3" t="s">
        <v>29</v>
      </c>
      <c r="L45" s="7">
        <f t="shared" si="2"/>
        <v>311</v>
      </c>
      <c r="M45" s="7">
        <f t="shared" si="3"/>
        <v>696</v>
      </c>
    </row>
    <row r="46" spans="1:13" x14ac:dyDescent="0.3">
      <c r="A46" s="3" t="s">
        <v>98</v>
      </c>
      <c r="B46" s="3" t="s">
        <v>99</v>
      </c>
      <c r="C46" s="3" t="s">
        <v>18</v>
      </c>
      <c r="D46" s="3" t="s">
        <v>19</v>
      </c>
      <c r="E46" s="3">
        <v>350</v>
      </c>
      <c r="F46" s="3">
        <v>320</v>
      </c>
      <c r="G46" s="3">
        <v>2</v>
      </c>
      <c r="H46" s="3" t="s">
        <v>20</v>
      </c>
      <c r="I46" s="3" t="s">
        <v>21</v>
      </c>
      <c r="J46" s="3" t="s">
        <v>20</v>
      </c>
      <c r="K46" s="3" t="s">
        <v>21</v>
      </c>
      <c r="L46" s="7">
        <f t="shared" si="2"/>
        <v>347.55</v>
      </c>
      <c r="M46" s="7">
        <f t="shared" si="3"/>
        <v>317.55</v>
      </c>
    </row>
    <row r="47" spans="1:13" x14ac:dyDescent="0.3">
      <c r="A47" s="3" t="s">
        <v>100</v>
      </c>
      <c r="B47" s="3" t="s">
        <v>99</v>
      </c>
      <c r="C47" s="3" t="s">
        <v>91</v>
      </c>
      <c r="D47" s="3" t="s">
        <v>19</v>
      </c>
      <c r="E47" s="3">
        <v>570</v>
      </c>
      <c r="F47" s="3">
        <v>320</v>
      </c>
      <c r="G47" s="3">
        <v>1</v>
      </c>
      <c r="H47" s="3" t="s">
        <v>20</v>
      </c>
      <c r="I47" s="3" t="s">
        <v>21</v>
      </c>
      <c r="J47" s="3" t="s">
        <v>21</v>
      </c>
      <c r="K47" s="3" t="s">
        <v>21</v>
      </c>
      <c r="L47" s="7">
        <f t="shared" si="2"/>
        <v>569.09999999999991</v>
      </c>
      <c r="M47" s="7">
        <f t="shared" si="3"/>
        <v>317.55</v>
      </c>
    </row>
    <row r="48" spans="1:13" x14ac:dyDescent="0.3">
      <c r="A48" s="3" t="s">
        <v>101</v>
      </c>
      <c r="B48" s="3" t="s">
        <v>99</v>
      </c>
      <c r="C48" s="3" t="s">
        <v>102</v>
      </c>
      <c r="D48" s="3" t="s">
        <v>19</v>
      </c>
      <c r="E48" s="3">
        <v>570</v>
      </c>
      <c r="F48" s="3">
        <v>320</v>
      </c>
      <c r="G48" s="3">
        <v>1</v>
      </c>
      <c r="H48" s="3" t="s">
        <v>20</v>
      </c>
      <c r="I48" s="3" t="s">
        <v>21</v>
      </c>
      <c r="J48" s="3" t="s">
        <v>21</v>
      </c>
      <c r="K48" s="3" t="s">
        <v>21</v>
      </c>
      <c r="L48" s="7">
        <f t="shared" si="2"/>
        <v>569.09999999999991</v>
      </c>
      <c r="M48" s="7">
        <f t="shared" si="3"/>
        <v>317.55</v>
      </c>
    </row>
    <row r="49" spans="1:13" x14ac:dyDescent="0.3">
      <c r="A49" s="3" t="s">
        <v>103</v>
      </c>
      <c r="B49" s="3" t="s">
        <v>99</v>
      </c>
      <c r="C49" s="3" t="s">
        <v>82</v>
      </c>
      <c r="D49" s="3" t="s">
        <v>19</v>
      </c>
      <c r="E49" s="3">
        <v>347</v>
      </c>
      <c r="F49" s="3">
        <v>597</v>
      </c>
      <c r="G49" s="3">
        <v>1</v>
      </c>
      <c r="H49" s="3" t="s">
        <v>20</v>
      </c>
      <c r="I49" s="3" t="s">
        <v>20</v>
      </c>
      <c r="J49" s="3" t="s">
        <v>20</v>
      </c>
      <c r="K49" s="3" t="s">
        <v>20</v>
      </c>
      <c r="L49" s="7">
        <f t="shared" si="2"/>
        <v>343</v>
      </c>
      <c r="M49" s="7">
        <f t="shared" si="3"/>
        <v>593</v>
      </c>
    </row>
    <row r="50" spans="1:13" x14ac:dyDescent="0.3">
      <c r="A50" s="3" t="s">
        <v>104</v>
      </c>
      <c r="B50" s="3" t="s">
        <v>99</v>
      </c>
      <c r="C50" s="3" t="s">
        <v>97</v>
      </c>
      <c r="D50" s="3" t="s">
        <v>28</v>
      </c>
      <c r="E50" s="3">
        <v>596</v>
      </c>
      <c r="F50" s="3">
        <v>346</v>
      </c>
      <c r="G50" s="3">
        <v>1</v>
      </c>
      <c r="H50" s="3" t="s">
        <v>29</v>
      </c>
      <c r="I50" s="3" t="s">
        <v>29</v>
      </c>
      <c r="J50" s="3" t="s">
        <v>29</v>
      </c>
      <c r="K50" s="3" t="s">
        <v>29</v>
      </c>
      <c r="L50" s="7">
        <f t="shared" si="2"/>
        <v>596</v>
      </c>
      <c r="M50" s="7">
        <f t="shared" si="3"/>
        <v>346</v>
      </c>
    </row>
    <row r="51" spans="1:13" x14ac:dyDescent="0.3">
      <c r="A51" s="3" t="s">
        <v>105</v>
      </c>
      <c r="B51" s="3" t="s">
        <v>106</v>
      </c>
      <c r="C51" s="3" t="s">
        <v>18</v>
      </c>
      <c r="D51" s="3" t="s">
        <v>19</v>
      </c>
      <c r="E51" s="3">
        <v>700</v>
      </c>
      <c r="F51" s="3">
        <v>320</v>
      </c>
      <c r="G51" s="3">
        <v>2</v>
      </c>
      <c r="H51" s="3" t="s">
        <v>20</v>
      </c>
      <c r="I51" s="3" t="s">
        <v>21</v>
      </c>
      <c r="J51" s="3" t="s">
        <v>20</v>
      </c>
      <c r="K51" s="3" t="s">
        <v>21</v>
      </c>
      <c r="L51" s="7">
        <f t="shared" si="2"/>
        <v>697.55</v>
      </c>
      <c r="M51" s="7">
        <f t="shared" si="3"/>
        <v>317.55</v>
      </c>
    </row>
    <row r="52" spans="1:13" x14ac:dyDescent="0.3">
      <c r="A52" s="3" t="s">
        <v>107</v>
      </c>
      <c r="B52" s="3" t="s">
        <v>106</v>
      </c>
      <c r="C52" s="3" t="s">
        <v>91</v>
      </c>
      <c r="D52" s="3" t="s">
        <v>19</v>
      </c>
      <c r="E52" s="3">
        <v>815</v>
      </c>
      <c r="F52" s="3">
        <v>320</v>
      </c>
      <c r="G52" s="3">
        <v>1</v>
      </c>
      <c r="H52" s="3" t="s">
        <v>20</v>
      </c>
      <c r="I52" s="3" t="s">
        <v>21</v>
      </c>
      <c r="J52" s="3" t="s">
        <v>21</v>
      </c>
      <c r="K52" s="3" t="s">
        <v>21</v>
      </c>
      <c r="L52" s="7">
        <f t="shared" si="2"/>
        <v>814.09999999999991</v>
      </c>
      <c r="M52" s="7">
        <f t="shared" si="3"/>
        <v>317.55</v>
      </c>
    </row>
    <row r="53" spans="1:13" x14ac:dyDescent="0.3">
      <c r="A53" s="3" t="s">
        <v>108</v>
      </c>
      <c r="B53" s="3" t="s">
        <v>106</v>
      </c>
      <c r="C53" s="3" t="s">
        <v>23</v>
      </c>
      <c r="D53" s="3" t="s">
        <v>19</v>
      </c>
      <c r="E53" s="3">
        <v>815</v>
      </c>
      <c r="F53" s="3">
        <v>320</v>
      </c>
      <c r="G53" s="3">
        <v>1</v>
      </c>
      <c r="H53" s="3" t="s">
        <v>20</v>
      </c>
      <c r="I53" s="3" t="s">
        <v>21</v>
      </c>
      <c r="J53" s="3" t="s">
        <v>21</v>
      </c>
      <c r="K53" s="3" t="s">
        <v>21</v>
      </c>
      <c r="L53" s="7">
        <f t="shared" si="2"/>
        <v>814.09999999999991</v>
      </c>
      <c r="M53" s="7">
        <f t="shared" si="3"/>
        <v>317.55</v>
      </c>
    </row>
    <row r="54" spans="1:13" x14ac:dyDescent="0.3">
      <c r="A54" s="3" t="s">
        <v>109</v>
      </c>
      <c r="B54" s="3" t="s">
        <v>106</v>
      </c>
      <c r="C54" s="3" t="s">
        <v>110</v>
      </c>
      <c r="D54" s="3" t="s">
        <v>19</v>
      </c>
      <c r="E54" s="3">
        <v>670</v>
      </c>
      <c r="F54" s="3">
        <v>320</v>
      </c>
      <c r="G54" s="3">
        <v>1</v>
      </c>
      <c r="H54" s="3" t="s">
        <v>20</v>
      </c>
      <c r="I54" s="3" t="s">
        <v>21</v>
      </c>
      <c r="J54" s="3" t="s">
        <v>21</v>
      </c>
      <c r="K54" s="3" t="s">
        <v>21</v>
      </c>
      <c r="L54" s="7">
        <f t="shared" si="2"/>
        <v>669.09999999999991</v>
      </c>
      <c r="M54" s="7">
        <f t="shared" si="3"/>
        <v>317.55</v>
      </c>
    </row>
    <row r="55" spans="1:13" x14ac:dyDescent="0.3">
      <c r="A55" s="3" t="s">
        <v>111</v>
      </c>
      <c r="B55" s="3" t="s">
        <v>106</v>
      </c>
      <c r="C55" s="3" t="s">
        <v>94</v>
      </c>
      <c r="D55" s="3" t="s">
        <v>19</v>
      </c>
      <c r="E55" s="3">
        <v>397.5</v>
      </c>
      <c r="F55" s="3">
        <v>300</v>
      </c>
      <c r="G55" s="3">
        <v>2</v>
      </c>
      <c r="H55" s="3" t="s">
        <v>20</v>
      </c>
      <c r="I55" s="3" t="s">
        <v>21</v>
      </c>
      <c r="J55" s="3" t="s">
        <v>21</v>
      </c>
      <c r="K55" s="3" t="s">
        <v>21</v>
      </c>
      <c r="L55" s="7">
        <f t="shared" si="2"/>
        <v>396.6</v>
      </c>
      <c r="M55" s="7">
        <f t="shared" si="3"/>
        <v>297.55</v>
      </c>
    </row>
    <row r="56" spans="1:13" x14ac:dyDescent="0.3">
      <c r="A56" s="3" t="s">
        <v>112</v>
      </c>
      <c r="B56" s="3" t="s">
        <v>106</v>
      </c>
      <c r="C56" s="3" t="s">
        <v>82</v>
      </c>
      <c r="D56" s="3" t="s">
        <v>19</v>
      </c>
      <c r="E56" s="3">
        <v>717</v>
      </c>
      <c r="F56" s="3">
        <v>419.5</v>
      </c>
      <c r="G56" s="3">
        <v>2</v>
      </c>
      <c r="H56" s="3" t="s">
        <v>20</v>
      </c>
      <c r="I56" s="3" t="s">
        <v>20</v>
      </c>
      <c r="J56" s="3" t="s">
        <v>20</v>
      </c>
      <c r="K56" s="3" t="s">
        <v>20</v>
      </c>
      <c r="L56" s="7">
        <f t="shared" si="2"/>
        <v>713</v>
      </c>
      <c r="M56" s="7">
        <f t="shared" si="3"/>
        <v>415.5</v>
      </c>
    </row>
    <row r="57" spans="1:13" x14ac:dyDescent="0.3">
      <c r="A57" s="3" t="s">
        <v>113</v>
      </c>
      <c r="B57" s="3" t="s">
        <v>106</v>
      </c>
      <c r="C57" s="3" t="s">
        <v>97</v>
      </c>
      <c r="D57" s="3" t="s">
        <v>28</v>
      </c>
      <c r="E57" s="3">
        <v>841</v>
      </c>
      <c r="F57" s="3">
        <v>696</v>
      </c>
      <c r="G57" s="3">
        <v>1</v>
      </c>
      <c r="H57" s="3" t="s">
        <v>29</v>
      </c>
      <c r="I57" s="3" t="s">
        <v>29</v>
      </c>
      <c r="J57" s="3" t="s">
        <v>29</v>
      </c>
      <c r="K57" s="3" t="s">
        <v>29</v>
      </c>
      <c r="L57" s="7">
        <f t="shared" si="2"/>
        <v>841</v>
      </c>
      <c r="M57" s="7">
        <f t="shared" si="3"/>
        <v>696</v>
      </c>
    </row>
    <row r="58" spans="1:13" x14ac:dyDescent="0.3">
      <c r="A58" s="3" t="s">
        <v>114</v>
      </c>
      <c r="B58" s="3" t="s">
        <v>115</v>
      </c>
      <c r="C58" s="3" t="s">
        <v>18</v>
      </c>
      <c r="D58" s="3" t="s">
        <v>19</v>
      </c>
      <c r="E58" s="3">
        <v>700</v>
      </c>
      <c r="F58" s="3">
        <v>320</v>
      </c>
      <c r="G58" s="3">
        <v>2</v>
      </c>
      <c r="H58" s="3" t="s">
        <v>20</v>
      </c>
      <c r="I58" s="3" t="s">
        <v>21</v>
      </c>
      <c r="J58" s="3" t="s">
        <v>20</v>
      </c>
      <c r="K58" s="3" t="s">
        <v>21</v>
      </c>
      <c r="L58" s="7">
        <f t="shared" si="2"/>
        <v>697.55</v>
      </c>
      <c r="M58" s="7">
        <f t="shared" si="3"/>
        <v>317.55</v>
      </c>
    </row>
    <row r="59" spans="1:13" x14ac:dyDescent="0.3">
      <c r="A59" s="3" t="s">
        <v>116</v>
      </c>
      <c r="B59" s="3" t="s">
        <v>115</v>
      </c>
      <c r="C59" s="3" t="s">
        <v>91</v>
      </c>
      <c r="D59" s="3" t="s">
        <v>19</v>
      </c>
      <c r="E59" s="3">
        <v>685</v>
      </c>
      <c r="F59" s="3">
        <v>320</v>
      </c>
      <c r="G59" s="3">
        <v>1</v>
      </c>
      <c r="H59" s="3" t="s">
        <v>20</v>
      </c>
      <c r="I59" s="3" t="s">
        <v>21</v>
      </c>
      <c r="J59" s="3" t="s">
        <v>21</v>
      </c>
      <c r="K59" s="3" t="s">
        <v>21</v>
      </c>
      <c r="L59" s="7">
        <f t="shared" si="2"/>
        <v>684.09999999999991</v>
      </c>
      <c r="M59" s="7">
        <f t="shared" si="3"/>
        <v>317.55</v>
      </c>
    </row>
    <row r="60" spans="1:13" x14ac:dyDescent="0.3">
      <c r="A60" s="3" t="s">
        <v>117</v>
      </c>
      <c r="B60" s="3" t="s">
        <v>115</v>
      </c>
      <c r="C60" s="3" t="s">
        <v>118</v>
      </c>
      <c r="D60" s="3" t="s">
        <v>19</v>
      </c>
      <c r="E60" s="3">
        <v>685</v>
      </c>
      <c r="F60" s="3">
        <v>60</v>
      </c>
      <c r="G60" s="3">
        <v>1</v>
      </c>
      <c r="H60" s="3" t="s">
        <v>21</v>
      </c>
      <c r="I60" s="3" t="s">
        <v>21</v>
      </c>
      <c r="J60" s="3" t="s">
        <v>21</v>
      </c>
      <c r="K60" s="3" t="s">
        <v>21</v>
      </c>
      <c r="L60" s="7">
        <f t="shared" si="2"/>
        <v>684.09999999999991</v>
      </c>
      <c r="M60" s="7">
        <f t="shared" si="3"/>
        <v>59.099999999999994</v>
      </c>
    </row>
    <row r="61" spans="1:13" x14ac:dyDescent="0.3">
      <c r="A61" s="3" t="s">
        <v>119</v>
      </c>
      <c r="B61" s="3" t="s">
        <v>115</v>
      </c>
      <c r="C61" s="3" t="s">
        <v>120</v>
      </c>
      <c r="D61" s="3" t="s">
        <v>19</v>
      </c>
      <c r="E61" s="3">
        <v>685</v>
      </c>
      <c r="F61" s="3">
        <v>80</v>
      </c>
      <c r="G61" s="3">
        <v>1</v>
      </c>
      <c r="H61" s="3" t="s">
        <v>21</v>
      </c>
      <c r="I61" s="3" t="s">
        <v>21</v>
      </c>
      <c r="J61" s="3" t="s">
        <v>21</v>
      </c>
      <c r="K61" s="3" t="s">
        <v>21</v>
      </c>
      <c r="L61" s="7">
        <f t="shared" si="2"/>
        <v>684.09999999999991</v>
      </c>
      <c r="M61" s="7">
        <f t="shared" si="3"/>
        <v>79.099999999999994</v>
      </c>
    </row>
    <row r="62" spans="1:13" x14ac:dyDescent="0.3">
      <c r="A62" s="3" t="s">
        <v>121</v>
      </c>
      <c r="B62" s="3" t="s">
        <v>115</v>
      </c>
      <c r="C62" s="3" t="s">
        <v>82</v>
      </c>
      <c r="D62" s="3" t="s">
        <v>19</v>
      </c>
      <c r="E62" s="3">
        <v>717</v>
      </c>
      <c r="F62" s="3">
        <v>354</v>
      </c>
      <c r="G62" s="3">
        <v>2</v>
      </c>
      <c r="H62" s="3" t="s">
        <v>20</v>
      </c>
      <c r="I62" s="3" t="s">
        <v>20</v>
      </c>
      <c r="J62" s="3" t="s">
        <v>20</v>
      </c>
      <c r="K62" s="3" t="s">
        <v>20</v>
      </c>
      <c r="L62" s="7">
        <f t="shared" si="2"/>
        <v>713</v>
      </c>
      <c r="M62" s="7">
        <f t="shared" si="3"/>
        <v>350</v>
      </c>
    </row>
    <row r="63" spans="1:13" x14ac:dyDescent="0.3">
      <c r="A63" s="3" t="s">
        <v>122</v>
      </c>
      <c r="B63" s="3" t="s">
        <v>115</v>
      </c>
      <c r="C63" s="3" t="s">
        <v>97</v>
      </c>
      <c r="D63" s="3" t="s">
        <v>28</v>
      </c>
      <c r="E63" s="3">
        <v>711</v>
      </c>
      <c r="F63" s="3">
        <v>696</v>
      </c>
      <c r="G63" s="3">
        <v>1</v>
      </c>
      <c r="H63" s="3" t="s">
        <v>29</v>
      </c>
      <c r="I63" s="3" t="s">
        <v>29</v>
      </c>
      <c r="J63" s="3" t="s">
        <v>29</v>
      </c>
      <c r="K63" s="3" t="s">
        <v>29</v>
      </c>
      <c r="L63" s="7">
        <f t="shared" si="2"/>
        <v>711</v>
      </c>
      <c r="M63" s="7">
        <f t="shared" si="3"/>
        <v>696</v>
      </c>
    </row>
    <row r="64" spans="1:13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7"/>
      <c r="M64" s="7"/>
    </row>
    <row r="65" spans="1:13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7"/>
      <c r="M65" s="7"/>
    </row>
    <row r="66" spans="1:13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7"/>
      <c r="M66" s="7"/>
    </row>
    <row r="67" spans="1:13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7"/>
      <c r="M67" s="7"/>
    </row>
    <row r="68" spans="1:13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7"/>
      <c r="M68" s="7"/>
    </row>
    <row r="69" spans="1:13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7"/>
      <c r="M69" s="7"/>
    </row>
    <row r="70" spans="1:13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7"/>
      <c r="M70" s="7"/>
    </row>
    <row r="71" spans="1:13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7"/>
      <c r="M71" s="7"/>
    </row>
    <row r="72" spans="1:13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7"/>
      <c r="M72" s="7"/>
    </row>
    <row r="73" spans="1:13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7"/>
      <c r="M73" s="7"/>
    </row>
    <row r="74" spans="1:13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7"/>
      <c r="M74" s="7"/>
    </row>
    <row r="75" spans="1:13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7"/>
      <c r="M75" s="7"/>
    </row>
    <row r="76" spans="1:13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7"/>
      <c r="M76" s="7"/>
    </row>
    <row r="77" spans="1:13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7"/>
      <c r="M77" s="7"/>
    </row>
    <row r="78" spans="1:13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7"/>
      <c r="M78" s="7"/>
    </row>
    <row r="79" spans="1:13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7"/>
      <c r="M79" s="7"/>
    </row>
    <row r="80" spans="1:13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7"/>
      <c r="M80" s="7"/>
    </row>
    <row r="81" spans="1:13" x14ac:dyDescent="0.3">
      <c r="A81" s="3"/>
      <c r="B81" s="3"/>
      <c r="C81" s="3" t="s">
        <v>123</v>
      </c>
      <c r="D81" s="3"/>
      <c r="E81" s="3"/>
      <c r="F81" s="3"/>
      <c r="G81" s="3">
        <f>SUMIF(D5:D79,"Melamina Cartagena RH 15",G5:G79)</f>
        <v>75</v>
      </c>
      <c r="H81" s="3"/>
      <c r="I81" s="3"/>
      <c r="J81" s="3"/>
      <c r="K81" s="3"/>
      <c r="L81" s="7"/>
      <c r="M81" s="7"/>
    </row>
    <row r="82" spans="1:13" x14ac:dyDescent="0.3">
      <c r="C82" t="s">
        <v>124</v>
      </c>
      <c r="G82">
        <f>SUMIF(D5:D79,"Fondo melamina 6",G5:G79)</f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topLeftCell="A12" workbookViewId="0"/>
  </sheetViews>
  <sheetFormatPr baseColWidth="10" defaultColWidth="8.88671875" defaultRowHeight="14.4" x14ac:dyDescent="0.3"/>
  <cols>
    <col min="1" max="1" width="67" customWidth="1"/>
    <col min="2" max="2" width="8" customWidth="1"/>
    <col min="3" max="3" width="105" customWidth="1"/>
  </cols>
  <sheetData>
    <row r="1" spans="1:3" x14ac:dyDescent="0.3">
      <c r="A1" s="4" t="s">
        <v>125</v>
      </c>
      <c r="B1" s="4" t="s">
        <v>9</v>
      </c>
      <c r="C1" s="4" t="s">
        <v>126</v>
      </c>
    </row>
    <row r="2" spans="1:3" ht="27.15" customHeight="1" x14ac:dyDescent="0.3">
      <c r="A2" s="6" t="s">
        <v>127</v>
      </c>
      <c r="B2">
        <v>16</v>
      </c>
      <c r="C2" s="6" t="s">
        <v>128</v>
      </c>
    </row>
    <row r="3" spans="1:3" ht="83.25" customHeight="1" x14ac:dyDescent="0.3">
      <c r="A3" s="6" t="s">
        <v>129</v>
      </c>
      <c r="B3">
        <v>3</v>
      </c>
      <c r="C3" s="6" t="s">
        <v>130</v>
      </c>
    </row>
    <row r="4" spans="1:3" ht="27.15" customHeight="1" x14ac:dyDescent="0.3">
      <c r="A4" s="6" t="s">
        <v>131</v>
      </c>
      <c r="B4">
        <v>1</v>
      </c>
      <c r="C4" s="6" t="s">
        <v>132</v>
      </c>
    </row>
    <row r="5" spans="1:3" ht="27.15" customHeight="1" x14ac:dyDescent="0.3">
      <c r="A5" s="6" t="s">
        <v>133</v>
      </c>
      <c r="B5">
        <v>1</v>
      </c>
      <c r="C5" s="6" t="s">
        <v>134</v>
      </c>
    </row>
    <row r="6" spans="1:3" ht="27.15" customHeight="1" x14ac:dyDescent="0.3">
      <c r="A6" s="6" t="s">
        <v>135</v>
      </c>
      <c r="B6">
        <v>1</v>
      </c>
      <c r="C6" s="6" t="s">
        <v>136</v>
      </c>
    </row>
    <row r="7" spans="1:3" ht="27.15" customHeight="1" x14ac:dyDescent="0.3">
      <c r="A7" s="6" t="s">
        <v>137</v>
      </c>
      <c r="B7">
        <v>1</v>
      </c>
      <c r="C7" s="6" t="s">
        <v>138</v>
      </c>
    </row>
    <row r="8" spans="1:3" ht="27.15" customHeight="1" x14ac:dyDescent="0.3">
      <c r="A8" s="6" t="s">
        <v>139</v>
      </c>
      <c r="B8">
        <v>1</v>
      </c>
      <c r="C8" s="6" t="s">
        <v>140</v>
      </c>
    </row>
    <row r="9" spans="1:3" ht="72" customHeight="1" x14ac:dyDescent="0.3">
      <c r="A9" s="6" t="s">
        <v>141</v>
      </c>
      <c r="B9">
        <v>1</v>
      </c>
      <c r="C9" s="6" t="s">
        <v>142</v>
      </c>
    </row>
    <row r="10" spans="1:3" ht="27.15" customHeight="1" x14ac:dyDescent="0.3">
      <c r="A10" s="6" t="s">
        <v>143</v>
      </c>
      <c r="B10">
        <v>24</v>
      </c>
      <c r="C10" s="6" t="s">
        <v>144</v>
      </c>
    </row>
    <row r="11" spans="1:3" ht="27.15" customHeight="1" x14ac:dyDescent="0.3">
      <c r="A11" s="6" t="s">
        <v>145</v>
      </c>
      <c r="B11">
        <v>4</v>
      </c>
      <c r="C11" s="6" t="s">
        <v>146</v>
      </c>
    </row>
    <row r="12" spans="1:3" ht="27.15" customHeight="1" x14ac:dyDescent="0.3">
      <c r="A12" s="6" t="s">
        <v>147</v>
      </c>
      <c r="B12">
        <v>12</v>
      </c>
      <c r="C12" s="6" t="s">
        <v>148</v>
      </c>
    </row>
    <row r="13" spans="1:3" ht="27.15" customHeight="1" x14ac:dyDescent="0.3">
      <c r="A13" s="6" t="s">
        <v>149</v>
      </c>
      <c r="B13">
        <v>150</v>
      </c>
      <c r="C13" s="6" t="s">
        <v>150</v>
      </c>
    </row>
    <row r="14" spans="1:3" ht="62.4" customHeight="1" x14ac:dyDescent="0.3">
      <c r="A14" s="6" t="s">
        <v>151</v>
      </c>
      <c r="B14">
        <v>150</v>
      </c>
      <c r="C14" s="6" t="s">
        <v>152</v>
      </c>
    </row>
    <row r="16" spans="1:3" x14ac:dyDescent="0.3">
      <c r="A16" t="s">
        <v>153</v>
      </c>
    </row>
    <row r="17" spans="1:3" ht="24" customHeight="1" x14ac:dyDescent="0.3">
      <c r="A17" s="28" t="s">
        <v>154</v>
      </c>
      <c r="B17" s="28" t="s">
        <v>155</v>
      </c>
      <c r="C17" s="28" t="s">
        <v>156</v>
      </c>
    </row>
    <row r="18" spans="1:3" ht="84" customHeight="1" x14ac:dyDescent="0.3">
      <c r="A18" s="21" t="s">
        <v>157</v>
      </c>
      <c r="B18" s="21">
        <v>30</v>
      </c>
      <c r="C18" s="21" t="s">
        <v>158</v>
      </c>
    </row>
    <row r="19" spans="1:3" ht="72" customHeight="1" x14ac:dyDescent="0.3">
      <c r="A19" s="21"/>
      <c r="B19" s="21"/>
      <c r="C19" s="21"/>
    </row>
    <row r="20" spans="1:3" ht="72" customHeight="1" x14ac:dyDescent="0.3">
      <c r="A20" s="21"/>
      <c r="B20" s="21"/>
      <c r="C20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workbookViewId="0"/>
  </sheetViews>
  <sheetFormatPr baseColWidth="10" defaultColWidth="8.88671875" defaultRowHeight="14.4" x14ac:dyDescent="0.3"/>
  <cols>
    <col min="1" max="1" width="24" customWidth="1"/>
    <col min="2" max="2" width="73" customWidth="1"/>
    <col min="3" max="3" width="10" customWidth="1"/>
    <col min="4" max="5" width="26" customWidth="1"/>
    <col min="6" max="6" width="98" customWidth="1"/>
  </cols>
  <sheetData>
    <row r="1" spans="1:6" x14ac:dyDescent="0.3">
      <c r="A1" s="4" t="s">
        <v>159</v>
      </c>
      <c r="B1" s="4" t="s">
        <v>160</v>
      </c>
      <c r="C1" s="4" t="s">
        <v>9</v>
      </c>
      <c r="D1" s="4" t="s">
        <v>161</v>
      </c>
      <c r="E1" s="4" t="s">
        <v>162</v>
      </c>
      <c r="F1" s="4" t="s">
        <v>163</v>
      </c>
    </row>
    <row r="2" spans="1:6" ht="28.8" customHeight="1" x14ac:dyDescent="0.3">
      <c r="A2" t="s">
        <v>164</v>
      </c>
      <c r="B2" s="6" t="s">
        <v>165</v>
      </c>
      <c r="C2" s="9">
        <v>4</v>
      </c>
      <c r="D2" s="15">
        <v>365872</v>
      </c>
      <c r="E2" s="15">
        <f t="shared" ref="E2:E26" si="0">IF(AND(ISNUMBER(C2),ISNUMBER(D2)),C2*D2,"Por cotizar")</f>
        <v>1463488</v>
      </c>
      <c r="F2" s="6" t="s">
        <v>166</v>
      </c>
    </row>
    <row r="3" spans="1:6" ht="28.8" customHeight="1" x14ac:dyDescent="0.3">
      <c r="A3" t="s">
        <v>164</v>
      </c>
      <c r="B3" s="6" t="s">
        <v>167</v>
      </c>
      <c r="C3" s="9">
        <v>1</v>
      </c>
      <c r="D3" s="15">
        <v>212534</v>
      </c>
      <c r="E3" s="15">
        <f t="shared" si="0"/>
        <v>212534</v>
      </c>
      <c r="F3" s="6" t="s">
        <v>168</v>
      </c>
    </row>
    <row r="4" spans="1:6" ht="28.8" customHeight="1" x14ac:dyDescent="0.3">
      <c r="A4" t="s">
        <v>164</v>
      </c>
      <c r="B4" s="6" t="s">
        <v>169</v>
      </c>
      <c r="C4" s="9">
        <f>ROUNDUP(Cantos!F4/Cantos!H4,0)</f>
        <v>1</v>
      </c>
      <c r="D4" s="15">
        <v>531600</v>
      </c>
      <c r="E4" s="15">
        <f t="shared" si="0"/>
        <v>531600</v>
      </c>
      <c r="F4" s="6" t="s">
        <v>170</v>
      </c>
    </row>
    <row r="5" spans="1:6" ht="28.8" customHeight="1" x14ac:dyDescent="0.3">
      <c r="A5" t="s">
        <v>164</v>
      </c>
      <c r="B5" s="6" t="s">
        <v>171</v>
      </c>
      <c r="C5" s="9">
        <f>ROUNDUP(Cantos!F5/Cantos!H5,0)</f>
        <v>1</v>
      </c>
      <c r="D5" s="15">
        <v>285600</v>
      </c>
      <c r="E5" s="15">
        <f t="shared" si="0"/>
        <v>285600</v>
      </c>
      <c r="F5" s="6" t="s">
        <v>172</v>
      </c>
    </row>
    <row r="6" spans="1:6" ht="28.8" customHeight="1" x14ac:dyDescent="0.3">
      <c r="A6" t="s">
        <v>173</v>
      </c>
      <c r="B6" s="6" t="s">
        <v>131</v>
      </c>
      <c r="C6" s="9">
        <v>1</v>
      </c>
      <c r="D6" s="15">
        <v>41215</v>
      </c>
      <c r="E6" s="15">
        <f t="shared" si="0"/>
        <v>41215</v>
      </c>
      <c r="F6" s="6" t="s">
        <v>174</v>
      </c>
    </row>
    <row r="7" spans="1:6" ht="28.8" customHeight="1" x14ac:dyDescent="0.3">
      <c r="A7" t="s">
        <v>173</v>
      </c>
      <c r="B7" s="6" t="s">
        <v>133</v>
      </c>
      <c r="C7" s="9">
        <v>1</v>
      </c>
      <c r="D7" s="15">
        <v>51014</v>
      </c>
      <c r="E7" s="15">
        <f t="shared" si="0"/>
        <v>51014</v>
      </c>
      <c r="F7" s="6" t="s">
        <v>174</v>
      </c>
    </row>
    <row r="8" spans="1:6" ht="72" customHeight="1" x14ac:dyDescent="0.3">
      <c r="A8" t="s">
        <v>173</v>
      </c>
      <c r="B8" s="6" t="s">
        <v>175</v>
      </c>
      <c r="C8" s="9">
        <v>3</v>
      </c>
      <c r="D8" s="15">
        <v>47034</v>
      </c>
      <c r="E8" s="15">
        <f t="shared" si="0"/>
        <v>141102</v>
      </c>
      <c r="F8" s="6" t="s">
        <v>176</v>
      </c>
    </row>
    <row r="9" spans="1:6" ht="28.8" customHeight="1" x14ac:dyDescent="0.3">
      <c r="A9" t="s">
        <v>173</v>
      </c>
      <c r="B9" s="6" t="s">
        <v>177</v>
      </c>
      <c r="C9" s="9">
        <f>Herrajes!B2/2</f>
        <v>8</v>
      </c>
      <c r="D9" s="15">
        <v>17750</v>
      </c>
      <c r="E9" s="15">
        <f t="shared" si="0"/>
        <v>142000</v>
      </c>
      <c r="F9" s="6" t="s">
        <v>178</v>
      </c>
    </row>
    <row r="10" spans="1:6" ht="28.8" customHeight="1" x14ac:dyDescent="0.3">
      <c r="A10" t="s">
        <v>173</v>
      </c>
      <c r="B10" s="6" t="s">
        <v>135</v>
      </c>
      <c r="C10" s="9">
        <v>1</v>
      </c>
      <c r="D10" s="15">
        <v>206135</v>
      </c>
      <c r="E10" s="15">
        <f t="shared" si="0"/>
        <v>206135</v>
      </c>
      <c r="F10" s="6" t="s">
        <v>174</v>
      </c>
    </row>
    <row r="11" spans="1:6" ht="28.8" customHeight="1" x14ac:dyDescent="0.3">
      <c r="A11" t="s">
        <v>173</v>
      </c>
      <c r="B11" s="6" t="s">
        <v>137</v>
      </c>
      <c r="C11" s="9">
        <v>1</v>
      </c>
      <c r="D11" s="15">
        <v>193570</v>
      </c>
      <c r="E11" s="15">
        <f t="shared" si="0"/>
        <v>193570</v>
      </c>
      <c r="F11" s="6" t="s">
        <v>174</v>
      </c>
    </row>
    <row r="12" spans="1:6" ht="62.4" customHeight="1" x14ac:dyDescent="0.3">
      <c r="A12" t="s">
        <v>173</v>
      </c>
      <c r="B12" s="6" t="s">
        <v>179</v>
      </c>
      <c r="C12" s="9">
        <v>1</v>
      </c>
      <c r="D12" s="15">
        <v>63539</v>
      </c>
      <c r="E12" s="15">
        <f t="shared" si="0"/>
        <v>63539</v>
      </c>
      <c r="F12" s="6" t="s">
        <v>180</v>
      </c>
    </row>
    <row r="13" spans="1:6" ht="28.8" customHeight="1" x14ac:dyDescent="0.3">
      <c r="A13" t="s">
        <v>173</v>
      </c>
      <c r="B13" s="6" t="s">
        <v>139</v>
      </c>
      <c r="C13" s="9">
        <v>1</v>
      </c>
      <c r="D13" s="15">
        <v>38791</v>
      </c>
      <c r="E13" s="15">
        <f t="shared" si="0"/>
        <v>38791</v>
      </c>
      <c r="F13" s="6" t="s">
        <v>181</v>
      </c>
    </row>
    <row r="14" spans="1:6" ht="28.8" customHeight="1" x14ac:dyDescent="0.3">
      <c r="A14" t="s">
        <v>173</v>
      </c>
      <c r="B14" s="6" t="s">
        <v>143</v>
      </c>
      <c r="C14" s="9">
        <v>24</v>
      </c>
      <c r="D14" s="15">
        <v>2042</v>
      </c>
      <c r="E14" s="15">
        <f t="shared" si="0"/>
        <v>49008</v>
      </c>
      <c r="F14" s="6" t="s">
        <v>174</v>
      </c>
    </row>
    <row r="15" spans="1:6" ht="28.8" customHeight="1" x14ac:dyDescent="0.3">
      <c r="A15" t="s">
        <v>173</v>
      </c>
      <c r="B15" s="6" t="s">
        <v>145</v>
      </c>
      <c r="C15" s="9">
        <v>4</v>
      </c>
      <c r="D15" s="15" t="s">
        <v>182</v>
      </c>
      <c r="E15" s="15" t="str">
        <f t="shared" si="0"/>
        <v>Por cotizar</v>
      </c>
      <c r="F15" s="6" t="s">
        <v>182</v>
      </c>
    </row>
    <row r="16" spans="1:6" ht="28.8" customHeight="1" x14ac:dyDescent="0.3">
      <c r="A16" t="s">
        <v>173</v>
      </c>
      <c r="B16" s="6" t="s">
        <v>183</v>
      </c>
      <c r="C16" s="9">
        <v>1</v>
      </c>
      <c r="D16" s="15" t="s">
        <v>182</v>
      </c>
      <c r="E16" s="15" t="str">
        <f t="shared" si="0"/>
        <v>Por cotizar</v>
      </c>
      <c r="F16" s="6" t="s">
        <v>184</v>
      </c>
    </row>
    <row r="17" spans="1:6" ht="28.8" customHeight="1" x14ac:dyDescent="0.3">
      <c r="A17" t="s">
        <v>185</v>
      </c>
      <c r="B17" s="6" t="s">
        <v>186</v>
      </c>
      <c r="C17" s="9">
        <v>1</v>
      </c>
      <c r="D17" s="15">
        <v>1486300</v>
      </c>
      <c r="E17" s="15">
        <f t="shared" si="0"/>
        <v>1486300</v>
      </c>
      <c r="F17" s="6" t="s">
        <v>187</v>
      </c>
    </row>
    <row r="18" spans="1:6" ht="73.650000000000006" customHeight="1" x14ac:dyDescent="0.3">
      <c r="A18" t="s">
        <v>185</v>
      </c>
      <c r="B18" s="6" t="s">
        <v>188</v>
      </c>
      <c r="C18" s="9">
        <v>1</v>
      </c>
      <c r="D18" s="15">
        <v>209900</v>
      </c>
      <c r="E18" s="15">
        <f t="shared" si="0"/>
        <v>209900</v>
      </c>
      <c r="F18" s="6" t="s">
        <v>189</v>
      </c>
    </row>
    <row r="19" spans="1:6" ht="38.4" customHeight="1" x14ac:dyDescent="0.3">
      <c r="A19" t="s">
        <v>185</v>
      </c>
      <c r="B19" s="6" t="s">
        <v>190</v>
      </c>
      <c r="C19" s="9">
        <v>1</v>
      </c>
      <c r="D19" s="15">
        <v>1864800</v>
      </c>
      <c r="E19" s="15">
        <f t="shared" si="0"/>
        <v>1864800</v>
      </c>
      <c r="F19" s="6" t="s">
        <v>191</v>
      </c>
    </row>
    <row r="20" spans="1:6" ht="67.2" customHeight="1" x14ac:dyDescent="0.3">
      <c r="A20" t="s">
        <v>192</v>
      </c>
      <c r="B20" s="6" t="s">
        <v>193</v>
      </c>
      <c r="C20" s="9">
        <v>1</v>
      </c>
      <c r="D20" s="15" t="s">
        <v>182</v>
      </c>
      <c r="E20" s="15" t="str">
        <f t="shared" si="0"/>
        <v>Por cotizar</v>
      </c>
      <c r="F20" s="6" t="s">
        <v>194</v>
      </c>
    </row>
    <row r="21" spans="1:6" ht="67.2" customHeight="1" x14ac:dyDescent="0.3">
      <c r="A21" t="s">
        <v>192</v>
      </c>
      <c r="B21" s="6" t="s">
        <v>195</v>
      </c>
      <c r="C21" s="9">
        <v>1</v>
      </c>
      <c r="D21" s="15" t="s">
        <v>182</v>
      </c>
      <c r="E21" s="15" t="str">
        <f t="shared" si="0"/>
        <v>Por cotizar</v>
      </c>
      <c r="F21" s="6" t="s">
        <v>196</v>
      </c>
    </row>
    <row r="22" spans="1:6" ht="28.8" customHeight="1" x14ac:dyDescent="0.3">
      <c r="A22" t="s">
        <v>185</v>
      </c>
      <c r="B22" s="6" t="s">
        <v>197</v>
      </c>
      <c r="C22" s="9">
        <v>1</v>
      </c>
      <c r="D22" s="15" t="s">
        <v>182</v>
      </c>
      <c r="E22" s="15" t="str">
        <f t="shared" si="0"/>
        <v>Por cotizar</v>
      </c>
      <c r="F22" s="6" t="s">
        <v>198</v>
      </c>
    </row>
    <row r="23" spans="1:6" ht="28.8" customHeight="1" x14ac:dyDescent="0.3">
      <c r="A23" t="s">
        <v>185</v>
      </c>
      <c r="B23" s="14" t="s">
        <v>199</v>
      </c>
      <c r="C23" s="9">
        <v>1</v>
      </c>
      <c r="D23" s="15" t="s">
        <v>182</v>
      </c>
      <c r="E23" s="15" t="str">
        <f t="shared" si="0"/>
        <v>Por cotizar</v>
      </c>
      <c r="F23" s="6" t="s">
        <v>200</v>
      </c>
    </row>
    <row r="24" spans="1:6" ht="28.8" customHeight="1" x14ac:dyDescent="0.3">
      <c r="A24" t="s">
        <v>185</v>
      </c>
      <c r="B24" s="14" t="s">
        <v>201</v>
      </c>
      <c r="C24" s="9">
        <v>1</v>
      </c>
      <c r="D24" s="15" t="s">
        <v>182</v>
      </c>
      <c r="E24" s="15" t="str">
        <f t="shared" si="0"/>
        <v>Por cotizar</v>
      </c>
      <c r="F24" s="6" t="s">
        <v>202</v>
      </c>
    </row>
    <row r="25" spans="1:6" ht="28.8" customHeight="1" x14ac:dyDescent="0.3">
      <c r="A25" t="s">
        <v>192</v>
      </c>
      <c r="B25" s="14" t="s">
        <v>203</v>
      </c>
      <c r="C25" s="9">
        <v>1</v>
      </c>
      <c r="D25" s="15" t="s">
        <v>182</v>
      </c>
      <c r="E25" s="15" t="str">
        <f t="shared" si="0"/>
        <v>Por cotizar</v>
      </c>
      <c r="F25" s="6" t="s">
        <v>204</v>
      </c>
    </row>
    <row r="26" spans="1:6" ht="28.8" customHeight="1" x14ac:dyDescent="0.3">
      <c r="A26" t="s">
        <v>192</v>
      </c>
      <c r="B26" s="14" t="s">
        <v>205</v>
      </c>
      <c r="C26" s="9">
        <v>1</v>
      </c>
      <c r="D26" s="15" t="s">
        <v>182</v>
      </c>
      <c r="E26" s="15" t="str">
        <f t="shared" si="0"/>
        <v>Por cotizar</v>
      </c>
      <c r="F26" s="6" t="s">
        <v>206</v>
      </c>
    </row>
    <row r="27" spans="1:6" x14ac:dyDescent="0.3">
      <c r="B27" s="5"/>
      <c r="D27" s="15"/>
      <c r="E27" s="16"/>
    </row>
    <row r="28" spans="1:6" x14ac:dyDescent="0.3">
      <c r="A28" s="10"/>
      <c r="B28" s="10" t="s">
        <v>207</v>
      </c>
      <c r="C28" s="10"/>
      <c r="D28" s="17"/>
      <c r="E28" s="17">
        <f>SUMIF(A2:A26,"Tableros y cantos",E2:E26)</f>
        <v>2493222</v>
      </c>
      <c r="F28" s="10"/>
    </row>
    <row r="29" spans="1:6" x14ac:dyDescent="0.3">
      <c r="A29" s="10"/>
      <c r="B29" s="10" t="s">
        <v>208</v>
      </c>
      <c r="C29" s="10"/>
      <c r="D29" s="17"/>
      <c r="E29" s="17">
        <f>SUMIF(A2:A26,"Herrajes",E2:E26)</f>
        <v>926374</v>
      </c>
      <c r="F29" s="10"/>
    </row>
    <row r="30" spans="1:6" x14ac:dyDescent="0.3">
      <c r="A30" s="10"/>
      <c r="B30" s="10" t="s">
        <v>209</v>
      </c>
      <c r="C30" s="10"/>
      <c r="D30" s="17"/>
      <c r="E30" s="17">
        <f>SUMIF(A2:A26,"Mesón y equipos",E2:E26)</f>
        <v>3561000</v>
      </c>
      <c r="F30" s="10"/>
    </row>
    <row r="31" spans="1:6" x14ac:dyDescent="0.3">
      <c r="A31" s="10"/>
      <c r="B31" s="10" t="s">
        <v>210</v>
      </c>
      <c r="C31" s="10"/>
      <c r="D31" s="17"/>
      <c r="E31" s="17">
        <f>SUMIF(A2:A26,"Servicios",E2:E26)</f>
        <v>0</v>
      </c>
      <c r="F31" s="10"/>
    </row>
    <row r="32" spans="1:6" ht="25.65" customHeight="1" x14ac:dyDescent="0.3">
      <c r="A32" s="10"/>
      <c r="B32" s="19" t="s">
        <v>211</v>
      </c>
      <c r="C32" s="19"/>
      <c r="D32" s="20"/>
      <c r="E32" s="20">
        <f>SUM(E2:E26)</f>
        <v>6980596</v>
      </c>
      <c r="F32" s="21" t="s">
        <v>212</v>
      </c>
    </row>
    <row r="33" spans="1:6" ht="25.65" customHeight="1" x14ac:dyDescent="0.3">
      <c r="A33" s="10"/>
      <c r="B33" s="10" t="s">
        <v>213</v>
      </c>
      <c r="C33" s="10"/>
      <c r="D33" s="17"/>
      <c r="E33" s="18">
        <f>ROWS(D2:D26)-COUNT(D2:D26)</f>
        <v>9</v>
      </c>
      <c r="F33" s="21"/>
    </row>
    <row r="34" spans="1:6" ht="25.65" customHeight="1" x14ac:dyDescent="0.3">
      <c r="A34" s="10"/>
      <c r="B34" s="19" t="s">
        <v>214</v>
      </c>
      <c r="C34" s="19"/>
      <c r="D34" s="20"/>
      <c r="E34" s="20" t="str">
        <f>IF(E33=0,E32,"Pendiente de cotizaciones")</f>
        <v>Pendiente de cotizaciones</v>
      </c>
      <c r="F34" s="21" t="s">
        <v>215</v>
      </c>
    </row>
    <row r="36" spans="1:6" x14ac:dyDescent="0.3">
      <c r="B36" t="s">
        <v>216</v>
      </c>
    </row>
    <row r="37" spans="1:6" x14ac:dyDescent="0.3">
      <c r="B37" t="s">
        <v>217</v>
      </c>
    </row>
  </sheetData>
  <conditionalFormatting sqref="D2:D26">
    <cfRule type="containsText" dxfId="1" priority="1" operator="containsText" text="cotizar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baseColWidth="10" defaultColWidth="8.88671875" defaultRowHeight="14.4" x14ac:dyDescent="0.3"/>
  <cols>
    <col min="1" max="1" width="22" customWidth="1"/>
    <col min="2" max="2" width="70" customWidth="1"/>
    <col min="3" max="3" width="14" customWidth="1"/>
    <col min="4" max="4" width="10" customWidth="1"/>
    <col min="5" max="5" width="30" customWidth="1"/>
    <col min="6" max="6" width="14" customWidth="1"/>
    <col min="8" max="8" width="28" customWidth="1"/>
    <col min="9" max="9" width="12" customWidth="1"/>
  </cols>
  <sheetData>
    <row r="1" spans="1:9" ht="17.399999999999999" x14ac:dyDescent="0.35">
      <c r="A1" s="1" t="s">
        <v>218</v>
      </c>
    </row>
    <row r="2" spans="1:9" x14ac:dyDescent="0.3">
      <c r="H2" s="10" t="s">
        <v>219</v>
      </c>
      <c r="I2" s="13">
        <v>0.05</v>
      </c>
    </row>
    <row r="3" spans="1:9" x14ac:dyDescent="0.3">
      <c r="A3" s="4" t="s">
        <v>220</v>
      </c>
      <c r="B3" s="4" t="s">
        <v>221</v>
      </c>
      <c r="C3" s="4" t="s">
        <v>222</v>
      </c>
      <c r="D3" s="4" t="s">
        <v>223</v>
      </c>
      <c r="E3" s="4" t="s">
        <v>224</v>
      </c>
      <c r="F3" s="4" t="s">
        <v>225</v>
      </c>
      <c r="H3" s="11" t="s">
        <v>226</v>
      </c>
      <c r="I3" s="11"/>
    </row>
    <row r="4" spans="1:9" ht="28.8" x14ac:dyDescent="0.3">
      <c r="A4" t="s">
        <v>227</v>
      </c>
      <c r="B4" s="6" t="s">
        <v>228</v>
      </c>
      <c r="C4" s="8">
        <f>SUMPRODUCT(Despiece!$G$5:$G$79,Despiece!$E$5:$E$79,(Despiece!$H$5:$H$79="2")+(Despiece!$I$5:$I$79="2"))/1000+SUMPRODUCT(Despiece!$G$5:$G$79,Despiece!$F$5:$F$79,(Despiece!$J$5:$J$79="2")+(Despiece!$K$5:$K$79="2"))/1000</f>
        <v>50.262999999999998</v>
      </c>
      <c r="D4">
        <f>SUMPRODUCT(Despiece!$G$5:$G$79,(Despiece!$H$5:$H$79="2")+(Despiece!$I$5:$I$79="2")+(Despiece!$J$5:$J$79="2")+(Despiece!$K$5:$K$79="2"))</f>
        <v>93</v>
      </c>
      <c r="E4" s="7">
        <f>D4*$I$2</f>
        <v>4.6500000000000004</v>
      </c>
      <c r="F4" s="9">
        <f>ROUNDUP((C4+E4)/5,0)*5</f>
        <v>55</v>
      </c>
      <c r="H4" s="12">
        <v>100</v>
      </c>
      <c r="I4" s="10"/>
    </row>
    <row r="5" spans="1:9" ht="28.8" x14ac:dyDescent="0.3">
      <c r="A5" t="s">
        <v>229</v>
      </c>
      <c r="B5" s="6" t="s">
        <v>230</v>
      </c>
      <c r="C5" s="8">
        <f>SUMPRODUCT(Despiece!$G$5:$G$79,Despiece!$E$5:$E$79,(Despiece!$H$5:$H$79="0.45")+(Despiece!$I$5:$I$79="0.45"))/1000+SUMPRODUCT(Despiece!$G$5:$G$79,Despiece!$F$5:$F$79,(Despiece!$J$5:$J$79="0.45")+(Despiece!$K$5:$K$79="0.45"))/1000</f>
        <v>95.266999999999996</v>
      </c>
      <c r="D5">
        <f>SUMPRODUCT(Despiece!$G$5:$G$79,(Despiece!$H$5:$H$79="0.45")+(Despiece!$I$5:$I$79="0.45")+(Despiece!$J$5:$J$79="0.45")+(Despiece!$K$5:$K$79="0.45"))</f>
        <v>207</v>
      </c>
      <c r="E5" s="7">
        <f>D5*$I$2</f>
        <v>10.350000000000001</v>
      </c>
      <c r="F5" s="9">
        <f>ROUNDUP((C5+E5)/5,0)*5</f>
        <v>110</v>
      </c>
      <c r="H5" s="12">
        <v>200</v>
      </c>
      <c r="I5" s="10"/>
    </row>
    <row r="7" spans="1:9" x14ac:dyDescent="0.3">
      <c r="A7" s="5" t="s">
        <v>231</v>
      </c>
    </row>
    <row r="8" spans="1:9" x14ac:dyDescent="0.3">
      <c r="A8" s="4" t="s">
        <v>3</v>
      </c>
      <c r="B8" s="4" t="s">
        <v>5</v>
      </c>
      <c r="C8" s="4" t="s">
        <v>232</v>
      </c>
      <c r="D8" s="4" t="s">
        <v>233</v>
      </c>
      <c r="E8" s="4"/>
      <c r="F8" s="4"/>
    </row>
    <row r="9" spans="1:9" ht="27.15" customHeight="1" x14ac:dyDescent="0.3">
      <c r="A9" t="s">
        <v>117</v>
      </c>
      <c r="B9" t="s">
        <v>234</v>
      </c>
      <c r="C9" t="s">
        <v>235</v>
      </c>
      <c r="D9" s="29" t="s">
        <v>236</v>
      </c>
      <c r="E9" s="30"/>
      <c r="F9" s="30"/>
    </row>
    <row r="10" spans="1:9" ht="27.15" customHeight="1" x14ac:dyDescent="0.3">
      <c r="D10" s="29"/>
      <c r="E10" s="30"/>
      <c r="F10" s="30"/>
    </row>
    <row r="11" spans="1:9" ht="27.15" customHeight="1" x14ac:dyDescent="0.3">
      <c r="D11" s="29"/>
      <c r="E11" s="30"/>
      <c r="F11" s="30"/>
    </row>
    <row r="13" spans="1:9" x14ac:dyDescent="0.3">
      <c r="A13" t="s">
        <v>237</v>
      </c>
    </row>
    <row r="14" spans="1:9" x14ac:dyDescent="0.3">
      <c r="A14" t="s">
        <v>238</v>
      </c>
    </row>
  </sheetData>
  <mergeCells count="3">
    <mergeCell ref="D9:F9"/>
    <mergeCell ref="D11:F11"/>
    <mergeCell ref="D10:F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37"/>
  <sheetViews>
    <sheetView showGridLines="0" workbookViewId="0">
      <pane ySplit="4" topLeftCell="A14" activePane="bottomLeft" state="frozen"/>
      <selection pane="bottomLeft"/>
    </sheetView>
  </sheetViews>
  <sheetFormatPr baseColWidth="10" defaultColWidth="8.88671875" defaultRowHeight="14.4" x14ac:dyDescent="0.3"/>
  <cols>
    <col min="1" max="1" width="15" customWidth="1"/>
    <col min="2" max="2" width="26" customWidth="1"/>
    <col min="3" max="3" width="110" customWidth="1"/>
    <col min="4" max="4" width="38" customWidth="1"/>
    <col min="5" max="5" width="82" customWidth="1"/>
  </cols>
  <sheetData>
    <row r="2" spans="1:5" ht="19.8" x14ac:dyDescent="0.4">
      <c r="A2" s="22" t="s">
        <v>239</v>
      </c>
    </row>
    <row r="4" spans="1:5" ht="25.05" customHeight="1" x14ac:dyDescent="0.3">
      <c r="A4" s="23" t="s">
        <v>240</v>
      </c>
      <c r="B4" s="23" t="s">
        <v>241</v>
      </c>
      <c r="C4" s="23" t="s">
        <v>242</v>
      </c>
      <c r="D4" s="23" t="s">
        <v>243</v>
      </c>
      <c r="E4" s="23" t="s">
        <v>244</v>
      </c>
    </row>
    <row r="5" spans="1:5" ht="100.05" customHeight="1" x14ac:dyDescent="0.3">
      <c r="A5" s="24" t="s">
        <v>245</v>
      </c>
      <c r="B5" s="24" t="s">
        <v>246</v>
      </c>
      <c r="C5" s="24" t="s">
        <v>247</v>
      </c>
      <c r="D5" s="24" t="s">
        <v>248</v>
      </c>
      <c r="E5" s="24" t="s">
        <v>249</v>
      </c>
    </row>
    <row r="6" spans="1:5" ht="100.05" customHeight="1" x14ac:dyDescent="0.3">
      <c r="A6" s="24" t="s">
        <v>245</v>
      </c>
      <c r="B6" s="24" t="s">
        <v>250</v>
      </c>
      <c r="C6" s="24" t="s">
        <v>251</v>
      </c>
      <c r="D6" s="24" t="s">
        <v>252</v>
      </c>
      <c r="E6" s="24" t="s">
        <v>253</v>
      </c>
    </row>
    <row r="7" spans="1:5" ht="100.05" customHeight="1" x14ac:dyDescent="0.3">
      <c r="A7" s="24" t="s">
        <v>245</v>
      </c>
      <c r="B7" s="24" t="s">
        <v>254</v>
      </c>
      <c r="C7" s="24" t="s">
        <v>255</v>
      </c>
      <c r="D7" s="24" t="s">
        <v>256</v>
      </c>
      <c r="E7" s="24" t="s">
        <v>257</v>
      </c>
    </row>
    <row r="8" spans="1:5" ht="100.05" customHeight="1" x14ac:dyDescent="0.3">
      <c r="A8" s="24" t="s">
        <v>245</v>
      </c>
      <c r="B8" s="24" t="s">
        <v>258</v>
      </c>
      <c r="C8" s="24" t="s">
        <v>259</v>
      </c>
      <c r="D8" s="24" t="s">
        <v>260</v>
      </c>
      <c r="E8" s="24" t="s">
        <v>261</v>
      </c>
    </row>
    <row r="9" spans="1:5" ht="100.05" customHeight="1" x14ac:dyDescent="0.3">
      <c r="A9" s="24" t="s">
        <v>245</v>
      </c>
      <c r="B9" s="24" t="s">
        <v>262</v>
      </c>
      <c r="C9" s="24" t="s">
        <v>263</v>
      </c>
      <c r="D9" s="24" t="s">
        <v>264</v>
      </c>
      <c r="E9" s="24" t="s">
        <v>265</v>
      </c>
    </row>
    <row r="10" spans="1:5" ht="100.05" customHeight="1" x14ac:dyDescent="0.3">
      <c r="A10" s="24" t="s">
        <v>245</v>
      </c>
      <c r="B10" s="24" t="s">
        <v>266</v>
      </c>
      <c r="C10" s="24" t="s">
        <v>267</v>
      </c>
      <c r="D10" s="24" t="s">
        <v>268</v>
      </c>
      <c r="E10" s="24" t="s">
        <v>269</v>
      </c>
    </row>
    <row r="11" spans="1:5" ht="100.05" customHeight="1" x14ac:dyDescent="0.3">
      <c r="A11" s="24" t="s">
        <v>270</v>
      </c>
      <c r="B11" s="24" t="s">
        <v>271</v>
      </c>
      <c r="C11" s="24" t="s">
        <v>272</v>
      </c>
      <c r="D11" s="24" t="s">
        <v>273</v>
      </c>
      <c r="E11" s="24" t="s">
        <v>274</v>
      </c>
    </row>
    <row r="12" spans="1:5" ht="100.05" customHeight="1" x14ac:dyDescent="0.3">
      <c r="A12" s="24" t="s">
        <v>245</v>
      </c>
      <c r="B12" s="24" t="s">
        <v>275</v>
      </c>
      <c r="C12" s="24" t="s">
        <v>276</v>
      </c>
      <c r="D12" s="24" t="s">
        <v>277</v>
      </c>
      <c r="E12" s="24" t="s">
        <v>278</v>
      </c>
    </row>
    <row r="13" spans="1:5" ht="100.05" customHeight="1" x14ac:dyDescent="0.3">
      <c r="A13" s="24" t="s">
        <v>270</v>
      </c>
      <c r="B13" s="24" t="s">
        <v>279</v>
      </c>
      <c r="C13" s="24" t="s">
        <v>280</v>
      </c>
      <c r="D13" s="24" t="s">
        <v>268</v>
      </c>
      <c r="E13" s="24" t="s">
        <v>281</v>
      </c>
    </row>
    <row r="14" spans="1:5" ht="100.05" customHeight="1" x14ac:dyDescent="0.3">
      <c r="A14" s="24" t="s">
        <v>270</v>
      </c>
      <c r="B14" s="24" t="s">
        <v>282</v>
      </c>
      <c r="C14" s="24" t="s">
        <v>283</v>
      </c>
      <c r="D14" s="24" t="s">
        <v>284</v>
      </c>
      <c r="E14" s="24" t="s">
        <v>285</v>
      </c>
    </row>
    <row r="15" spans="1:5" ht="100.05" customHeight="1" x14ac:dyDescent="0.3">
      <c r="A15" s="24" t="s">
        <v>245</v>
      </c>
      <c r="B15" s="24" t="s">
        <v>286</v>
      </c>
      <c r="C15" s="24" t="s">
        <v>287</v>
      </c>
      <c r="D15" s="24" t="s">
        <v>288</v>
      </c>
      <c r="E15" s="24" t="s">
        <v>289</v>
      </c>
    </row>
    <row r="16" spans="1:5" ht="100.05" customHeight="1" x14ac:dyDescent="0.3">
      <c r="A16" s="24" t="s">
        <v>270</v>
      </c>
      <c r="B16" s="24" t="s">
        <v>290</v>
      </c>
      <c r="C16" s="24" t="s">
        <v>291</v>
      </c>
      <c r="D16" s="24" t="s">
        <v>292</v>
      </c>
      <c r="E16" s="24" t="s">
        <v>293</v>
      </c>
    </row>
    <row r="17" spans="1:5" ht="100.05" customHeight="1" x14ac:dyDescent="0.3">
      <c r="A17" s="24" t="s">
        <v>270</v>
      </c>
      <c r="B17" s="24" t="s">
        <v>294</v>
      </c>
      <c r="C17" s="24" t="s">
        <v>295</v>
      </c>
      <c r="D17" s="24" t="s">
        <v>296</v>
      </c>
      <c r="E17" s="24" t="s">
        <v>297</v>
      </c>
    </row>
    <row r="18" spans="1:5" ht="100.05" customHeight="1" x14ac:dyDescent="0.3">
      <c r="A18" s="24" t="s">
        <v>270</v>
      </c>
      <c r="B18" s="24" t="s">
        <v>298</v>
      </c>
      <c r="C18" s="24" t="s">
        <v>299</v>
      </c>
      <c r="D18" s="24" t="s">
        <v>300</v>
      </c>
      <c r="E18" s="24" t="s">
        <v>301</v>
      </c>
    </row>
    <row r="19" spans="1:5" ht="100.05" customHeight="1" x14ac:dyDescent="0.3">
      <c r="A19" s="24" t="s">
        <v>270</v>
      </c>
      <c r="B19" s="24" t="s">
        <v>302</v>
      </c>
      <c r="C19" s="24" t="s">
        <v>303</v>
      </c>
      <c r="D19" s="24" t="s">
        <v>304</v>
      </c>
      <c r="E19" s="24" t="s">
        <v>305</v>
      </c>
    </row>
    <row r="20" spans="1:5" ht="100.05" customHeight="1" x14ac:dyDescent="0.3">
      <c r="A20" s="24" t="s">
        <v>270</v>
      </c>
      <c r="B20" s="24" t="s">
        <v>306</v>
      </c>
      <c r="C20" s="24" t="s">
        <v>307</v>
      </c>
      <c r="D20" s="24" t="s">
        <v>308</v>
      </c>
      <c r="E20" s="24" t="s">
        <v>309</v>
      </c>
    </row>
    <row r="21" spans="1:5" ht="100.05" customHeight="1" x14ac:dyDescent="0.3">
      <c r="A21" s="24" t="s">
        <v>245</v>
      </c>
      <c r="B21" s="24" t="s">
        <v>310</v>
      </c>
      <c r="C21" s="24" t="s">
        <v>311</v>
      </c>
      <c r="D21" s="24" t="s">
        <v>312</v>
      </c>
      <c r="E21" s="24" t="s">
        <v>313</v>
      </c>
    </row>
    <row r="22" spans="1:5" ht="100.05" customHeight="1" x14ac:dyDescent="0.3">
      <c r="A22" s="24" t="s">
        <v>314</v>
      </c>
      <c r="B22" s="24" t="s">
        <v>315</v>
      </c>
      <c r="C22" s="24" t="s">
        <v>316</v>
      </c>
      <c r="D22" s="24" t="s">
        <v>317</v>
      </c>
      <c r="E22" s="24" t="s">
        <v>249</v>
      </c>
    </row>
    <row r="23" spans="1:5" ht="100.05" customHeight="1" x14ac:dyDescent="0.3">
      <c r="A23" s="24" t="s">
        <v>245</v>
      </c>
      <c r="B23" s="24" t="s">
        <v>318</v>
      </c>
      <c r="C23" s="24" t="s">
        <v>319</v>
      </c>
      <c r="D23" s="24" t="s">
        <v>320</v>
      </c>
      <c r="E23" s="24" t="s">
        <v>321</v>
      </c>
    </row>
    <row r="24" spans="1:5" ht="100.05" customHeight="1" x14ac:dyDescent="0.3">
      <c r="A24" s="24" t="s">
        <v>245</v>
      </c>
      <c r="B24" s="24" t="s">
        <v>322</v>
      </c>
      <c r="C24" s="24" t="s">
        <v>323</v>
      </c>
      <c r="D24" s="24" t="s">
        <v>304</v>
      </c>
      <c r="E24" s="24" t="s">
        <v>324</v>
      </c>
    </row>
    <row r="25" spans="1:5" ht="100.05" customHeight="1" x14ac:dyDescent="0.3">
      <c r="A25" s="24" t="s">
        <v>325</v>
      </c>
      <c r="B25" s="24" t="s">
        <v>326</v>
      </c>
      <c r="C25" s="24" t="s">
        <v>327</v>
      </c>
      <c r="D25" s="24" t="s">
        <v>328</v>
      </c>
      <c r="E25" s="24"/>
    </row>
    <row r="26" spans="1:5" ht="100.05" customHeight="1" x14ac:dyDescent="0.3">
      <c r="A26" s="24" t="s">
        <v>245</v>
      </c>
      <c r="B26" s="24" t="s">
        <v>329</v>
      </c>
      <c r="C26" s="24" t="s">
        <v>330</v>
      </c>
      <c r="D26" s="24" t="s">
        <v>277</v>
      </c>
      <c r="E26" s="24" t="s">
        <v>331</v>
      </c>
    </row>
    <row r="27" spans="1:5" ht="100.05" customHeight="1" x14ac:dyDescent="0.3">
      <c r="A27" s="24" t="s">
        <v>245</v>
      </c>
      <c r="B27" s="24" t="s">
        <v>332</v>
      </c>
      <c r="C27" s="24" t="s">
        <v>333</v>
      </c>
      <c r="D27" s="24" t="s">
        <v>334</v>
      </c>
      <c r="E27" s="24"/>
    </row>
    <row r="28" spans="1:5" ht="100.05" customHeight="1" x14ac:dyDescent="0.3">
      <c r="A28" s="24" t="s">
        <v>245</v>
      </c>
      <c r="B28" s="24" t="s">
        <v>335</v>
      </c>
      <c r="C28" s="24" t="s">
        <v>336</v>
      </c>
      <c r="D28" s="24" t="s">
        <v>268</v>
      </c>
      <c r="E28" s="24"/>
    </row>
    <row r="29" spans="1:5" ht="100.05" customHeight="1" x14ac:dyDescent="0.3">
      <c r="A29" s="24" t="s">
        <v>245</v>
      </c>
      <c r="B29" s="24" t="s">
        <v>337</v>
      </c>
      <c r="C29" s="24" t="s">
        <v>338</v>
      </c>
      <c r="D29" s="24" t="s">
        <v>339</v>
      </c>
      <c r="E29" s="24" t="s">
        <v>340</v>
      </c>
    </row>
    <row r="30" spans="1:5" ht="100.05" customHeight="1" x14ac:dyDescent="0.3">
      <c r="A30" s="24" t="s">
        <v>245</v>
      </c>
      <c r="B30" s="24" t="s">
        <v>341</v>
      </c>
      <c r="C30" s="24" t="s">
        <v>342</v>
      </c>
      <c r="D30" s="24" t="s">
        <v>268</v>
      </c>
      <c r="E30" s="24" t="s">
        <v>343</v>
      </c>
    </row>
    <row r="31" spans="1:5" ht="100.05" customHeight="1" x14ac:dyDescent="0.3">
      <c r="A31" s="24" t="s">
        <v>245</v>
      </c>
      <c r="B31" s="24" t="s">
        <v>344</v>
      </c>
      <c r="C31" s="24" t="s">
        <v>345</v>
      </c>
      <c r="D31" s="24" t="s">
        <v>346</v>
      </c>
      <c r="E31" s="24" t="s">
        <v>347</v>
      </c>
    </row>
    <row r="32" spans="1:5" ht="100.05" customHeight="1" x14ac:dyDescent="0.3">
      <c r="A32" s="24" t="s">
        <v>245</v>
      </c>
      <c r="B32" s="24" t="s">
        <v>348</v>
      </c>
      <c r="C32" s="24" t="s">
        <v>349</v>
      </c>
      <c r="D32" s="24" t="s">
        <v>350</v>
      </c>
      <c r="E32" s="24" t="s">
        <v>351</v>
      </c>
    </row>
    <row r="33" spans="1:5" ht="100.05" customHeight="1" x14ac:dyDescent="0.3">
      <c r="A33" s="24" t="s">
        <v>270</v>
      </c>
      <c r="B33" s="24" t="s">
        <v>352</v>
      </c>
      <c r="C33" s="24" t="s">
        <v>353</v>
      </c>
      <c r="D33" s="24" t="s">
        <v>354</v>
      </c>
      <c r="E33" s="24" t="s">
        <v>355</v>
      </c>
    </row>
    <row r="34" spans="1:5" ht="100.05" customHeight="1" x14ac:dyDescent="0.3">
      <c r="A34" s="21" t="s">
        <v>270</v>
      </c>
      <c r="B34" s="21" t="s">
        <v>356</v>
      </c>
      <c r="C34" s="21" t="s">
        <v>357</v>
      </c>
      <c r="D34" s="21" t="s">
        <v>358</v>
      </c>
      <c r="E34" s="21" t="s">
        <v>359</v>
      </c>
    </row>
    <row r="35" spans="1:5" ht="100.05" customHeight="1" x14ac:dyDescent="0.3">
      <c r="A35" s="21" t="s">
        <v>360</v>
      </c>
      <c r="B35" s="21" t="s">
        <v>361</v>
      </c>
      <c r="C35" s="21" t="s">
        <v>362</v>
      </c>
      <c r="D35" s="21" t="s">
        <v>363</v>
      </c>
      <c r="E35" s="21" t="s">
        <v>364</v>
      </c>
    </row>
    <row r="36" spans="1:5" ht="72" customHeight="1" x14ac:dyDescent="0.3">
      <c r="A36" s="21"/>
      <c r="B36" s="21"/>
      <c r="C36" s="21"/>
      <c r="D36" s="21"/>
      <c r="E36" s="21"/>
    </row>
    <row r="37" spans="1:5" ht="72" customHeight="1" x14ac:dyDescent="0.3">
      <c r="A37" s="21"/>
      <c r="B37" s="21"/>
      <c r="C37" s="21"/>
      <c r="D37" s="21"/>
      <c r="E37" s="21"/>
    </row>
  </sheetData>
  <conditionalFormatting sqref="A5:A21">
    <cfRule type="containsText" dxfId="0" priority="1" operator="containsText" text="Pendiente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33"/>
  <sheetViews>
    <sheetView showGridLines="0" workbookViewId="0"/>
  </sheetViews>
  <sheetFormatPr baseColWidth="10" defaultColWidth="8.88671875" defaultRowHeight="14.4" x14ac:dyDescent="0.3"/>
  <cols>
    <col min="1" max="1" width="44" customWidth="1"/>
    <col min="2" max="6" width="17" customWidth="1"/>
    <col min="7" max="7" width="83" customWidth="1"/>
    <col min="8" max="8" width="30" customWidth="1"/>
  </cols>
  <sheetData>
    <row r="2" spans="1:8" ht="19.8" x14ac:dyDescent="0.4">
      <c r="A2" s="22" t="s">
        <v>365</v>
      </c>
      <c r="B2" s="10"/>
      <c r="C2" s="10"/>
      <c r="D2" s="10"/>
      <c r="E2" s="10"/>
      <c r="F2" s="10"/>
      <c r="G2" s="10"/>
      <c r="H2" s="10"/>
    </row>
    <row r="3" spans="1:8" x14ac:dyDescent="0.3">
      <c r="A3" s="10" t="s">
        <v>366</v>
      </c>
      <c r="B3" s="26">
        <v>3000</v>
      </c>
      <c r="C3" s="10"/>
      <c r="D3" s="10"/>
      <c r="E3" s="10"/>
      <c r="F3" s="10"/>
      <c r="G3" s="10"/>
      <c r="H3" s="10"/>
    </row>
    <row r="4" spans="1:8" x14ac:dyDescent="0.3">
      <c r="A4" s="10" t="s">
        <v>367</v>
      </c>
      <c r="B4" s="26">
        <v>2600</v>
      </c>
      <c r="C4" s="10"/>
      <c r="D4" s="10"/>
      <c r="E4" s="10"/>
      <c r="F4" s="10"/>
      <c r="G4" s="10"/>
      <c r="H4" s="10"/>
    </row>
    <row r="5" spans="1:8" x14ac:dyDescent="0.3">
      <c r="A5" s="10" t="s">
        <v>368</v>
      </c>
      <c r="B5" s="26">
        <v>200</v>
      </c>
      <c r="C5" s="10"/>
      <c r="D5" s="10"/>
      <c r="E5" s="10"/>
      <c r="F5" s="10"/>
      <c r="G5" s="10"/>
      <c r="H5" s="10"/>
    </row>
    <row r="6" spans="1:8" x14ac:dyDescent="0.3">
      <c r="A6" s="10" t="s">
        <v>369</v>
      </c>
      <c r="B6" s="10">
        <f>B3-B5-B4</f>
        <v>200</v>
      </c>
      <c r="C6" s="10"/>
      <c r="D6" s="10"/>
      <c r="E6" s="10"/>
      <c r="F6" s="10"/>
      <c r="G6" s="10"/>
      <c r="H6" s="10"/>
    </row>
    <row r="7" spans="1:8" x14ac:dyDescent="0.3">
      <c r="A7" s="10" t="s">
        <v>370</v>
      </c>
      <c r="B7" s="10">
        <f>B3-B5</f>
        <v>2800</v>
      </c>
      <c r="C7" s="10"/>
      <c r="D7" s="10"/>
      <c r="E7" s="10"/>
      <c r="F7" s="10"/>
      <c r="G7" s="10"/>
      <c r="H7" s="10"/>
    </row>
    <row r="8" spans="1:8" x14ac:dyDescent="0.3">
      <c r="A8" s="10" t="s">
        <v>371</v>
      </c>
      <c r="B8" s="26">
        <v>15</v>
      </c>
      <c r="C8" s="10"/>
      <c r="D8" s="10"/>
      <c r="E8" s="10"/>
      <c r="F8" s="10"/>
      <c r="G8" s="10"/>
      <c r="H8" s="10"/>
    </row>
    <row r="9" spans="1:8" x14ac:dyDescent="0.3">
      <c r="A9" s="10"/>
      <c r="B9" s="10"/>
      <c r="C9" s="10"/>
      <c r="D9" s="10"/>
      <c r="E9" s="10"/>
      <c r="F9" s="10"/>
      <c r="G9" s="10"/>
      <c r="H9" s="10"/>
    </row>
    <row r="10" spans="1:8" x14ac:dyDescent="0.3">
      <c r="A10" s="10"/>
      <c r="B10" s="10"/>
      <c r="C10" s="10"/>
      <c r="D10" s="10"/>
      <c r="E10" s="10"/>
      <c r="F10" s="10"/>
      <c r="G10" s="10"/>
      <c r="H10" s="10"/>
    </row>
    <row r="11" spans="1:8" ht="30" customHeight="1" x14ac:dyDescent="0.3">
      <c r="A11" s="25" t="s">
        <v>372</v>
      </c>
      <c r="B11" s="25" t="s">
        <v>373</v>
      </c>
      <c r="C11" s="25" t="s">
        <v>374</v>
      </c>
      <c r="D11" s="25" t="s">
        <v>375</v>
      </c>
      <c r="E11" s="25" t="s">
        <v>376</v>
      </c>
      <c r="F11" s="25" t="s">
        <v>377</v>
      </c>
      <c r="G11" s="25" t="s">
        <v>378</v>
      </c>
      <c r="H11" s="25" t="s">
        <v>379</v>
      </c>
    </row>
    <row r="12" spans="1:8" ht="52.95" customHeight="1" x14ac:dyDescent="0.3">
      <c r="A12" s="10" t="s">
        <v>380</v>
      </c>
      <c r="B12" s="27">
        <f>B6</f>
        <v>200</v>
      </c>
      <c r="C12" s="27">
        <f>B7</f>
        <v>2800</v>
      </c>
      <c r="D12" s="27">
        <f>B4</f>
        <v>2600</v>
      </c>
      <c r="E12" s="27">
        <v>15</v>
      </c>
      <c r="F12" s="27">
        <v>620</v>
      </c>
      <c r="G12" s="21" t="s">
        <v>381</v>
      </c>
      <c r="H12" s="10" t="s">
        <v>382</v>
      </c>
    </row>
    <row r="13" spans="1:8" ht="52.95" customHeight="1" x14ac:dyDescent="0.3">
      <c r="A13" s="10" t="s">
        <v>383</v>
      </c>
      <c r="B13" s="27">
        <f>B6+B8</f>
        <v>215</v>
      </c>
      <c r="C13" s="27">
        <f>B13+D13</f>
        <v>230</v>
      </c>
      <c r="D13" s="27">
        <v>15</v>
      </c>
      <c r="E13" s="27">
        <f>Despiece!E38</f>
        <v>882</v>
      </c>
      <c r="F13" s="27">
        <f>Despiece!F38</f>
        <v>595</v>
      </c>
      <c r="G13" s="21" t="s">
        <v>384</v>
      </c>
      <c r="H13" s="10" t="s">
        <v>385</v>
      </c>
    </row>
    <row r="14" spans="1:8" ht="52.95" customHeight="1" x14ac:dyDescent="0.3">
      <c r="A14" s="10" t="s">
        <v>386</v>
      </c>
      <c r="B14" s="27">
        <f>C13</f>
        <v>230</v>
      </c>
      <c r="C14" s="27">
        <f>B14+D14</f>
        <v>530</v>
      </c>
      <c r="D14" s="27">
        <f>Despiece!E6+30</f>
        <v>300</v>
      </c>
      <c r="E14" s="27">
        <v>785</v>
      </c>
      <c r="F14" s="27">
        <v>580</v>
      </c>
      <c r="G14" s="21" t="s">
        <v>387</v>
      </c>
      <c r="H14" s="10" t="s">
        <v>385</v>
      </c>
    </row>
    <row r="15" spans="1:8" ht="52.95" customHeight="1" x14ac:dyDescent="0.3">
      <c r="A15" s="10" t="s">
        <v>388</v>
      </c>
      <c r="B15" s="27">
        <f>C14</f>
        <v>530</v>
      </c>
      <c r="C15" s="27">
        <f>B15+D15</f>
        <v>1130</v>
      </c>
      <c r="D15" s="27">
        <f>Despiece!E11+30</f>
        <v>600</v>
      </c>
      <c r="E15" s="27">
        <v>785</v>
      </c>
      <c r="F15" s="27">
        <v>580</v>
      </c>
      <c r="G15" s="21" t="s">
        <v>389</v>
      </c>
      <c r="H15" s="10" t="s">
        <v>385</v>
      </c>
    </row>
    <row r="16" spans="1:8" ht="78" customHeight="1" x14ac:dyDescent="0.3">
      <c r="A16" s="10" t="s">
        <v>390</v>
      </c>
      <c r="B16" s="27">
        <f>C15</f>
        <v>1130</v>
      </c>
      <c r="C16" s="27">
        <f>B16+D16</f>
        <v>1880</v>
      </c>
      <c r="D16" s="27">
        <f>Despiece!E17+30</f>
        <v>750</v>
      </c>
      <c r="E16" s="27">
        <v>785</v>
      </c>
      <c r="F16" s="27">
        <v>580</v>
      </c>
      <c r="G16" s="21" t="s">
        <v>391</v>
      </c>
      <c r="H16" s="10" t="s">
        <v>385</v>
      </c>
    </row>
    <row r="17" spans="1:8" ht="7.95" customHeight="1" x14ac:dyDescent="0.3">
      <c r="A17" s="10"/>
      <c r="B17" s="27"/>
      <c r="C17" s="27"/>
      <c r="D17" s="27"/>
      <c r="E17" s="27"/>
      <c r="F17" s="27"/>
      <c r="G17" s="21"/>
      <c r="H17" s="10"/>
    </row>
    <row r="18" spans="1:8" ht="79.95" customHeight="1" x14ac:dyDescent="0.3">
      <c r="A18" s="10" t="s">
        <v>392</v>
      </c>
      <c r="B18" s="27">
        <f>C16</f>
        <v>1880</v>
      </c>
      <c r="C18" s="27">
        <f>B18+D18</f>
        <v>2780</v>
      </c>
      <c r="D18" s="27">
        <f>Despiece!E33+30</f>
        <v>900</v>
      </c>
      <c r="E18" s="27">
        <v>785</v>
      </c>
      <c r="F18" s="27">
        <v>580</v>
      </c>
      <c r="G18" s="21" t="s">
        <v>393</v>
      </c>
      <c r="H18" s="10" t="s">
        <v>385</v>
      </c>
    </row>
    <row r="19" spans="1:8" ht="52.95" customHeight="1" x14ac:dyDescent="0.3">
      <c r="A19" s="10" t="s">
        <v>394</v>
      </c>
      <c r="B19" s="27">
        <f>B20-D19</f>
        <v>215</v>
      </c>
      <c r="C19" s="27">
        <f>B20</f>
        <v>530</v>
      </c>
      <c r="D19" s="27">
        <f>Despiece!E41+30</f>
        <v>315</v>
      </c>
      <c r="E19" s="27">
        <v>700</v>
      </c>
      <c r="F19" s="27">
        <v>320</v>
      </c>
      <c r="G19" s="21" t="s">
        <v>395</v>
      </c>
      <c r="H19" s="10" t="s">
        <v>385</v>
      </c>
    </row>
    <row r="20" spans="1:8" ht="52.95" customHeight="1" x14ac:dyDescent="0.3">
      <c r="A20" s="10" t="s">
        <v>396</v>
      </c>
      <c r="B20" s="27">
        <f>B15</f>
        <v>530</v>
      </c>
      <c r="C20" s="27">
        <f>B20+D20</f>
        <v>1130</v>
      </c>
      <c r="D20" s="27">
        <f>Despiece!E47+30</f>
        <v>600</v>
      </c>
      <c r="E20" s="27">
        <v>350</v>
      </c>
      <c r="F20" s="27">
        <v>320</v>
      </c>
      <c r="G20" s="21" t="s">
        <v>397</v>
      </c>
      <c r="H20" s="10" t="s">
        <v>385</v>
      </c>
    </row>
    <row r="21" spans="1:8" ht="52.95" customHeight="1" x14ac:dyDescent="0.3">
      <c r="A21" s="10" t="s">
        <v>398</v>
      </c>
      <c r="B21" s="27">
        <f>C20</f>
        <v>1130</v>
      </c>
      <c r="C21" s="27">
        <f>B21+D21</f>
        <v>1975</v>
      </c>
      <c r="D21" s="27">
        <f>Despiece!E52+30</f>
        <v>845</v>
      </c>
      <c r="E21" s="27">
        <v>700</v>
      </c>
      <c r="F21" s="27">
        <v>320</v>
      </c>
      <c r="G21" s="21" t="s">
        <v>399</v>
      </c>
      <c r="H21" s="10" t="s">
        <v>385</v>
      </c>
    </row>
    <row r="22" spans="1:8" ht="64.05" customHeight="1" x14ac:dyDescent="0.3">
      <c r="A22" s="10" t="s">
        <v>400</v>
      </c>
      <c r="B22" s="27">
        <f>C21</f>
        <v>1975</v>
      </c>
      <c r="C22" s="27">
        <f>B22+D22</f>
        <v>2690</v>
      </c>
      <c r="D22" s="27">
        <f>Despiece!E59+30</f>
        <v>715</v>
      </c>
      <c r="E22" s="27">
        <v>700</v>
      </c>
      <c r="F22" s="27">
        <v>320</v>
      </c>
      <c r="G22" s="21" t="s">
        <v>401</v>
      </c>
      <c r="H22" s="10" t="s">
        <v>385</v>
      </c>
    </row>
    <row r="23" spans="1:8" x14ac:dyDescent="0.3">
      <c r="A23" s="10"/>
      <c r="B23" s="27"/>
      <c r="C23" s="27"/>
      <c r="D23" s="27"/>
      <c r="E23" s="27"/>
      <c r="F23" s="27"/>
      <c r="G23" s="10"/>
      <c r="H23" s="10"/>
    </row>
    <row r="24" spans="1:8" x14ac:dyDescent="0.3">
      <c r="A24" s="10"/>
      <c r="B24" s="27"/>
      <c r="C24" s="27"/>
      <c r="D24" s="27"/>
      <c r="E24" s="27"/>
      <c r="F24" s="27"/>
      <c r="G24" s="10"/>
      <c r="H24" s="10"/>
    </row>
    <row r="25" spans="1:8" x14ac:dyDescent="0.3">
      <c r="A25" s="10" t="s">
        <v>402</v>
      </c>
      <c r="B25" s="27">
        <f>B12</f>
        <v>200</v>
      </c>
      <c r="C25" s="27"/>
      <c r="D25" s="27"/>
      <c r="E25" s="27"/>
      <c r="F25" s="27"/>
      <c r="G25" s="10"/>
      <c r="H25" s="10"/>
    </row>
    <row r="26" spans="1:8" x14ac:dyDescent="0.3">
      <c r="A26" s="10" t="s">
        <v>403</v>
      </c>
      <c r="B26" s="27">
        <f>B3-C12</f>
        <v>200</v>
      </c>
      <c r="C26" s="27"/>
      <c r="D26" s="27"/>
      <c r="E26" s="27"/>
      <c r="F26" s="27"/>
      <c r="G26" s="10"/>
      <c r="H26" s="10"/>
    </row>
    <row r="27" spans="1:8" x14ac:dyDescent="0.3">
      <c r="A27" s="10" t="s">
        <v>404</v>
      </c>
      <c r="B27" s="27">
        <f>B3-C18</f>
        <v>220</v>
      </c>
      <c r="C27" s="27"/>
      <c r="D27" s="27"/>
      <c r="E27" s="27"/>
      <c r="F27" s="27"/>
      <c r="G27" s="10"/>
      <c r="H27" s="10"/>
    </row>
    <row r="28" spans="1:8" x14ac:dyDescent="0.3">
      <c r="A28" s="10" t="s">
        <v>405</v>
      </c>
      <c r="B28" s="27">
        <f>B3-C22</f>
        <v>310</v>
      </c>
      <c r="C28" s="27"/>
      <c r="D28" s="27"/>
      <c r="E28" s="27"/>
      <c r="F28" s="27"/>
      <c r="G28" s="10"/>
      <c r="H28" s="10"/>
    </row>
    <row r="29" spans="1:8" x14ac:dyDescent="0.3">
      <c r="A29" s="10"/>
      <c r="B29" s="10"/>
      <c r="C29" s="10"/>
      <c r="D29" s="10"/>
      <c r="E29" s="10"/>
      <c r="F29" s="10"/>
      <c r="G29" s="10"/>
      <c r="H29" s="10"/>
    </row>
    <row r="30" spans="1:8" x14ac:dyDescent="0.3">
      <c r="A30" s="10" t="s">
        <v>406</v>
      </c>
      <c r="B30" s="10"/>
      <c r="C30" s="10"/>
      <c r="D30" s="10"/>
      <c r="E30" s="10"/>
      <c r="F30" s="10"/>
      <c r="G30" s="10"/>
      <c r="H30" s="10"/>
    </row>
    <row r="31" spans="1:8" x14ac:dyDescent="0.3">
      <c r="A31" s="10" t="s">
        <v>407</v>
      </c>
      <c r="B31" s="10"/>
      <c r="C31" s="10"/>
      <c r="D31" s="10"/>
      <c r="E31" s="10"/>
      <c r="F31" s="10"/>
      <c r="G31" s="10"/>
      <c r="H31" s="10"/>
    </row>
    <row r="32" spans="1:8" x14ac:dyDescent="0.3">
      <c r="A32" s="10" t="s">
        <v>408</v>
      </c>
      <c r="B32" s="10"/>
      <c r="C32" s="10"/>
      <c r="D32" s="10"/>
      <c r="E32" s="10"/>
      <c r="F32" s="10"/>
      <c r="G32" s="10"/>
      <c r="H32" s="10"/>
    </row>
    <row r="33" spans="1:8" x14ac:dyDescent="0.3">
      <c r="A33" s="10" t="s">
        <v>409</v>
      </c>
      <c r="B33" s="10"/>
      <c r="C33" s="10"/>
      <c r="D33" s="10"/>
      <c r="E33" s="10"/>
      <c r="F33" s="10"/>
      <c r="G33" s="10"/>
      <c r="H3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Despiece</vt:lpstr>
      <vt:lpstr>Herrajes</vt:lpstr>
      <vt:lpstr>Compras</vt:lpstr>
      <vt:lpstr>Cantos</vt:lpstr>
      <vt:lpstr>Revisión</vt:lpstr>
      <vt:lpstr>Distribución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Perez Muñoz</cp:lastModifiedBy>
  <dcterms:modified xsi:type="dcterms:W3CDTF">2026-10-25T08:34:29Z</dcterms:modified>
</cp:coreProperties>
</file>